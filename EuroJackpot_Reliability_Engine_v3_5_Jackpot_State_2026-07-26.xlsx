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34.xml" ContentType="application/vnd.openxmlformats-officedocument.spreadsheetml.worksheet+xml"/>
  <Override PartName="/xl/worksheets/sheet35.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drawings/drawing5.xml" ContentType="application/vnd.openxmlformats-officedocument.drawing+xml"/>
  <Override PartName="/xl/drawings/charts/chart6.xml" ContentType="application/vnd.openxmlformats-officedocument.drawingml.char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drawings/drawing6.xml" ContentType="application/vnd.openxmlformats-officedocument.drawing+xml"/>
  <Override PartName="/xl/drawings/charts/chart7.xml" ContentType="application/vnd.openxmlformats-officedocument.drawingml.chart+xml"/>
  <Override PartName="/xl/worksheets/sheet48.xml" ContentType="application/vnd.openxmlformats-officedocument.spreadsheetml.worksheet+xml"/>
  <Override PartName="/xl/drawings/drawing7.xml" ContentType="application/vnd.openxmlformats-officedocument.drawing+xml"/>
  <Override PartName="/xl/drawings/charts/chart8.xml" ContentType="application/vnd.openxmlformats-officedocument.drawingml.char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2f78a36544447a" /></Relationships>
</file>

<file path=xl/workbook.xml><?xml version="1.0" encoding="utf-8"?>
<x:workbook xmlns:x="http://schemas.openxmlformats.org/spreadsheetml/2006/main">
  <x:sheets>
    <x:sheet xmlns:r="http://schemas.openxmlformats.org/officeDocument/2006/relationships" name="Executive Summary" sheetId="1" r:id="Rb1242798fb0441d1"/>
    <x:sheet xmlns:r="http://schemas.openxmlformats.org/officeDocument/2006/relationships" name="Audit Findings" sheetId="2" r:id="R7064dfa12fb94f1f"/>
    <x:sheet xmlns:r="http://schemas.openxmlformats.org/officeDocument/2006/relationships" name="Validation Comparison" sheetId="3" r:id="R3076904f5d4b4b74"/>
    <x:sheet xmlns:r="http://schemas.openxmlformats.org/officeDocument/2006/relationships" name="Calibration Weights" sheetId="4" r:id="Re464d71769be4d4e"/>
    <x:sheet xmlns:r="http://schemas.openxmlformats.org/officeDocument/2006/relationships" name="Reality Check" sheetId="5" r:id="Ra5e57417edef4ed1"/>
    <x:sheet xmlns:r="http://schemas.openxmlformats.org/officeDocument/2006/relationships" name="Randomness Audit" sheetId="6" r:id="Rb81c8f02419e4aa6"/>
    <x:sheet xmlns:r="http://schemas.openxmlformats.org/officeDocument/2006/relationships" name="Weekday Effect" sheetId="7" r:id="Rc92c5643e72c4da0"/>
    <x:sheet xmlns:r="http://schemas.openxmlformats.org/officeDocument/2006/relationships" name="Feature Screening" sheetId="8" r:id="R84ffc79b3f2b45f8"/>
    <x:sheet xmlns:r="http://schemas.openxmlformats.org/officeDocument/2006/relationships" name="Next Ranking" sheetId="9" r:id="R2a11cd9e64a146dc"/>
    <x:sheet xmlns:r="http://schemas.openxmlformats.org/officeDocument/2006/relationships" name="Portfolio" sheetId="10" r:id="Rd7c157c106d64e94"/>
    <x:sheet xmlns:r="http://schemas.openxmlformats.org/officeDocument/2006/relationships" name="Data Verification" sheetId="11" r:id="R435757bab3d74395"/>
    <x:sheet xmlns:r="http://schemas.openxmlformats.org/officeDocument/2006/relationships" name="Canonical History" sheetId="12" r:id="Rc98f6742f6d54fb8"/>
    <x:sheet xmlns:r="http://schemas.openxmlformats.org/officeDocument/2006/relationships" name="Method Register" sheetId="13" r:id="Re522cf056e6543c4"/>
    <x:sheet xmlns:r="http://schemas.openxmlformats.org/officeDocument/2006/relationships" name="README" sheetId="14" r:id="Rb8c5eaf9a51d44ed"/>
    <x:sheet xmlns:r="http://schemas.openxmlformats.org/officeDocument/2006/relationships" name="Guaranteed Coverage" sheetId="15" r:id="R9dbb36e0ab194c6c"/>
    <x:sheet xmlns:r="http://schemas.openxmlformats.org/officeDocument/2006/relationships" name="Frozen Original Set" sheetId="16" r:id="Rc75a6d0cc9434e23"/>
    <x:sheet xmlns:r="http://schemas.openxmlformats.org/officeDocument/2006/relationships" name="Selected Pools" sheetId="17" r:id="R156c8763d2b74640"/>
    <x:sheet xmlns:r="http://schemas.openxmlformats.org/officeDocument/2006/relationships" name="Main Pair Wheel" sheetId="18" r:id="R967a6edd4f204c8e"/>
    <x:sheet xmlns:r="http://schemas.openxmlformats.org/officeDocument/2006/relationships" name="Main Triple Wheel" sheetId="19" r:id="Re3b61c01f03f4b18"/>
    <x:sheet xmlns:r="http://schemas.openxmlformats.org/officeDocument/2006/relationships" name="Wheel 54 Pair Compact" sheetId="20" r:id="R4ab3afdf7cd4455e"/>
    <x:sheet xmlns:r="http://schemas.openxmlformats.org/officeDocument/2006/relationships" name="Wheel 135 Pair Extended" sheetId="21" r:id="R0df4f685e66e402e"/>
    <x:sheet xmlns:r="http://schemas.openxmlformats.org/officeDocument/2006/relationships" name="Wheel 198 Triple Compact" sheetId="22" r:id="R48482cb749a24564"/>
    <x:sheet xmlns:r="http://schemas.openxmlformats.org/officeDocument/2006/relationships" name="Wheel 495 Triple Extended" sheetId="23" r:id="Rcc7525206f62480d"/>
    <x:sheet xmlns:r="http://schemas.openxmlformats.org/officeDocument/2006/relationships" name="Coverage Certificate" sheetId="24" r:id="R50bac57298014d87"/>
    <x:sheet xmlns:r="http://schemas.openxmlformats.org/officeDocument/2006/relationships" name="Advanced Methods" sheetId="25" r:id="R08df1322b52a4ad8"/>
    <x:sheet xmlns:r="http://schemas.openxmlformats.org/officeDocument/2006/relationships" name="Sequential Evidence" sheetId="26" r:id="Rc3555a9b3cc1487d"/>
    <x:sheet xmlns:r="http://schemas.openxmlformats.org/officeDocument/2006/relationships" name="Regime Dynamic Models" sheetId="27" r:id="Rc062e09b118740b1"/>
    <x:sheet xmlns:r="http://schemas.openxmlformats.org/officeDocument/2006/relationships" name="Ensemble Conformal" sheetId="28" r:id="R69f68ec11cbb46aa"/>
    <x:sheet xmlns:r="http://schemas.openxmlformats.org/officeDocument/2006/relationships" name="Synthetic Null Lab" sheetId="29" r:id="R94b7a13b0df444b3"/>
    <x:sheet xmlns:r="http://schemas.openxmlformats.org/officeDocument/2006/relationships" name="Prospective Registry" sheetId="30" r:id="Re46b1a26ef5f4f73"/>
    <x:sheet xmlns:r="http://schemas.openxmlformats.org/officeDocument/2006/relationships" name="EV Prize Strategy" sheetId="31" r:id="Rd95d2f1ac31b4970"/>
    <x:sheet xmlns:r="http://schemas.openxmlformats.org/officeDocument/2006/relationships" name="Deployment Gates v3.3" sheetId="32" r:id="R3a1c36ac735e49fc"/>
    <x:sheet xmlns:r="http://schemas.openxmlformats.org/officeDocument/2006/relationships" name="Operational Dashboard" sheetId="33" r:id="R8fdfb7fe378c47d7"/>
    <x:sheet xmlns:r="http://schemas.openxmlformats.org/officeDocument/2006/relationships" name="Champion Challenger" sheetId="34" r:id="Re5f6966b523a4ebd"/>
    <x:sheet xmlns:r="http://schemas.openxmlformats.org/officeDocument/2006/relationships" name="Power Analysis" sheetId="35" r:id="R6c266cb61ea94422"/>
    <x:sheet xmlns:r="http://schemas.openxmlformats.org/officeDocument/2006/relationships" name="Negative Controls" sheetId="36" r:id="Ra7b7ac9b3e1c41f4"/>
    <x:sheet xmlns:r="http://schemas.openxmlformats.org/officeDocument/2006/relationships" name="Leakage Tests" sheetId="37" r:id="Rc0e548d2e94345cf"/>
    <x:sheet xmlns:r="http://schemas.openxmlformats.org/officeDocument/2006/relationships" name="Independent Verification" sheetId="38" r:id="R38035dfabfdf4e5c"/>
    <x:sheet xmlns:r="http://schemas.openxmlformats.org/officeDocument/2006/relationships" name="Prize Participation DB" sheetId="39" r:id="R4bd51a593f3b4b98"/>
    <x:sheet xmlns:r="http://schemas.openxmlformats.org/officeDocument/2006/relationships" name="Cross Lottery Lab" sheetId="40" r:id="R03ccb0aea1774c59"/>
    <x:sheet xmlns:r="http://schemas.openxmlformats.org/officeDocument/2006/relationships" name="Portfolio Frontier" sheetId="41" r:id="R62b470e93ae04f96"/>
    <x:sheet xmlns:r="http://schemas.openxmlformats.org/officeDocument/2006/relationships" name="Operational Sources" sheetId="42" r:id="R12823d31d37846c8"/>
    <x:sheet xmlns:r="http://schemas.openxmlformats.org/officeDocument/2006/relationships" name="Automation Schedule" sheetId="43" r:id="R7bd8b4812dad40a7"/>
    <x:sheet xmlns:r="http://schemas.openxmlformats.org/officeDocument/2006/relationships" name="Desktop App" sheetId="44" r:id="R908e8ca6bdec4ad2"/>
    <x:sheet xmlns:r="http://schemas.openxmlformats.org/officeDocument/2006/relationships" name="Operational Audit Log" sheetId="45" r:id="R2ef4a4bcc318416c"/>
    <x:sheet xmlns:r="http://schemas.openxmlformats.org/officeDocument/2006/relationships" name="Prize Watch Import" sheetId="46" r:id="Rca70e204de554264"/>
    <x:sheet xmlns:r="http://schemas.openxmlformats.org/officeDocument/2006/relationships" name="Jackpot State Dashboard" sheetId="47" r:id="Rd23f3e5276ee4cb6"/>
    <x:sheet xmlns:r="http://schemas.openxmlformats.org/officeDocument/2006/relationships" name="Portfolio State Machine" sheetId="48" r:id="R960019eeaa614bd5"/>
    <x:sheet xmlns:r="http://schemas.openxmlformats.org/officeDocument/2006/relationships" name="Jackpot EV Scenarios" sheetId="49" r:id="Rf024abef53504d00"/>
    <x:sheet xmlns:r="http://schemas.openxmlformats.org/officeDocument/2006/relationships" name="Jackpot State History" sheetId="50" r:id="Rc04d5a68b2884d3c"/>
    <x:sheet xmlns:r="http://schemas.openxmlformats.org/officeDocument/2006/relationships" name="Prize Watch Data Flow" sheetId="51" r:id="Rf4032d4fb5b44f9a"/>
    <x:sheet xmlns:r="http://schemas.openxmlformats.org/officeDocument/2006/relationships" name="Jackpot Sources" sheetId="52" r:id="Rfdc7110816634e06"/>
    <x:sheet xmlns:r="http://schemas.openxmlformats.org/officeDocument/2006/relationships" name="Final Release Audit" sheetId="53" r:id="R9e557c7604f8478d"/>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200" formatCode="yyyy-mm-dd"/>
    <x:numFmt numFmtId="201" formatCode="0.000000"/>
    <x:numFmt numFmtId="202" formatCode="#,##0"/>
    <x:numFmt numFmtId="203" formatCode="0.0000000000%"/>
    <x:numFmt numFmtId="204" formatCode="0.0000"/>
    <x:numFmt numFmtId="205" formatCode="0.000"/>
    <x:numFmt numFmtId="206" formatCode="0.00000000"/>
    <x:numFmt numFmtId="207" formatCode="0.0000%"/>
    <x:numFmt numFmtId="208" formatCode="0.00%"/>
    <x:numFmt numFmtId="209" formatCode="0.0000000000"/>
    <x:numFmt numFmtId="210" formatCode="0.000000000"/>
    <x:numFmt numFmtId="211" formatCode="0.000000%"/>
    <x:numFmt numFmtId="212" formatCode="€#,##0.00"/>
    <x:numFmt numFmtId="213" formatCode="€0.00"/>
    <x:numFmt numFmtId="214" formatCode="0"/>
    <x:numFmt numFmtId="215" formatCode="0.0%"/>
    <x:numFmt numFmtId="216" formatCode="0.0"/>
    <x:numFmt numFmtId="217" formatCode="yyyy-mm-dd hh:mm"/>
    <x:numFmt numFmtId="218" formatCode="€0.000000"/>
    <x:numFmt numFmtId="219" formatCode="0.00"/>
    <x:numFmt numFmtId="220" formatCode="€#,##0"/>
    <x:numFmt numFmtId="221" formatCode="0%"/>
  </x:numFmts>
  <x:fonts count="15">
    <x:font>
      <x:sz val="11"/>
      <x:name val="Carlito"/>
    </x:font>
    <x:font>
      <x:b/>
      <x:sz val="18"/>
      <x:color rgb="FFFFFFFF"/>
      <x:name val="Carlito"/>
    </x:font>
    <x:font>
      <x:i/>
      <x:sz val="11"/>
      <x:color rgb="FF1F2937"/>
      <x:name val="Carlito"/>
    </x:font>
    <x:font>
      <x:b/>
      <x:sz val="11"/>
      <x:color rgb="FFFFFFFF"/>
      <x:name val="Carlito"/>
    </x:font>
    <x:font>
      <x:b/>
      <x:sz val="11"/>
      <x:color rgb="FF1F2937"/>
      <x:name val="Carlito"/>
    </x:font>
    <x:font>
      <x:b/>
      <x:sz val="11"/>
      <x:color rgb="FFB26A00"/>
      <x:name val="Carlito"/>
    </x:font>
    <x:font>
      <x:b/>
      <x:sz val="13"/>
      <x:color rgb="FF6B4F8A"/>
      <x:name val="Carlito"/>
    </x:font>
    <x:font>
      <x:b/>
      <x:sz val="11"/>
      <x:color rgb="FF2E7D32"/>
      <x:name val="Carlito"/>
    </x:font>
    <x:font>
      <x:b/>
      <x:sz val="11"/>
      <x:color rgb="FFB42318"/>
      <x:name val="Carlito"/>
    </x:font>
    <x:font>
      <x:b/>
      <x:sz val="11"/>
      <x:color rgb="FF6B4F8A"/>
      <x:name val="Carlito"/>
    </x:font>
    <x:font>
      <x:sz val="11"/>
      <x:color rgb="FF1F2937"/>
      <x:name val="Carlito"/>
    </x:font>
    <x:font>
      <x:b/>
      <x:sz val="10"/>
      <x:color rgb="FFFFFFFF"/>
      <x:name val="Aptos"/>
    </x:font>
    <x:font>
      <x:sz val="10"/>
      <x:name val="Aptos"/>
    </x:font>
    <x:font>
      <x:b/>
      <x:sz val="12"/>
      <x:color rgb="FFB26A00"/>
      <x:name val="Carlito"/>
    </x:font>
    <x:font>
      <x:sz val="9"/>
      <x:color rgb="FF1F2937"/>
      <x:name val="Consolas"/>
    </x:font>
  </x:fonts>
  <x:fills count="50">
    <x:fill>
      <x:patternFill patternType="none"/>
    </x:fill>
    <x:fill>
      <x:patternFill patternType="gray125"/>
    </x:fill>
    <x:fill>
      <x:patternFill patternType="solid">
        <x:fgColor rgb="FF16324F"/>
      </x:patternFill>
    </x:fill>
    <x:fill>
      <x:patternFill patternType="solid">
        <x:fgColor rgb="FFEAF2F8"/>
      </x:patternFill>
    </x:fill>
    <x:fill>
      <x:patternFill patternType="solid">
        <x:fgColor rgb="FF1F4E78"/>
      </x:patternFill>
    </x:fill>
    <x:fill>
      <x:patternFill patternType="solid">
        <x:fgColor rgb="FFFFF4E5"/>
      </x:patternFill>
    </x:fill>
    <x:fill>
      <x:patternFill patternType="solid">
        <x:fgColor rgb="FFF2ECF8"/>
      </x:patternFill>
    </x:fill>
    <x:fill>
      <x:patternFill patternType="solid">
        <x:fgColor rgb="FF0F6B78"/>
      </x:patternFill>
    </x:fill>
    <x:fill>
      <x:patternFill patternType="solid">
        <x:fgColor rgb="FFEAF5EA"/>
      </x:patternFill>
    </x:fill>
    <x:fill>
      <x:patternFill patternType="solid">
        <x:fgColor rgb="FFFDECEC"/>
      </x:patternFill>
    </x:fill>
    <x:fill>
      <x:patternFill patternType="solid">
        <x:fgColor rgb="FFF5F7FA"/>
      </x:patternFill>
    </x:fill>
    <x:fill>
      <x:patternFill patternType="solid">
        <x:fgColor rgb="FF1F4E78"/>
      </x:patternFill>
    </x:fill>
    <x:fill>
      <x:patternFill patternType="solid">
        <x:fgColor rgb="FFEAF2F8"/>
      </x:patternFill>
    </x:fill>
    <x:fill>
      <x:patternFill patternType="solid">
        <x:fgColor rgb="FFFDECEC"/>
      </x:patternFill>
    </x:fill>
    <x:fill>
      <x:patternFill patternType="solid">
        <x:fgColor rgb="FF0F6B78"/>
      </x:patternFill>
    </x:fill>
    <x:fill>
      <x:patternFill patternType="solid">
        <x:fgColor rgb="FF16324F"/>
      </x:patternFill>
    </x:fill>
    <x:fill>
      <x:patternFill patternType="solid">
        <x:fgColor rgb="FFFFF4E5"/>
      </x:patternFill>
    </x:fill>
    <x:fill>
      <x:patternFill patternType="solid">
        <x:fgColor rgb="FFEAF5EA"/>
      </x:patternFill>
    </x:fill>
    <x:fill>
      <x:patternFill patternType="solid">
        <x:fgColor rgb="FFF5F7FA"/>
      </x:patternFill>
    </x:fill>
    <x:fill>
      <x:patternFill patternType="solid">
        <x:fgColor rgb="FF1F4E78"/>
      </x:patternFill>
    </x:fill>
    <x:fill>
      <x:patternFill patternType="solid">
        <x:fgColor rgb="FFEAF2F8"/>
      </x:patternFill>
    </x:fill>
    <x:fill>
      <x:patternFill patternType="solid">
        <x:fgColor rgb="FFFFF4E5"/>
      </x:patternFill>
    </x:fill>
    <x:fill>
      <x:patternFill patternType="solid">
        <x:fgColor rgb="FF0F6B78"/>
      </x:patternFill>
    </x:fill>
    <x:fill>
      <x:patternFill patternType="solid">
        <x:fgColor rgb="FF16324F"/>
      </x:patternFill>
    </x:fill>
    <x:fill>
      <x:patternFill patternType="solid">
        <x:fgColor rgb="FFEAF5EA"/>
      </x:patternFill>
    </x:fill>
    <x:fill>
      <x:patternFill patternType="solid">
        <x:fgColor rgb="FFF5F7FA"/>
      </x:patternFill>
    </x:fill>
    <x:fill>
      <x:patternFill patternType="solid">
        <x:fgColor rgb="FF1F4E78"/>
      </x:patternFill>
    </x:fill>
    <x:fill>
      <x:patternFill patternType="solid">
        <x:fgColor rgb="FFEAF2F8"/>
      </x:patternFill>
    </x:fill>
    <x:fill>
      <x:patternFill patternType="solid">
        <x:fgColor rgb="FFFFF4E5"/>
      </x:patternFill>
    </x:fill>
    <x:fill>
      <x:patternFill patternType="solid">
        <x:fgColor rgb="FF0F6B78"/>
      </x:patternFill>
    </x:fill>
    <x:fill>
      <x:patternFill patternType="solid">
        <x:fgColor rgb="FF16324F"/>
      </x:patternFill>
    </x:fill>
    <x:fill>
      <x:patternFill patternType="solid">
        <x:fgColor rgb="FFEAF5EA"/>
      </x:patternFill>
    </x:fill>
    <x:fill>
      <x:patternFill patternType="solid">
        <x:fgColor rgb="FFF5F7FA"/>
      </x:patternFill>
    </x:fill>
    <x:fill>
      <x:patternFill patternType="solid">
        <x:fgColor rgb="FF1F4E78"/>
      </x:patternFill>
    </x:fill>
    <x:fill>
      <x:patternFill patternType="solid">
        <x:fgColor rgb="FF1F4E78"/>
      </x:patternFill>
    </x:fill>
    <x:fill>
      <x:patternFill patternType="solid">
        <x:fgColor rgb="FFEAF2F8"/>
      </x:patternFill>
    </x:fill>
    <x:fill>
      <x:patternFill patternType="solid">
        <x:fgColor rgb="FFEAF5EA"/>
      </x:patternFill>
    </x:fill>
    <x:fill>
      <x:patternFill patternType="solid">
        <x:fgColor rgb="FF0F6B78"/>
      </x:patternFill>
    </x:fill>
    <x:fill>
      <x:patternFill patternType="solid">
        <x:fgColor rgb="FF16324F"/>
      </x:patternFill>
    </x:fill>
    <x:fill>
      <x:patternFill patternType="solid">
        <x:fgColor rgb="FFFFF4E5"/>
      </x:patternFill>
    </x:fill>
    <x:fill>
      <x:patternFill patternType="solid">
        <x:fgColor rgb="FFF5F7FA"/>
      </x:patternFill>
    </x:fill>
    <x:fill>
      <x:patternFill patternType="solid">
        <x:fgColor rgb="FFF2ECF8"/>
      </x:patternFill>
    </x:fill>
    <x:fill>
      <x:patternFill patternType="solid">
        <x:fgColor rgb="FF1F4E78"/>
      </x:patternFill>
    </x:fill>
    <x:fill>
      <x:patternFill patternType="solid">
        <x:fgColor rgb="FF0F6B78"/>
      </x:patternFill>
    </x:fill>
    <x:fill>
      <x:patternFill patternType="solid">
        <x:fgColor rgb="FF16324F"/>
      </x:patternFill>
    </x:fill>
    <x:fill>
      <x:patternFill patternType="solid">
        <x:fgColor rgb="FFFFF4E5"/>
      </x:patternFill>
    </x:fill>
    <x:fill>
      <x:patternFill patternType="solid">
        <x:fgColor rgb="FF1F4E78"/>
      </x:patternFill>
    </x:fill>
    <x:fill>
      <x:patternFill patternType="solid">
        <x:fgColor rgb="FF0F6B78"/>
      </x:patternFill>
    </x:fill>
    <x:fill>
      <x:patternFill patternType="solid">
        <x:fgColor rgb="FFEAF5EA"/>
      </x:patternFill>
    </x:fill>
    <x:fill>
      <x:patternFill patternType="solid">
        <x:fgColor rgb="FFEAF2F8"/>
      </x:patternFill>
    </x:fill>
  </x:fills>
  <x:borders count="58">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8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left" wrapText="1"/>
    </x:xf>
    <x:xf numFmtId="0" fontId="4" fillId="3" borderId="0" xfId="0" applyNumberFormat="1" applyFont="1" applyFill="1" applyBorder="1" applyAlignment="1">
      <x:alignment horizontal="left" vertical="center" wrapText="1"/>
    </x:xf>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left" wrapText="1"/>
    </x:xf>
    <x:xf numFmtId="0" fontId="4" fillId="3" borderId="1" xfId="0" applyNumberFormat="1" applyFont="1" applyFill="1" applyBorder="1" applyAlignment="1">
      <x:alignment horizontal="left" vertical="center" wrapText="1"/>
    </x:xf>
    <x:xf numFmtId="0" fontId="4" fillId="3" borderId="2" xfId="0" applyNumberFormat="1" applyFont="1" applyFill="1" applyBorder="1" applyAlignment="1">
      <x:alignment horizontal="left" vertical="center" wrapText="1"/>
    </x:xf>
    <x:xf numFmtId="0" fontId="0" fillId="0" borderId="3" xfId="0" applyNumberFormat="1" applyFont="1" applyFill="1" applyBorder="1"/>
    <x:xf numFmtId="0" fontId="4" fillId="3" borderId="4" xfId="0" applyNumberFormat="1" applyFont="1" applyFill="1" applyBorder="1" applyAlignment="1">
      <x:alignment horizontal="left" vertical="center" wrapText="1"/>
    </x:xf>
    <x:xf numFmtId="0" fontId="0" fillId="0" borderId="5" xfId="0" applyNumberFormat="1" applyFont="1" applyFill="1" applyBorder="1"/>
    <x:xf numFmtId="0" fontId="4" fillId="3" borderId="6" xfId="0" applyNumberFormat="1" applyFont="1" applyFill="1" applyBorder="1" applyAlignment="1">
      <x:alignment horizontal="left" vertical="center" wrapText="1"/>
    </x:xf>
    <x:xf numFmtId="0" fontId="0" fillId="0" borderId="7" xfId="0" applyNumberFormat="1" applyFont="1" applyFill="1" applyBorder="1"/>
    <x:xf numFmtId="0" fontId="4" fillId="3" borderId="8" xfId="0" applyNumberFormat="1" applyFont="1" applyFill="1" applyBorder="1" applyAlignment="1">
      <x:alignment horizontal="left" vertical="center" wrapText="1"/>
    </x:xf>
    <x:xf numFmtId="0" fontId="0" fillId="0" borderId="9" xfId="0" applyNumberFormat="1" applyFont="1" applyFill="1" applyBorder="1"/>
    <x:xf numFmtId="0" fontId="4" fillId="3" borderId="10" xfId="0" applyNumberFormat="1" applyFont="1" applyFill="1" applyBorder="1" applyAlignment="1">
      <x:alignment horizontal="left" vertical="center" wrapText="1"/>
    </x:xf>
    <x:xf numFmtId="0" fontId="0" fillId="0" borderId="11" xfId="0" applyNumberFormat="1" applyFont="1" applyFill="1" applyBorder="1"/>
    <x:xf numFmtId="0" fontId="4" fillId="3" borderId="12" xfId="0" applyNumberFormat="1" applyFont="1" applyFill="1" applyBorder="1" applyAlignment="1">
      <x:alignment horizontal="left" vertical="center" wrapText="1"/>
    </x:xf>
    <x:xf numFmtId="0" fontId="0" fillId="0" borderId="13" xfId="0" applyNumberFormat="1" applyFont="1" applyFill="1" applyBorder="1"/>
    <x:xf numFmtId="0" fontId="0" fillId="5" borderId="3" xfId="0" applyNumberFormat="1" applyFont="1" applyFill="1" applyBorder="1"/>
    <x:xf numFmtId="0" fontId="0" fillId="5" borderId="5" xfId="0" applyNumberFormat="1" applyFont="1" applyFill="1" applyBorder="1"/>
    <x:xf numFmtId="0" fontId="5" fillId="5" borderId="3" xfId="0" applyNumberFormat="1" applyFont="1" applyFill="1" applyBorder="1"/>
    <x:xf numFmtId="0" fontId="5" fillId="5" borderId="5" xfId="0" applyNumberFormat="1" applyFont="1" applyFill="1" applyBorder="1"/>
    <x:xf numFmtId="0" fontId="0" fillId="5" borderId="9" xfId="0" applyNumberFormat="1" applyFont="1" applyFill="1" applyBorder="1"/>
    <x:xf numFmtId="0" fontId="0" fillId="5" borderId="11" xfId="0" applyNumberFormat="1" applyFont="1" applyFill="1" applyBorder="1"/>
    <x:xf numFmtId="0" fontId="5" fillId="5" borderId="9" xfId="0" applyNumberFormat="1" applyFont="1" applyFill="1" applyBorder="1"/>
    <x:xf numFmtId="0" fontId="5" fillId="5" borderId="11" xfId="0" applyNumberFormat="1" applyFont="1" applyFill="1" applyBorder="1"/>
    <x:xf numFmtId="200" fontId="0" fillId="0" borderId="5" xfId="0" applyNumberFormat="1" applyFont="1" applyFill="1" applyBorder="1"/>
    <x:xf numFmtId="200" fontId="0" fillId="0" borderId="11" xfId="0" applyNumberFormat="1" applyFont="1" applyFill="1" applyBorder="1"/>
    <x:xf numFmtId="0" fontId="0" fillId="0" borderId="5" xfId="0" applyNumberFormat="1" applyFont="1" applyFill="1" applyBorder="1" applyAlignment="1">
      <x:alignment wrapText="1"/>
    </x:xf>
    <x:xf numFmtId="0" fontId="0" fillId="0" borderId="11" xfId="0" applyNumberFormat="1" applyFont="1" applyFill="1" applyBorder="1" applyAlignment="1">
      <x:alignment wrapText="1"/>
    </x:xf>
    <x:xf numFmtId="201" fontId="0" fillId="0" borderId="7" xfId="0" applyNumberFormat="1" applyFont="1" applyFill="1" applyBorder="1"/>
    <x:xf numFmtId="201" fontId="0" fillId="0" borderId="13" xfId="0" applyNumberFormat="1" applyFont="1" applyFill="1" applyBorder="1"/>
    <x:xf numFmtId="202" fontId="0" fillId="0" borderId="3" xfId="0" applyNumberFormat="1" applyFont="1" applyFill="1" applyBorder="1"/>
    <x:xf numFmtId="202" fontId="0" fillId="0" borderId="9" xfId="0" applyNumberFormat="1" applyFont="1" applyFill="1" applyBorder="1"/>
    <x:xf numFmtId="203" fontId="0" fillId="0" borderId="5" xfId="0" applyNumberFormat="1" applyFont="1" applyFill="1" applyBorder="1"/>
    <x:xf numFmtId="203" fontId="0" fillId="0" borderId="11" xfId="0" applyNumberFormat="1" applyFont="1" applyFill="1" applyBorder="1"/>
    <x:xf numFmtId="204" fontId="0" fillId="0" borderId="5" xfId="0" applyNumberFormat="1" applyFont="1" applyFill="1" applyBorder="1"/>
    <x:xf numFmtId="204" fontId="0" fillId="0" borderId="11" xfId="0" applyNumberFormat="1" applyFont="1" applyFill="1" applyBorder="1"/>
    <x:xf numFmtId="0" fontId="0" fillId="6" borderId="3" xfId="0" applyNumberFormat="1" applyFont="1" applyFill="1" applyBorder="1"/>
    <x:xf numFmtId="0" fontId="0" fillId="6" borderId="5" xfId="0" applyNumberFormat="1" applyFont="1" applyFill="1" applyBorder="1"/>
    <x:xf numFmtId="0" fontId="6" fillId="6" borderId="3" xfId="0" applyNumberFormat="1" applyFont="1" applyFill="1" applyBorder="1"/>
    <x:xf numFmtId="0" fontId="6" fillId="6" borderId="5" xfId="0" applyNumberFormat="1" applyFont="1" applyFill="1" applyBorder="1"/>
    <x:xf numFmtId="0" fontId="0" fillId="6" borderId="9" xfId="0" applyNumberFormat="1" applyFont="1" applyFill="1" applyBorder="1"/>
    <x:xf numFmtId="0" fontId="0" fillId="6" borderId="11" xfId="0" applyNumberFormat="1" applyFont="1" applyFill="1" applyBorder="1"/>
    <x:xf numFmtId="0" fontId="6" fillId="6" borderId="9" xfId="0" applyNumberFormat="1" applyFont="1" applyFill="1" applyBorder="1"/>
    <x:xf numFmtId="0" fontId="6" fillId="6" borderId="11" xfId="0" applyNumberFormat="1" applyFont="1" applyFill="1" applyBorder="1"/>
    <x:xf numFmtId="0" fontId="0" fillId="0" borderId="2" xfId="0" applyNumberFormat="1" applyFont="1" applyFill="1" applyBorder="1"/>
    <x:xf numFmtId="0" fontId="0" fillId="0" borderId="14" xfId="0" applyNumberFormat="1" applyFont="1" applyFill="1" applyBorder="1"/>
    <x:xf numFmtId="0" fontId="0" fillId="0" borderId="4"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15" xfId="0" applyNumberFormat="1" applyFont="1" applyFill="1" applyBorder="1"/>
    <x:xf numFmtId="0" fontId="0" fillId="0" borderId="8" xfId="0" applyNumberFormat="1" applyFont="1" applyFill="1" applyBorder="1"/>
    <x:xf numFmtId="0" fontId="0" fillId="0" borderId="16" xfId="0" applyNumberFormat="1" applyFont="1" applyFill="1" applyBorder="1"/>
    <x:xf numFmtId="0" fontId="0" fillId="0" borderId="10" xfId="0" applyNumberFormat="1" applyFont="1" applyFill="1" applyBorder="1"/>
    <x:xf numFmtId="0" fontId="0" fillId="0" borderId="12" xfId="0" applyNumberFormat="1" applyFont="1" applyFill="1" applyBorder="1"/>
    <x:xf numFmtId="0" fontId="0" fillId="0" borderId="17" xfId="0" applyNumberFormat="1" applyFont="1" applyFill="1" applyBorder="1"/>
    <x:xf numFmtId="0" fontId="0" fillId="7" borderId="2" xfId="0" applyNumberFormat="1" applyFont="1" applyFill="1" applyBorder="1"/>
    <x:xf numFmtId="0" fontId="0" fillId="7" borderId="14" xfId="0" applyNumberFormat="1" applyFont="1" applyFill="1" applyBorder="1"/>
    <x:xf numFmtId="0" fontId="0" fillId="7" borderId="3" xfId="0" applyNumberFormat="1" applyFont="1" applyFill="1" applyBorder="1"/>
    <x:xf numFmtId="0" fontId="3" fillId="7" borderId="2" xfId="0" applyNumberFormat="1" applyFont="1" applyFill="1" applyBorder="1"/>
    <x:xf numFmtId="0" fontId="3" fillId="7" borderId="14" xfId="0" applyNumberFormat="1" applyFont="1" applyFill="1" applyBorder="1"/>
    <x:xf numFmtId="0" fontId="3" fillId="7" borderId="3" xfId="0" applyNumberFormat="1" applyFont="1" applyFill="1" applyBorder="1"/>
    <x:xf numFmtId="0" fontId="3" fillId="7" borderId="2" xfId="0" applyNumberFormat="1" applyFont="1" applyFill="1" applyBorder="1" applyAlignment="1">
      <x:alignment wrapText="1"/>
    </x:xf>
    <x:xf numFmtId="0" fontId="3" fillId="7" borderId="14" xfId="0" applyNumberFormat="1" applyFont="1" applyFill="1" applyBorder="1" applyAlignment="1">
      <x:alignment wrapText="1"/>
    </x:xf>
    <x:xf numFmtId="0" fontId="3" fillId="7" borderId="3" xfId="0" applyNumberFormat="1" applyFont="1" applyFill="1" applyBorder="1" applyAlignment="1">
      <x:alignment wrapText="1"/>
    </x:xf>
    <x:xf numFmtId="0" fontId="3" fillId="7" borderId="2" xfId="0" applyNumberFormat="1" applyFont="1" applyFill="1" applyBorder="1" applyAlignment="1">
      <x:alignment horizontal="center" wrapText="1"/>
    </x:xf>
    <x:xf numFmtId="0" fontId="3" fillId="7" borderId="14" xfId="0" applyNumberFormat="1" applyFont="1" applyFill="1" applyBorder="1" applyAlignment="1">
      <x:alignment horizontal="center" wrapText="1"/>
    </x:xf>
    <x:xf numFmtId="0" fontId="3" fillId="7" borderId="3" xfId="0" applyNumberFormat="1" applyFont="1" applyFill="1" applyBorder="1" applyAlignment="1">
      <x:alignment horizontal="center" wrapText="1"/>
    </x:xf>
    <x:xf numFmtId="0" fontId="3" fillId="7" borderId="2" xfId="0" applyNumberFormat="1" applyFont="1" applyFill="1" applyBorder="1" applyAlignment="1">
      <x:alignment horizontal="center" vertical="center" wrapText="1"/>
    </x:xf>
    <x:xf numFmtId="0" fontId="3" fillId="7" borderId="14" xfId="0" applyNumberFormat="1" applyFont="1" applyFill="1" applyBorder="1" applyAlignment="1">
      <x:alignment horizontal="center" vertical="center" wrapText="1"/>
    </x:xf>
    <x:xf numFmtId="0" fontId="3" fillId="7" borderId="3" xfId="0" applyNumberFormat="1" applyFont="1" applyFill="1" applyBorder="1" applyAlignment="1">
      <x:alignment horizontal="center" vertical="center" wrapText="1"/>
    </x:xf>
    <x:xf numFmtId="0" fontId="0" fillId="7" borderId="8" xfId="0" applyNumberFormat="1" applyFont="1" applyFill="1" applyBorder="1"/>
    <x:xf numFmtId="0" fontId="0" fillId="7" borderId="16" xfId="0" applyNumberFormat="1" applyFont="1" applyFill="1" applyBorder="1"/>
    <x:xf numFmtId="0" fontId="0" fillId="7" borderId="9" xfId="0" applyNumberFormat="1" applyFont="1" applyFill="1" applyBorder="1"/>
    <x:xf numFmtId="0" fontId="3" fillId="7" borderId="8" xfId="0" applyNumberFormat="1" applyFont="1" applyFill="1" applyBorder="1"/>
    <x:xf numFmtId="0" fontId="3" fillId="7" borderId="16" xfId="0" applyNumberFormat="1" applyFont="1" applyFill="1" applyBorder="1"/>
    <x:xf numFmtId="0" fontId="3" fillId="7" borderId="9" xfId="0" applyNumberFormat="1" applyFont="1" applyFill="1" applyBorder="1"/>
    <x:xf numFmtId="0" fontId="3" fillId="7" borderId="8" xfId="0" applyNumberFormat="1" applyFont="1" applyFill="1" applyBorder="1" applyAlignment="1">
      <x:alignment wrapText="1"/>
    </x:xf>
    <x:xf numFmtId="0" fontId="3" fillId="7" borderId="16" xfId="0" applyNumberFormat="1" applyFont="1" applyFill="1" applyBorder="1" applyAlignment="1">
      <x:alignment wrapText="1"/>
    </x:xf>
    <x:xf numFmtId="0" fontId="3" fillId="7" borderId="9" xfId="0" applyNumberFormat="1" applyFont="1" applyFill="1" applyBorder="1" applyAlignment="1">
      <x:alignment wrapText="1"/>
    </x:xf>
    <x:xf numFmtId="0" fontId="3" fillId="7" borderId="8" xfId="0" applyNumberFormat="1" applyFont="1" applyFill="1" applyBorder="1" applyAlignment="1">
      <x:alignment horizontal="center" wrapText="1"/>
    </x:xf>
    <x:xf numFmtId="0" fontId="3" fillId="7" borderId="16" xfId="0" applyNumberFormat="1" applyFont="1" applyFill="1" applyBorder="1" applyAlignment="1">
      <x:alignment horizontal="center" wrapText="1"/>
    </x:xf>
    <x:xf numFmtId="0" fontId="3" fillId="7" borderId="9" xfId="0" applyNumberFormat="1" applyFont="1" applyFill="1" applyBorder="1" applyAlignment="1">
      <x:alignment horizontal="center" wrapText="1"/>
    </x:xf>
    <x:xf numFmtId="0" fontId="3" fillId="7" borderId="8" xfId="0" applyNumberFormat="1" applyFont="1" applyFill="1" applyBorder="1" applyAlignment="1">
      <x:alignment horizontal="center" vertical="center" wrapText="1"/>
    </x:xf>
    <x:xf numFmtId="0" fontId="3" fillId="7" borderId="16" xfId="0" applyNumberFormat="1" applyFont="1" applyFill="1" applyBorder="1" applyAlignment="1">
      <x:alignment horizontal="center" vertical="center" wrapText="1"/>
    </x:xf>
    <x:xf numFmtId="0" fontId="3" fillId="7" borderId="9" xfId="0" applyNumberFormat="1" applyFont="1" applyFill="1" applyBorder="1" applyAlignment="1">
      <x:alignment horizontal="center" vertical="center" wrapText="1"/>
    </x:xf>
    <x:xf numFmtId="201" fontId="0" fillId="0" borderId="0" xfId="0" applyNumberFormat="1" applyFont="1" applyFill="1" applyBorder="1"/>
    <x:xf numFmtId="201" fontId="0" fillId="0" borderId="15" xfId="0" applyNumberFormat="1" applyFont="1" applyFill="1" applyBorder="1"/>
    <x:xf numFmtId="201" fontId="0" fillId="0" borderId="1" xfId="0" applyNumberFormat="1" applyFont="1" applyFill="1" applyBorder="1"/>
    <x:xf numFmtId="201" fontId="0" fillId="0" borderId="17"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3" xfId="0" applyNumberFormat="1" applyFont="1" applyFill="1" applyBorder="1" applyAlignment="1">
      <x:alignment wrapText="1"/>
    </x:xf>
    <x:xf numFmtId="204" fontId="0" fillId="0" borderId="0" xfId="0" applyNumberFormat="1" applyFont="1" applyFill="1" applyBorder="1"/>
    <x:xf numFmtId="204" fontId="0" fillId="0" borderId="15" xfId="0" applyNumberFormat="1" applyFont="1" applyFill="1" applyBorder="1"/>
    <x:xf numFmtId="204" fontId="0" fillId="0" borderId="1" xfId="0" applyNumberFormat="1" applyFont="1" applyFill="1" applyBorder="1"/>
    <x:xf numFmtId="204" fontId="0" fillId="0" borderId="17" xfId="0" applyNumberFormat="1" applyFont="1" applyFill="1" applyBorder="1"/>
    <x:xf numFmtId="205" fontId="0" fillId="0" borderId="0" xfId="0" applyNumberFormat="1" applyFont="1" applyFill="1" applyBorder="1"/>
    <x:xf numFmtId="205" fontId="0" fillId="0" borderId="15" xfId="0" applyNumberFormat="1" applyFont="1" applyFill="1" applyBorder="1"/>
    <x:xf numFmtId="205" fontId="0" fillId="0" borderId="1" xfId="0" applyNumberFormat="1" applyFont="1" applyFill="1" applyBorder="1"/>
    <x:xf numFmtId="205" fontId="0" fillId="0" borderId="17" xfId="0" applyNumberFormat="1" applyFont="1" applyFill="1" applyBorder="1"/>
    <x:xf numFmtId="206" fontId="0" fillId="0" borderId="0" xfId="0" applyNumberFormat="1" applyFont="1" applyFill="1" applyBorder="1"/>
    <x:xf numFmtId="206" fontId="0" fillId="0" borderId="5" xfId="0" applyNumberFormat="1" applyFont="1" applyFill="1" applyBorder="1"/>
    <x:xf numFmtId="206" fontId="0" fillId="0" borderId="15" xfId="0" applyNumberFormat="1" applyFont="1" applyFill="1" applyBorder="1"/>
    <x:xf numFmtId="206" fontId="0" fillId="0" borderId="7" xfId="0" applyNumberFormat="1" applyFont="1" applyFill="1" applyBorder="1"/>
    <x:xf numFmtId="206" fontId="0" fillId="0" borderId="1" xfId="0" applyNumberFormat="1" applyFont="1" applyFill="1" applyBorder="1"/>
    <x:xf numFmtId="206" fontId="0" fillId="0" borderId="11" xfId="0" applyNumberFormat="1" applyFont="1" applyFill="1" applyBorder="1"/>
    <x:xf numFmtId="206" fontId="0" fillId="0" borderId="17" xfId="0" applyNumberFormat="1" applyFont="1" applyFill="1" applyBorder="1"/>
    <x:xf numFmtId="206" fontId="0" fillId="0" borderId="13" xfId="0" applyNumberFormat="1" applyFont="1" applyFill="1" applyBorder="1"/>
    <x:xf numFmtId="201" fontId="0" fillId="0" borderId="5" xfId="0" applyNumberFormat="1" applyFont="1" applyFill="1" applyBorder="1"/>
    <x:xf numFmtId="201" fontId="0" fillId="0" borderId="11" xfId="0" applyNumberFormat="1" applyFont="1" applyFill="1" applyBorder="1"/>
    <x:xf numFmtId="207" fontId="0" fillId="0" borderId="0" xfId="0" applyNumberFormat="1" applyFont="1" applyFill="1" applyBorder="1"/>
    <x:xf numFmtId="207" fontId="0" fillId="0" borderId="5" xfId="0" applyNumberFormat="1" applyFont="1" applyFill="1" applyBorder="1"/>
    <x:xf numFmtId="207" fontId="0" fillId="0" borderId="15" xfId="0" applyNumberFormat="1" applyFont="1" applyFill="1" applyBorder="1"/>
    <x:xf numFmtId="207" fontId="0" fillId="0" borderId="7" xfId="0" applyNumberFormat="1" applyFont="1" applyFill="1" applyBorder="1"/>
    <x:xf numFmtId="207" fontId="0" fillId="0" borderId="1" xfId="0" applyNumberFormat="1" applyFont="1" applyFill="1" applyBorder="1"/>
    <x:xf numFmtId="207" fontId="0" fillId="0" borderId="11" xfId="0" applyNumberFormat="1" applyFont="1" applyFill="1" applyBorder="1"/>
    <x:xf numFmtId="207" fontId="0" fillId="0" borderId="17" xfId="0" applyNumberFormat="1" applyFont="1" applyFill="1" applyBorder="1"/>
    <x:xf numFmtId="207" fontId="0" fillId="0" borderId="13" xfId="0" applyNumberFormat="1" applyFont="1" applyFill="1" applyBorder="1"/>
    <x:xf numFmtId="208" fontId="0" fillId="0" borderId="0" xfId="0" applyNumberFormat="1" applyFont="1" applyFill="1" applyBorder="1"/>
    <x:xf numFmtId="208" fontId="0" fillId="0" borderId="15" xfId="0" applyNumberFormat="1" applyFont="1" applyFill="1" applyBorder="1"/>
    <x:xf numFmtId="208" fontId="0" fillId="0" borderId="1" xfId="0" applyNumberFormat="1" applyFont="1" applyFill="1" applyBorder="1"/>
    <x:xf numFmtId="208" fontId="0" fillId="0" borderId="17" xfId="0" applyNumberFormat="1" applyFont="1" applyFill="1" applyBorder="1"/>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8" borderId="1"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wrapText="1"/>
    </x:xf>
    <x:xf numFmtId="209" fontId="0" fillId="0" borderId="5" xfId="0" applyNumberFormat="1" applyFont="1" applyFill="1" applyBorder="1"/>
    <x:xf numFmtId="209" fontId="0" fillId="0" borderId="11" xfId="0" applyNumberFormat="1" applyFont="1" applyFill="1" applyBorder="1"/>
    <x:xf numFmtId="0" fontId="0" fillId="9" borderId="7" xfId="0" applyNumberFormat="1" applyFont="1" applyFill="1" applyBorder="1"/>
    <x:xf numFmtId="0" fontId="8" fillId="9" borderId="7" xfId="0" applyNumberFormat="1" applyFont="1" applyFill="1" applyBorder="1"/>
    <x:xf numFmtId="0" fontId="8" fillId="9" borderId="7" xfId="0" applyNumberFormat="1" applyFont="1" applyFill="1" applyBorder="1" applyAlignment="1">
      <x:alignment wrapText="1"/>
    </x:xf>
    <x:xf numFmtId="0" fontId="0" fillId="9" borderId="13" xfId="0" applyNumberFormat="1" applyFont="1" applyFill="1" applyBorder="1"/>
    <x:xf numFmtId="0" fontId="8" fillId="9" borderId="13" xfId="0" applyNumberFormat="1" applyFont="1" applyFill="1" applyBorder="1"/>
    <x:xf numFmtId="0" fontId="8" fillId="9" borderId="13" xfId="0" applyNumberFormat="1" applyFont="1" applyFill="1" applyBorder="1" applyAlignment="1">
      <x:alignment wrapText="1"/>
    </x:xf>
    <x:xf numFmtId="0" fontId="3" fillId="4" borderId="6" xfId="0" applyNumberFormat="1" applyFont="1" applyFill="1" applyBorder="1" applyAlignment="1">
      <x:alignment horizontal="left" vertical="center"/>
    </x:xf>
    <x:xf numFmtId="0" fontId="3" fillId="4" borderId="15" xfId="0" applyNumberFormat="1" applyFont="1" applyFill="1" applyBorder="1" applyAlignment="1">
      <x:alignment horizontal="left" vertical="center"/>
    </x:xf>
    <x:xf numFmtId="0" fontId="3" fillId="4" borderId="7" xfId="0" applyNumberFormat="1" applyFont="1" applyFill="1" applyBorder="1" applyAlignment="1">
      <x:alignment horizontal="left" vertical="center"/>
    </x:xf>
    <x:xf numFmtId="0" fontId="3" fillId="4" borderId="12" xfId="0" applyNumberFormat="1" applyFont="1" applyFill="1" applyBorder="1" applyAlignment="1">
      <x:alignment horizontal="left" vertical="center"/>
    </x:xf>
    <x:xf numFmtId="0" fontId="3" fillId="4" borderId="17" xfId="0" applyNumberFormat="1" applyFont="1" applyFill="1" applyBorder="1" applyAlignment="1">
      <x:alignment horizontal="left" vertical="center"/>
    </x:xf>
    <x:xf numFmtId="0" fontId="3" fillId="4" borderId="13" xfId="0" applyNumberFormat="1" applyFont="1" applyFill="1" applyBorder="1" applyAlignment="1">
      <x:alignment horizontal="left" vertical="center"/>
    </x:xf>
    <x:xf numFmtId="210" fontId="0" fillId="0" borderId="0" xfId="0" applyNumberFormat="1" applyFont="1" applyFill="1" applyBorder="1"/>
    <x:xf numFmtId="210" fontId="0" fillId="0" borderId="5" xfId="0" applyNumberFormat="1" applyFont="1" applyFill="1" applyBorder="1"/>
    <x:xf numFmtId="210" fontId="3" fillId="4" borderId="15" xfId="0" applyNumberFormat="1" applyFont="1" applyFill="1" applyBorder="1" applyAlignment="1">
      <x:alignment horizontal="left" vertical="center"/>
    </x:xf>
    <x:xf numFmtId="210" fontId="3" fillId="4" borderId="7" xfId="0" applyNumberFormat="1" applyFont="1" applyFill="1" applyBorder="1" applyAlignment="1">
      <x:alignment horizontal="left" vertical="center"/>
    </x:xf>
    <x:xf numFmtId="210" fontId="0" fillId="0" borderId="1" xfId="0" applyNumberFormat="1" applyFont="1" applyFill="1" applyBorder="1"/>
    <x:xf numFmtId="210" fontId="0" fillId="0" borderId="11" xfId="0" applyNumberFormat="1" applyFont="1" applyFill="1" applyBorder="1"/>
    <x:xf numFmtId="210" fontId="3" fillId="4" borderId="17" xfId="0" applyNumberFormat="1" applyFont="1" applyFill="1" applyBorder="1" applyAlignment="1">
      <x:alignment horizontal="left" vertical="center"/>
    </x:xf>
    <x:xf numFmtId="210" fontId="3" fillId="4" borderId="13" xfId="0" applyNumberFormat="1" applyFont="1" applyFill="1" applyBorder="1" applyAlignment="1">
      <x:alignment horizontal="left" vertical="center"/>
    </x:xf>
    <x:xf numFmtId="211" fontId="0" fillId="0" borderId="5" xfId="0" applyNumberFormat="1" applyFont="1" applyFill="1" applyBorder="1"/>
    <x:xf numFmtId="211" fontId="0" fillId="0" borderId="7" xfId="0" applyNumberFormat="1" applyFont="1" applyFill="1" applyBorder="1"/>
    <x:xf numFmtId="211" fontId="0" fillId="0" borderId="11" xfId="0" applyNumberFormat="1" applyFont="1" applyFill="1" applyBorder="1"/>
    <x:xf numFmtId="211" fontId="0" fillId="0" borderId="13" xfId="0" applyNumberFormat="1" applyFont="1" applyFill="1" applyBorder="1"/>
    <x:xf numFmtId="203" fontId="0" fillId="0" borderId="0" xfId="0" applyNumberFormat="1" applyFont="1" applyFill="1" applyBorder="1"/>
    <x:xf numFmtId="203" fontId="0" fillId="0" borderId="15" xfId="0" applyNumberFormat="1" applyFont="1" applyFill="1" applyBorder="1"/>
    <x:xf numFmtId="203" fontId="0" fillId="0" borderId="1" xfId="0" applyNumberFormat="1" applyFont="1" applyFill="1" applyBorder="1"/>
    <x:xf numFmtId="203" fontId="0" fillId="0" borderId="17" xfId="0" applyNumberFormat="1" applyFont="1" applyFill="1" applyBorder="1"/>
    <x:xf numFmtId="0" fontId="0" fillId="6" borderId="4" xfId="0" applyNumberFormat="1" applyFont="1" applyFill="1" applyBorder="1"/>
    <x:xf numFmtId="0" fontId="0" fillId="6" borderId="0" xfId="0" applyNumberFormat="1" applyFont="1" applyFill="1" applyBorder="1"/>
    <x:xf numFmtId="204" fontId="0" fillId="6" borderId="0" xfId="0" applyNumberFormat="1" applyFont="1" applyFill="1" applyBorder="1"/>
    <x:xf numFmtId="203" fontId="0" fillId="6" borderId="0" xfId="0" applyNumberFormat="1" applyFont="1" applyFill="1" applyBorder="1"/>
    <x:xf numFmtId="0" fontId="9" fillId="6" borderId="4" xfId="0" applyNumberFormat="1" applyFont="1" applyFill="1" applyBorder="1"/>
    <x:xf numFmtId="0" fontId="9" fillId="6" borderId="0" xfId="0" applyNumberFormat="1" applyFont="1" applyFill="1" applyBorder="1"/>
    <x:xf numFmtId="204" fontId="9" fillId="6" borderId="0" xfId="0" applyNumberFormat="1" applyFont="1" applyFill="1" applyBorder="1"/>
    <x:xf numFmtId="203" fontId="9" fillId="6" borderId="0" xfId="0" applyNumberFormat="1" applyFont="1" applyFill="1" applyBorder="1"/>
    <x:xf numFmtId="0" fontId="9" fillId="6" borderId="5" xfId="0" applyNumberFormat="1" applyFont="1" applyFill="1" applyBorder="1"/>
    <x:xf numFmtId="0" fontId="0" fillId="6" borderId="10" xfId="0" applyNumberFormat="1" applyFont="1" applyFill="1" applyBorder="1"/>
    <x:xf numFmtId="0" fontId="0" fillId="6" borderId="1" xfId="0" applyNumberFormat="1" applyFont="1" applyFill="1" applyBorder="1"/>
    <x:xf numFmtId="204" fontId="0" fillId="6" borderId="1" xfId="0" applyNumberFormat="1" applyFont="1" applyFill="1" applyBorder="1"/>
    <x:xf numFmtId="203" fontId="0" fillId="6" borderId="1" xfId="0" applyNumberFormat="1" applyFont="1" applyFill="1" applyBorder="1"/>
    <x:xf numFmtId="0" fontId="9" fillId="6" borderId="10" xfId="0" applyNumberFormat="1" applyFont="1" applyFill="1" applyBorder="1"/>
    <x:xf numFmtId="0" fontId="9" fillId="6" borderId="1" xfId="0" applyNumberFormat="1" applyFont="1" applyFill="1" applyBorder="1"/>
    <x:xf numFmtId="204" fontId="9" fillId="6" borderId="1" xfId="0" applyNumberFormat="1" applyFont="1" applyFill="1" applyBorder="1"/>
    <x:xf numFmtId="203" fontId="9" fillId="6" borderId="1" xfId="0" applyNumberFormat="1" applyFont="1" applyFill="1" applyBorder="1"/>
    <x:xf numFmtId="0" fontId="9" fillId="6" borderId="11" xfId="0" applyNumberFormat="1" applyFont="1" applyFill="1" applyBorder="1"/>
    <x:xf numFmtId="200" fontId="0" fillId="0" borderId="4" xfId="0" applyNumberFormat="1" applyFont="1" applyFill="1" applyBorder="1"/>
    <x:xf numFmtId="200" fontId="0" fillId="0" borderId="6" xfId="0" applyNumberFormat="1" applyFont="1" applyFill="1" applyBorder="1"/>
    <x:xf numFmtId="200" fontId="0" fillId="0" borderId="10" xfId="0" applyNumberFormat="1" applyFont="1" applyFill="1" applyBorder="1"/>
    <x:xf numFmtId="200" fontId="0" fillId="0" borderId="12" xfId="0" applyNumberFormat="1" applyFont="1" applyFill="1" applyBorder="1"/>
    <x:xf numFmtId="0" fontId="0" fillId="0" borderId="0"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x:xf numFmtId="200" fontId="0" fillId="0" borderId="15" xfId="0" applyNumberFormat="1" applyFont="1" applyFill="1" applyBorder="1"/>
    <x:xf numFmtId="200" fontId="0" fillId="0" borderId="1" xfId="0" applyNumberFormat="1" applyFont="1" applyFill="1" applyBorder="1"/>
    <x:xf numFmtId="200" fontId="0" fillId="0" borderId="17" xfId="0" applyNumberFormat="1" applyFont="1" applyFill="1" applyBorder="1"/>
    <x:xf numFmtId="0" fontId="0" fillId="10" borderId="0" xfId="0" applyNumberFormat="1" applyFont="1" applyFill="1" applyBorder="1"/>
    <x:xf numFmtId="0" fontId="10" fillId="10" borderId="0" xfId="0" applyNumberFormat="1" applyFont="1" applyFill="1" applyBorder="1"/>
    <x:xf numFmtId="0" fontId="10" fillId="10" borderId="2" xfId="0" applyNumberFormat="1" applyFont="1" applyFill="1" applyBorder="1"/>
    <x:xf numFmtId="0" fontId="10" fillId="10" borderId="14" xfId="0" applyNumberFormat="1" applyFont="1" applyFill="1" applyBorder="1"/>
    <x:xf numFmtId="0" fontId="10" fillId="10" borderId="3" xfId="0" applyNumberFormat="1" applyFont="1" applyFill="1" applyBorder="1"/>
    <x:xf numFmtId="0" fontId="10" fillId="10" borderId="4" xfId="0" applyNumberFormat="1" applyFont="1" applyFill="1" applyBorder="1"/>
    <x:xf numFmtId="0" fontId="10" fillId="10" borderId="5" xfId="0" applyNumberFormat="1" applyFont="1" applyFill="1" applyBorder="1"/>
    <x:xf numFmtId="0" fontId="10" fillId="10" borderId="6" xfId="0" applyNumberFormat="1" applyFont="1" applyFill="1" applyBorder="1"/>
    <x:xf numFmtId="0" fontId="10" fillId="10" borderId="15" xfId="0" applyNumberFormat="1" applyFont="1" applyFill="1" applyBorder="1"/>
    <x:xf numFmtId="0" fontId="10" fillId="10" borderId="7" xfId="0" applyNumberFormat="1" applyFont="1" applyFill="1" applyBorder="1"/>
    <x:xf numFmtId="0" fontId="10" fillId="10" borderId="2" xfId="0" applyNumberFormat="1" applyFont="1" applyFill="1" applyBorder="1" applyAlignment="1">
      <x:alignment wrapText="1"/>
    </x:xf>
    <x:xf numFmtId="0" fontId="10" fillId="10" borderId="14" xfId="0" applyNumberFormat="1" applyFont="1" applyFill="1" applyBorder="1" applyAlignment="1">
      <x:alignment wrapText="1"/>
    </x:xf>
    <x:xf numFmtId="0" fontId="10" fillId="10" borderId="3" xfId="0" applyNumberFormat="1" applyFont="1" applyFill="1" applyBorder="1" applyAlignment="1">
      <x:alignment wrapText="1"/>
    </x:xf>
    <x:xf numFmtId="0" fontId="10" fillId="10" borderId="4" xfId="0" applyNumberFormat="1" applyFont="1" applyFill="1" applyBorder="1" applyAlignment="1">
      <x:alignment wrapText="1"/>
    </x:xf>
    <x:xf numFmtId="0" fontId="10" fillId="10" borderId="0" xfId="0" applyNumberFormat="1" applyFont="1" applyFill="1" applyBorder="1" applyAlignment="1">
      <x:alignment wrapText="1"/>
    </x:xf>
    <x:xf numFmtId="0" fontId="10" fillId="10" borderId="5" xfId="0" applyNumberFormat="1" applyFont="1" applyFill="1" applyBorder="1" applyAlignment="1">
      <x:alignment wrapText="1"/>
    </x:xf>
    <x:xf numFmtId="0" fontId="10" fillId="10" borderId="6" xfId="0" applyNumberFormat="1" applyFont="1" applyFill="1" applyBorder="1" applyAlignment="1">
      <x:alignment wrapText="1"/>
    </x:xf>
    <x:xf numFmtId="0" fontId="10" fillId="10" borderId="15" xfId="0" applyNumberFormat="1" applyFont="1" applyFill="1" applyBorder="1" applyAlignment="1">
      <x:alignment wrapText="1"/>
    </x:xf>
    <x:xf numFmtId="0" fontId="10" fillId="10" borderId="7" xfId="0" applyNumberFormat="1" applyFont="1" applyFill="1" applyBorder="1" applyAlignment="1">
      <x:alignment wrapText="1"/>
    </x:xf>
    <x:xf numFmtId="0" fontId="0" fillId="10" borderId="1" xfId="0" applyNumberFormat="1" applyFont="1" applyFill="1" applyBorder="1"/>
    <x:xf numFmtId="0" fontId="10" fillId="10" borderId="1" xfId="0" applyNumberFormat="1" applyFont="1" applyFill="1" applyBorder="1"/>
    <x:xf numFmtId="0" fontId="10" fillId="10" borderId="8" xfId="0" applyNumberFormat="1" applyFont="1" applyFill="1" applyBorder="1"/>
    <x:xf numFmtId="0" fontId="10" fillId="10" borderId="16" xfId="0" applyNumberFormat="1" applyFont="1" applyFill="1" applyBorder="1"/>
    <x:xf numFmtId="0" fontId="10" fillId="10" borderId="9" xfId="0" applyNumberFormat="1" applyFont="1" applyFill="1" applyBorder="1"/>
    <x:xf numFmtId="0" fontId="10" fillId="10" borderId="10" xfId="0" applyNumberFormat="1" applyFont="1" applyFill="1" applyBorder="1"/>
    <x:xf numFmtId="0" fontId="10" fillId="10" borderId="11" xfId="0" applyNumberFormat="1" applyFont="1" applyFill="1" applyBorder="1"/>
    <x:xf numFmtId="0" fontId="10" fillId="10" borderId="12" xfId="0" applyNumberFormat="1" applyFont="1" applyFill="1" applyBorder="1"/>
    <x:xf numFmtId="0" fontId="10" fillId="10" borderId="17" xfId="0" applyNumberFormat="1" applyFont="1" applyFill="1" applyBorder="1"/>
    <x:xf numFmtId="0" fontId="10" fillId="10" borderId="13" xfId="0" applyNumberFormat="1" applyFont="1" applyFill="1" applyBorder="1"/>
    <x:xf numFmtId="0" fontId="10" fillId="10" borderId="8" xfId="0" applyNumberFormat="1" applyFont="1" applyFill="1" applyBorder="1" applyAlignment="1">
      <x:alignment wrapText="1"/>
    </x:xf>
    <x:xf numFmtId="0" fontId="10" fillId="10" borderId="16" xfId="0" applyNumberFormat="1" applyFont="1" applyFill="1" applyBorder="1" applyAlignment="1">
      <x:alignment wrapText="1"/>
    </x:xf>
    <x:xf numFmtId="0" fontId="10" fillId="10" borderId="9" xfId="0" applyNumberFormat="1" applyFont="1" applyFill="1" applyBorder="1" applyAlignment="1">
      <x:alignment wrapText="1"/>
    </x:xf>
    <x:xf numFmtId="0" fontId="10" fillId="10" borderId="10" xfId="0" applyNumberFormat="1" applyFont="1" applyFill="1" applyBorder="1" applyAlignment="1">
      <x:alignment wrapText="1"/>
    </x:xf>
    <x:xf numFmtId="0" fontId="10" fillId="10" borderId="1" xfId="0" applyNumberFormat="1" applyFont="1" applyFill="1" applyBorder="1" applyAlignment="1">
      <x:alignment wrapText="1"/>
    </x:xf>
    <x:xf numFmtId="0" fontId="10" fillId="10" borderId="11" xfId="0" applyNumberFormat="1" applyFont="1" applyFill="1" applyBorder="1" applyAlignment="1">
      <x:alignment wrapText="1"/>
    </x:xf>
    <x:xf numFmtId="0" fontId="10" fillId="10" borderId="12" xfId="0" applyNumberFormat="1" applyFont="1" applyFill="1" applyBorder="1" applyAlignment="1">
      <x:alignment wrapText="1"/>
    </x:xf>
    <x:xf numFmtId="0" fontId="10" fillId="10" borderId="17" xfId="0" applyNumberFormat="1" applyFont="1" applyFill="1" applyBorder="1" applyAlignment="1">
      <x:alignment wrapText="1"/>
    </x:xf>
    <x:xf numFmtId="0" fontId="10" fillId="10" borderId="13" xfId="0" applyNumberFormat="1" applyFont="1" applyFill="1" applyBorder="1" applyAlignment="1">
      <x:alignment wrapText="1"/>
    </x:xf>
    <x:xf numFmtId="0" fontId="11" fillId="2" borderId="0" xfId="0" applyNumberFormat="1" applyFont="1" applyFill="1" applyBorder="1" applyAlignment="1">
      <x:alignment horizontal="left" vertical="center"/>
    </x:xf>
    <x:xf numFmtId="0" fontId="12" fillId="0" borderId="0" xfId="0" applyNumberFormat="1" applyFont="1" applyFill="1" applyBorder="1"/>
    <x:xf numFmtId="0" fontId="11" fillId="2" borderId="1" xfId="0" applyNumberFormat="1" applyFont="1" applyFill="1" applyBorder="1" applyAlignment="1">
      <x:alignment horizontal="left" vertical="center"/>
    </x:xf>
    <x:xf numFmtId="0" fontId="12" fillId="0" borderId="1" xfId="0" applyNumberFormat="1" applyFont="1" applyFill="1" applyBorder="1"/>
    <x:xf numFmtId="200" fontId="0" fillId="0" borderId="7" xfId="0" applyNumberFormat="1" applyFont="1" applyFill="1" applyBorder="1"/>
    <x:xf numFmtId="200" fontId="0" fillId="0" borderId="13" xfId="0" applyNumberFormat="1" applyFont="1" applyFill="1" applyBorder="1"/>
    <x:xf numFmtId="202" fontId="0" fillId="0" borderId="0" xfId="0" applyNumberFormat="1" applyFont="1" applyFill="1" applyBorder="1"/>
    <x:xf numFmtId="0" fontId="6"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209" fontId="0" fillId="0"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210" fontId="3" fillId="4" borderId="0" xfId="0" applyNumberFormat="1" applyFont="1" applyFill="1" applyBorder="1" applyAlignment="1">
      <x:alignment horizontal="left" vertical="center"/>
    </x:xf>
    <x:xf numFmtId="211" fontId="0" fillId="0"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left"/>
    </x:xf>
    <x:xf numFmtId="0" fontId="3" fillId="11" borderId="0" xfId="0" applyNumberFormat="1" applyFont="1" applyFill="1" applyBorder="1" applyAlignment="1">
      <x:alignment horizontal="left" vertical="center"/>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18" xfId="0" applyNumberFormat="1" applyFont="1" applyFill="1" applyBorder="1" applyAlignment="1">
      <x:alignment wrapText="1"/>
    </x:xf>
    <x:xf numFmtId="0" fontId="0" fillId="0" borderId="19" xfId="0" applyNumberFormat="1" applyFont="1" applyFill="1" applyBorder="1"/>
    <x:xf numFmtId="0" fontId="4" fillId="12" borderId="20" xfId="0" applyNumberFormat="1" applyFont="1" applyFill="1" applyBorder="1" applyAlignment="1">
      <x:alignment wrapText="1"/>
    </x:xf>
    <x:xf numFmtId="0" fontId="0" fillId="0" borderId="21" xfId="0" applyNumberFormat="1" applyFont="1" applyFill="1" applyBorder="1"/>
    <x:xf numFmtId="0" fontId="4" fillId="12" borderId="22" xfId="0" applyNumberFormat="1" applyFont="1" applyFill="1" applyBorder="1" applyAlignment="1">
      <x:alignment wrapText="1"/>
    </x:xf>
    <x:xf numFmtId="0" fontId="0" fillId="0" borderId="23" xfId="0" applyNumberFormat="1" applyFont="1" applyFill="1" applyBorder="1"/>
    <x:xf numFmtId="0" fontId="0" fillId="13" borderId="19" xfId="0" applyNumberFormat="1" applyFont="1" applyFill="1" applyBorder="1"/>
    <x:xf numFmtId="0" fontId="8" fillId="13" borderId="19" xfId="0" applyNumberFormat="1" applyFont="1" applyFill="1" applyBorder="1"/>
    <x:xf numFmtId="0" fontId="0" fillId="0" borderId="18" xfId="0" applyNumberFormat="1" applyFont="1" applyFill="1" applyBorder="1"/>
    <x:xf numFmtId="0" fontId="0" fillId="0" borderId="24" xfId="0" applyNumberFormat="1" applyFont="1" applyFill="1" applyBorder="1"/>
    <x:xf numFmtId="0" fontId="0" fillId="0" borderId="20" xfId="0" applyNumberFormat="1" applyFont="1" applyFill="1" applyBorder="1"/>
    <x:xf numFmtId="0" fontId="0" fillId="0" xfId="0" applyNumberFormat="1" applyFont="1" applyFill="1" applyBorder="0"/>
    <x:xf numFmtId="0" fontId="0" fillId="0" borderId="22" xfId="0" applyNumberFormat="1" applyFont="1" applyFill="1" applyBorder="1"/>
    <x:xf numFmtId="0" fontId="0" fillId="0" borderId="25" xfId="0" applyNumberFormat="1" applyFont="1" applyFill="1" applyBorder="1"/>
    <x:xf numFmtId="0" fontId="0" fillId="14" borderId="18" xfId="0" applyNumberFormat="1" applyFont="1" applyFill="1" applyBorder="1"/>
    <x:xf numFmtId="0" fontId="0" fillId="14" borderId="24" xfId="0" applyNumberFormat="1" applyFont="1" applyFill="1" applyBorder="1"/>
    <x:xf numFmtId="0" fontId="0" fillId="14" borderId="19" xfId="0" applyNumberFormat="1" applyFont="1" applyFill="1" applyBorder="1"/>
    <x:xf numFmtId="0" fontId="3" fillId="14" borderId="18" xfId="0" applyNumberFormat="1" applyFont="1" applyFill="1" applyBorder="1"/>
    <x:xf numFmtId="0" fontId="3" fillId="14" borderId="24" xfId="0" applyNumberFormat="1" applyFont="1" applyFill="1" applyBorder="1"/>
    <x:xf numFmtId="0" fontId="3" fillId="14" borderId="19" xfId="0" applyNumberFormat="1" applyFont="1" applyFill="1" applyBorder="1"/>
    <x:xf numFmtId="0" fontId="3" fillId="14" borderId="18" xfId="0" applyNumberFormat="1" applyFont="1" applyFill="1" applyBorder="1" applyAlignment="1">
      <x:alignment wrapText="1"/>
    </x:xf>
    <x:xf numFmtId="0" fontId="3" fillId="14" borderId="24" xfId="0" applyNumberFormat="1" applyFont="1" applyFill="1" applyBorder="1" applyAlignment="1">
      <x:alignment wrapText="1"/>
    </x:xf>
    <x:xf numFmtId="0" fontId="3" fillId="14" borderId="19" xfId="0" applyNumberFormat="1" applyFont="1" applyFill="1" applyBorder="1" applyAlignment="1">
      <x:alignment wrapText="1"/>
    </x:xf>
    <x:xf numFmtId="0" fontId="3" fillId="14" borderId="18" xfId="0" applyNumberFormat="1" applyFont="1" applyFill="1" applyBorder="1" applyAlignment="1">
      <x:alignment horizontal="center" wrapText="1"/>
    </x:xf>
    <x:xf numFmtId="0" fontId="3" fillId="14" borderId="24" xfId="0" applyNumberFormat="1" applyFont="1" applyFill="1" applyBorder="1" applyAlignment="1">
      <x:alignment horizontal="center" wrapText="1"/>
    </x:xf>
    <x:xf numFmtId="0" fontId="3" fillId="14" borderId="19" xfId="0" applyNumberFormat="1" applyFont="1" applyFill="1" applyBorder="1" applyAlignment="1">
      <x:alignment horizontal="center" wrapText="1"/>
    </x:xf>
    <x:xf numFmtId="0" fontId="3" fillId="14" borderId="18" xfId="0" applyNumberFormat="1" applyFont="1" applyFill="1" applyBorder="1" applyAlignment="1">
      <x:alignment horizontal="center" vertical="center" wrapText="1"/>
    </x:xf>
    <x:xf numFmtId="0" fontId="3" fillId="14" borderId="24" xfId="0" applyNumberFormat="1" applyFont="1" applyFill="1" applyBorder="1" applyAlignment="1">
      <x:alignment horizontal="center" vertical="center" wrapText="1"/>
    </x:xf>
    <x:xf numFmtId="0" fontId="3" fillId="14" borderId="19" xfId="0" applyNumberFormat="1" applyFont="1" applyFill="1" applyBorder="1" applyAlignment="1">
      <x:alignment horizontal="center" vertical="center" wrapText="1"/>
    </x:xf>
    <x:xf numFmtId="212" fontId="0" fillId="0" xfId="0" applyNumberFormat="1" applyFont="1" applyFill="1" applyBorder="0"/>
    <x:xf numFmtId="212" fontId="0" fillId="0" borderId="25" xfId="0" applyNumberFormat="1" applyFont="1" applyFill="1" applyBorder="1"/>
    <x:xf numFmtId="211" fontId="0" fillId="0" xfId="0" applyNumberFormat="1" applyFont="1" applyFill="1" applyBorder="0"/>
    <x:xf numFmtId="211" fontId="0" fillId="0" borderId="25" xfId="0" applyNumberFormat="1" applyFont="1" applyFill="1" applyBorder="1"/>
    <x:xf numFmtId="0" fontId="0" fillId="0" borderId="21" xfId="0" applyNumberFormat="1" applyFont="1" applyFill="1" applyBorder="1" applyAlignment="1">
      <x:alignment wrapText="1"/>
    </x:xf>
    <x:xf numFmtId="0" fontId="0" fillId="0" borderId="23" xfId="0" applyNumberFormat="1" applyFont="1" applyFill="1" applyBorder="1" applyAlignment="1">
      <x:alignment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horizontal="left"/>
    </x:xf>
    <x:xf numFmtId="0" fontId="1" fillId="15" borderId="0" xfId="0" applyNumberFormat="1" applyFont="1" applyFill="1" applyBorder="1" applyAlignment="1">
      <x:alignment horizontal="left" vertical="center"/>
    </x:xf>
    <x:xf numFmtId="0" fontId="0" fillId="16" borderId="0" xfId="0" applyNumberFormat="1" applyFont="1" applyFill="1" applyBorder="1"/>
    <x:xf numFmtId="0" fontId="5" fillId="16" borderId="0" xfId="0" applyNumberFormat="1" applyFont="1" applyFill="1" applyBorder="1"/>
    <x:xf numFmtId="0" fontId="5" fillId="16" borderId="0" xfId="0" applyNumberFormat="1" applyFont="1" applyFill="1" applyBorder="1" applyAlignment="1">
      <x:alignment wrapText="1"/>
    </x:xf>
    <x:xf numFmtId="213" fontId="0" fillId="0" borderId="19" xfId="0" applyNumberFormat="1" applyFont="1" applyFill="1" applyBorder="1"/>
    <x:xf numFmtId="203" fontId="0" fillId="0" borderId="21" xfId="0" applyNumberFormat="1" applyFont="1" applyFill="1" applyBorder="1"/>
    <x:xf numFmtId="203" fontId="0" fillId="0" borderId="21" xfId="0" applyNumberFormat="1" applyFont="1" applyFill="1" applyBorder="1" applyAlignment="1">
      <x:alignment wrapText="1"/>
    </x:xf>
    <x:xf numFmtId="0" fontId="0" fillId="0" xfId="0" applyNumberFormat="1" applyFont="1" applyFill="1" applyBorder="0" applyAlignment="1">
      <x:alignment wrapText="1"/>
    </x:xf>
    <x:xf numFmtId="0" fontId="0" fillId="0" borderId="25" xfId="0" applyNumberFormat="1" applyFont="1" applyFill="1" applyBorder="1" applyAlignment="1">
      <x:alignment wrapText="1"/>
    </x:xf>
    <x:xf numFmtId="207" fontId="0" fillId="0" borderId="21" xfId="0" applyNumberFormat="1" applyFont="1" applyFill="1" applyBorder="1"/>
    <x:xf numFmtId="207" fontId="0" fillId="0" borderId="23"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203" fontId="0" fillId="0" xfId="0" applyNumberFormat="1" applyFont="1" applyFill="1" applyBorder="0"/>
    <x:xf numFmtId="203" fontId="0" fillId="0" borderId="25" xfId="0" applyNumberFormat="1" applyFont="1" applyFill="1" applyBorder="1"/>
    <x:xf numFmtId="0" fontId="0" fillId="17" xfId="0" applyNumberFormat="1" applyFont="1" applyFill="1" applyBorder="0"/>
    <x:xf numFmtId="0" fontId="0" fillId="17" borderId="25" xfId="0" applyNumberFormat="1" applyFont="1" applyFill="1" applyBorder="1"/>
    <x:xf numFmtId="0" fontId="7" fillId="17" xfId="0" applyNumberFormat="1" applyFont="1" applyFill="1" applyBorder="0"/>
    <x:xf numFmtId="0" fontId="7" fillId="17" borderId="25" xfId="0" applyNumberFormat="1" applyFont="1" applyFill="1" applyBorder="1"/>
    <x:xf numFmtId="213" fontId="0" fillId="0" xfId="0" applyNumberFormat="1" applyFont="1" applyFill="1" applyBorder="0"/>
    <x:xf numFmtId="213" fontId="0" fillId="0" borderId="25" xfId="0" applyNumberFormat="1" applyFont="1" applyFill="1" applyBorder="1"/>
    <x:xf numFmtId="0" fontId="0" fillId="17" borderId="24" xfId="0" applyNumberFormat="1" applyFont="1" applyFill="1" applyBorder="1"/>
    <x:xf numFmtId="0" fontId="7" fillId="17" borderId="24" xfId="0" applyNumberFormat="1" applyFont="1" applyFill="1" applyBorder="1"/>
    <x:xf numFmtId="0" fontId="10" fillId="11" borderId="6" xfId="0" applyNumberFormat="1" applyFont="1" applyFill="1" applyBorder="1" applyAlignment="1">
      <x:alignment wrapText="1"/>
    </x:xf>
    <x:xf numFmtId="0" fontId="10" fillId="11" borderId="15" xfId="0" applyNumberFormat="1" applyFont="1" applyFill="1" applyBorder="1" applyAlignment="1">
      <x:alignment wrapText="1"/>
    </x:xf>
    <x:xf numFmtId="0" fontId="10" fillId="11" borderId="7" xfId="0" applyNumberFormat="1" applyFont="1" applyFill="1" applyBorder="1" applyAlignment="1">
      <x:alignment wrapText="1"/>
    </x:xf>
    <x:xf numFmtId="0" fontId="3" fillId="11" borderId="6" xfId="0" applyNumberFormat="1" applyFont="1" applyFill="1" applyBorder="1" applyAlignment="1">
      <x:alignment wrapText="1"/>
    </x:xf>
    <x:xf numFmtId="0" fontId="3" fillId="11" borderId="15" xfId="0" applyNumberFormat="1" applyFont="1" applyFill="1" applyBorder="1" applyAlignment="1">
      <x:alignment wrapText="1"/>
    </x:xf>
    <x:xf numFmtId="0" fontId="3" fillId="11" borderId="7" xfId="0" applyNumberFormat="1" applyFont="1" applyFill="1" applyBorder="1" applyAlignment="1">
      <x:alignment wrapText="1"/>
    </x:xf>
    <x:xf numFmtId="0" fontId="3" fillId="11" borderId="6" xfId="0" applyNumberFormat="1" applyFont="1" applyFill="1" applyBorder="1" applyAlignment="1">
      <x:alignment horizontal="left" wrapText="1"/>
    </x:xf>
    <x:xf numFmtId="0" fontId="3" fillId="11" borderId="15" xfId="0" applyNumberFormat="1" applyFont="1" applyFill="1" applyBorder="1" applyAlignment="1">
      <x:alignment horizontal="left" wrapText="1"/>
    </x:xf>
    <x:xf numFmtId="0" fontId="3" fillId="11" borderId="7" xfId="0" applyNumberFormat="1" applyFont="1" applyFill="1" applyBorder="1" applyAlignment="1">
      <x:alignment horizontal="left" wrapText="1"/>
    </x:xf>
    <x:xf numFmtId="0" fontId="3" fillId="11" borderId="6" xfId="0" applyNumberFormat="1" applyFont="1" applyFill="1" applyBorder="1" applyAlignment="1">
      <x:alignment horizontal="left" vertical="center" wrapText="1"/>
    </x:xf>
    <x:xf numFmtId="0" fontId="3" fillId="11" borderId="15" xfId="0" applyNumberFormat="1" applyFont="1" applyFill="1" applyBorder="1" applyAlignment="1">
      <x:alignment horizontal="left" vertical="center" wrapText="1"/>
    </x:xf>
    <x:xf numFmtId="0" fontId="3" fillId="11" borderId="7" xfId="0" applyNumberFormat="1" applyFont="1" applyFill="1" applyBorder="1" applyAlignment="1">
      <x:alignment horizontal="left" vertical="center" wrapText="1"/>
    </x:xf>
    <x:xf numFmtId="0" fontId="10" fillId="11" borderId="0" xfId="0" applyNumberFormat="1" applyFont="1" applyFill="1" applyBorder="1" applyAlignment="1">
      <x:alignment wrapText="1"/>
    </x:xf>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left" wrapText="1"/>
    </x:xf>
    <x:xf numFmtId="0" fontId="3" fillId="11" borderId="0" xfId="0" applyNumberFormat="1" applyFont="1" applyFill="1" applyBorder="1" applyAlignment="1">
      <x:alignment horizontal="left" vertical="center" wrapText="1"/>
    </x:xf>
    <x:xf numFmtId="0" fontId="0" fillId="18" borderId="0" xfId="0" applyNumberFormat="1" applyFont="1" applyFill="1" applyBorder="1"/>
    <x:xf numFmtId="0" fontId="10" fillId="18" borderId="0" xfId="0" applyNumberFormat="1" applyFont="1" applyFill="1" applyBorder="1"/>
    <x:xf numFmtId="0" fontId="10" fillId="18" borderId="18" xfId="0" applyNumberFormat="1" applyFont="1" applyFill="1" applyBorder="1"/>
    <x:xf numFmtId="0" fontId="10" fillId="18" borderId="24" xfId="0" applyNumberFormat="1" applyFont="1" applyFill="1" applyBorder="1"/>
    <x:xf numFmtId="0" fontId="10" fillId="18" borderId="19" xfId="0" applyNumberFormat="1" applyFont="1" applyFill="1" applyBorder="1"/>
    <x:xf numFmtId="0" fontId="10" fillId="18" borderId="20" xfId="0" applyNumberFormat="1" applyFont="1" applyFill="1" applyBorder="1"/>
    <x:xf numFmtId="0" fontId="10" fillId="18" xfId="0" applyNumberFormat="1" applyFont="1" applyFill="1" applyBorder="0"/>
    <x:xf numFmtId="0" fontId="10" fillId="18" borderId="21" xfId="0" applyNumberFormat="1" applyFont="1" applyFill="1" applyBorder="1"/>
    <x:xf numFmtId="0" fontId="10" fillId="18" borderId="22" xfId="0" applyNumberFormat="1" applyFont="1" applyFill="1" applyBorder="1"/>
    <x:xf numFmtId="0" fontId="10" fillId="18" borderId="25" xfId="0" applyNumberFormat="1" applyFont="1" applyFill="1" applyBorder="1"/>
    <x:xf numFmtId="0" fontId="10" fillId="18" borderId="23" xfId="0" applyNumberFormat="1" applyFont="1" applyFill="1" applyBorder="1"/>
    <x:xf numFmtId="0" fontId="10" fillId="18" borderId="18" xfId="0" applyNumberFormat="1" applyFont="1" applyFill="1" applyBorder="1" applyAlignment="1">
      <x:alignment wrapText="1"/>
    </x:xf>
    <x:xf numFmtId="0" fontId="10" fillId="18" borderId="24" xfId="0" applyNumberFormat="1" applyFont="1" applyFill="1" applyBorder="1" applyAlignment="1">
      <x:alignment wrapText="1"/>
    </x:xf>
    <x:xf numFmtId="0" fontId="10" fillId="18" borderId="19" xfId="0" applyNumberFormat="1" applyFont="1" applyFill="1" applyBorder="1" applyAlignment="1">
      <x:alignment wrapText="1"/>
    </x:xf>
    <x:xf numFmtId="0" fontId="10" fillId="18" borderId="20" xfId="0" applyNumberFormat="1" applyFont="1" applyFill="1" applyBorder="1" applyAlignment="1">
      <x:alignment wrapText="1"/>
    </x:xf>
    <x:xf numFmtId="0" fontId="10" fillId="18" xfId="0" applyNumberFormat="1" applyFont="1" applyFill="1" applyBorder="0" applyAlignment="1">
      <x:alignment wrapText="1"/>
    </x:xf>
    <x:xf numFmtId="0" fontId="10" fillId="18" borderId="21" xfId="0" applyNumberFormat="1" applyFont="1" applyFill="1" applyBorder="1" applyAlignment="1">
      <x:alignment wrapText="1"/>
    </x:xf>
    <x:xf numFmtId="0" fontId="10" fillId="18" borderId="22" xfId="0" applyNumberFormat="1" applyFont="1" applyFill="1" applyBorder="1" applyAlignment="1">
      <x:alignment wrapText="1"/>
    </x:xf>
    <x:xf numFmtId="0" fontId="10" fillId="18" borderId="25" xfId="0" applyNumberFormat="1" applyFont="1" applyFill="1" applyBorder="1" applyAlignment="1">
      <x:alignment wrapText="1"/>
    </x:xf>
    <x:xf numFmtId="0" fontId="10" fillId="18" borderId="23" xfId="0" applyNumberFormat="1" applyFont="1" applyFill="1" applyBorder="1" applyAlignment="1">
      <x:alignment wrapText="1"/>
    </x:xf>
    <x:xf numFmtId="0" fontId="11" fillId="15" borderId="0" xfId="0" applyNumberFormat="1" applyFont="1" applyFill="1" applyBorder="1" applyAlignment="1">
      <x:alignment horizontal="left" vertical="center"/>
    </x:xf>
    <x:xf numFmtId="212" fontId="0" fillId="0" borderId="0" xfId="0" applyNumberFormat="1" applyFont="1" applyFill="1" applyBorder="1"/>
    <x:xf numFmtId="213" fontId="0" fillId="0" borderId="0" xfId="0" applyNumberFormat="1" applyFont="1" applyFill="1" applyBorder="1"/>
    <x:xf numFmtId="203" fontId="0" fillId="0" borderId="0" xfId="0" applyNumberFormat="1" applyFont="1" applyFill="1" applyBorder="1" applyAlignment="1">
      <x:alignment wrapText="1"/>
    </x:xf>
    <x:xf numFmtId="0" fontId="10" fillId="3" borderId="0" xfId="0" applyNumberFormat="1" applyFont="1" applyFill="1" applyBorder="1"/>
    <x:xf numFmtId="0" fontId="10" fillId="3" borderId="0" xfId="0" applyNumberFormat="1" applyFont="1" applyFill="1" applyBorder="1" applyAlignment="1">
      <x:alignment wrapText="1"/>
    </x:xf>
    <x:xf numFmtId="0" fontId="0" fillId="8" xfId="0" applyNumberFormat="1" applyFont="1" applyFill="1" applyBorder="0"/>
    <x:xf numFmtId="0" fontId="7" fillId="8" xfId="0" applyNumberFormat="1" applyFont="1" applyFill="1" applyBorder="0"/>
    <x:xf numFmtId="0" fontId="1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left" wrapText="1"/>
    </x:xf>
    <x:xf numFmtId="0" fontId="3" fillId="4" borderId="0" xfId="0" applyNumberFormat="1" applyFont="1" applyFill="1" applyBorder="1" applyAlignment="1">
      <x:alignment horizontal="left" vertical="center" wrapText="1"/>
    </x:xf>
    <x:xf numFmtId="0" fontId="10" fillId="10" xfId="0" applyNumberFormat="1" applyFont="1" applyFill="1" applyBorder="0"/>
    <x:xf numFmtId="0" fontId="10" fillId="10" xfId="0" applyNumberFormat="1" applyFont="1" applyFill="1" applyBorder="0" applyAlignment="1">
      <x:alignment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horizontal="left"/>
    </x:xf>
    <x:xf numFmtId="0" fontId="3" fillId="19" borderId="0" xfId="0" applyNumberFormat="1" applyFont="1" applyFill="1" applyBorder="1" applyAlignment="1">
      <x:alignment horizontal="left" vertical="center"/>
    </x:xf>
    <x:xf numFmtId="0" fontId="0" fillId="20" borderId="0" xfId="0" applyNumberFormat="1" applyFont="1" applyFill="1" applyBorder="1"/>
    <x:xf numFmtId="0" fontId="4" fillId="20" borderId="0" xfId="0" applyNumberFormat="1" applyFont="1" applyFill="1" applyBorder="1"/>
    <x:xf numFmtId="0" fontId="4" fillId="20" borderId="0" xfId="0" applyNumberFormat="1" applyFont="1" applyFill="1" applyBorder="1" applyAlignment="1">
      <x:alignment wrapText="1"/>
    </x:xf>
    <x:xf numFmtId="0" fontId="4" fillId="20" borderId="26" xfId="0" applyNumberFormat="1" applyFont="1" applyFill="1" applyBorder="1" applyAlignment="1">
      <x:alignment wrapText="1"/>
    </x:xf>
    <x:xf numFmtId="0" fontId="0" fillId="0" borderId="27" xfId="0" applyNumberFormat="1" applyFont="1" applyFill="1" applyBorder="1"/>
    <x:xf numFmtId="0" fontId="4" fillId="20" borderId="28" xfId="0" applyNumberFormat="1" applyFont="1" applyFill="1" applyBorder="1" applyAlignment="1">
      <x:alignment wrapText="1"/>
    </x:xf>
    <x:xf numFmtId="0" fontId="0" fillId="0" borderId="29" xfId="0" applyNumberFormat="1" applyFont="1" applyFill="1" applyBorder="1"/>
    <x:xf numFmtId="0" fontId="4" fillId="20" borderId="30" xfId="0" applyNumberFormat="1" applyFont="1" applyFill="1" applyBorder="1" applyAlignment="1">
      <x:alignment wrapText="1"/>
    </x:xf>
    <x:xf numFmtId="0" fontId="0" fillId="0" borderId="31" xfId="0" applyNumberFormat="1" applyFont="1" applyFill="1" applyBorder="1"/>
    <x:xf numFmtId="204" fontId="0" fillId="0" borderId="29" xfId="0" applyNumberFormat="1" applyFont="1" applyFill="1" applyBorder="1"/>
    <x:xf numFmtId="0" fontId="0" fillId="21" borderId="31" xfId="0" applyNumberFormat="1" applyFont="1" applyFill="1" applyBorder="1"/>
    <x:xf numFmtId="0" fontId="5" fillId="21" borderId="31" xfId="0" applyNumberFormat="1" applyFont="1" applyFill="1" applyBorder="1"/>
    <x:xf numFmtId="0" fontId="0" fillId="0" borderId="29" xfId="0" applyNumberFormat="1" applyFont="1" applyFill="1" applyBorder="1" applyAlignment="1">
      <x:alignment wrapText="1"/>
    </x:xf>
    <x:xf numFmtId="204" fontId="0" fillId="0" borderId="29" xfId="0" applyNumberFormat="1" applyFont="1" applyFill="1" applyBorder="1" applyAlignment="1">
      <x:alignment wrapText="1"/>
    </x:xf>
    <x:xf numFmtId="0" fontId="5" fillId="21" borderId="31" xfId="0" applyNumberFormat="1" applyFont="1" applyFill="1" applyBorder="1" applyAlignment="1">
      <x:alignment wrapText="1"/>
    </x:xf>
    <x:xf numFmtId="0" fontId="0" fillId="0" borderId="26" xfId="0" applyNumberFormat="1" applyFont="1" applyFill="1" applyBorder="1"/>
    <x:xf numFmtId="0" fontId="0" fillId="0" borderId="32" xfId="0" applyNumberFormat="1" applyFont="1" applyFill="1" applyBorder="1"/>
    <x:xf numFmtId="0" fontId="0" fillId="0" borderId="28" xfId="0" applyNumberFormat="1" applyFont="1" applyFill="1" applyBorder="1"/>
    <x:xf numFmtId="0" fontId="0" fillId="0" borderId="30" xfId="0" applyNumberFormat="1" applyFont="1" applyFill="1" applyBorder="1"/>
    <x:xf numFmtId="0" fontId="0" fillId="0" borderId="33" xfId="0" applyNumberFormat="1" applyFont="1" applyFill="1" applyBorder="1"/>
    <x:xf numFmtId="0" fontId="0" fillId="22" borderId="26" xfId="0" applyNumberFormat="1" applyFont="1" applyFill="1" applyBorder="1"/>
    <x:xf numFmtId="0" fontId="0" fillId="22" borderId="32" xfId="0" applyNumberFormat="1" applyFont="1" applyFill="1" applyBorder="1"/>
    <x:xf numFmtId="0" fontId="0" fillId="22" borderId="27" xfId="0" applyNumberFormat="1" applyFont="1" applyFill="1" applyBorder="1"/>
    <x:xf numFmtId="0" fontId="3" fillId="22" borderId="26" xfId="0" applyNumberFormat="1" applyFont="1" applyFill="1" applyBorder="1"/>
    <x:xf numFmtId="0" fontId="3" fillId="22" borderId="32" xfId="0" applyNumberFormat="1" applyFont="1" applyFill="1" applyBorder="1"/>
    <x:xf numFmtId="0" fontId="3" fillId="22" borderId="27" xfId="0" applyNumberFormat="1" applyFont="1" applyFill="1" applyBorder="1"/>
    <x:xf numFmtId="0" fontId="3" fillId="22" borderId="26" xfId="0" applyNumberFormat="1" applyFont="1" applyFill="1" applyBorder="1" applyAlignment="1">
      <x:alignment wrapText="1"/>
    </x:xf>
    <x:xf numFmtId="0" fontId="3" fillId="22" borderId="32" xfId="0" applyNumberFormat="1" applyFont="1" applyFill="1" applyBorder="1" applyAlignment="1">
      <x:alignment wrapText="1"/>
    </x:xf>
    <x:xf numFmtId="0" fontId="3" fillId="22" borderId="27" xfId="0" applyNumberFormat="1" applyFont="1" applyFill="1" applyBorder="1" applyAlignment="1">
      <x:alignment wrapText="1"/>
    </x:xf>
    <x:xf numFmtId="0" fontId="3" fillId="22" borderId="26" xfId="0" applyNumberFormat="1" applyFont="1" applyFill="1" applyBorder="1" applyAlignment="1">
      <x:alignment horizontal="center" wrapText="1"/>
    </x:xf>
    <x:xf numFmtId="0" fontId="3" fillId="22" borderId="32" xfId="0" applyNumberFormat="1" applyFont="1" applyFill="1" applyBorder="1" applyAlignment="1">
      <x:alignment horizontal="center" wrapText="1"/>
    </x:xf>
    <x:xf numFmtId="0" fontId="3" fillId="22" borderId="27" xfId="0" applyNumberFormat="1" applyFont="1" applyFill="1" applyBorder="1" applyAlignment="1">
      <x:alignment horizontal="center" wrapText="1"/>
    </x:xf>
    <x:xf numFmtId="0" fontId="3" fillId="22" borderId="26" xfId="0" applyNumberFormat="1" applyFont="1" applyFill="1" applyBorder="1" applyAlignment="1">
      <x:alignment horizontal="center" vertical="center" wrapText="1"/>
    </x:xf>
    <x:xf numFmtId="0" fontId="3" fillId="22" borderId="32" xfId="0" applyNumberFormat="1" applyFont="1" applyFill="1" applyBorder="1" applyAlignment="1">
      <x:alignment horizontal="center" vertical="center" wrapText="1"/>
    </x:xf>
    <x:xf numFmtId="0" fontId="3" fillId="22" borderId="27" xfId="0" applyNumberFormat="1" applyFont="1" applyFill="1" applyBorder="1" applyAlignment="1">
      <x:alignment horizontal="center" vertical="center" wrapText="1"/>
    </x:xf>
    <x:xf numFmtId="201" fontId="0" fillId="0" xfId="0" applyNumberFormat="1" applyFont="1" applyFill="1" applyBorder="0"/>
    <x:xf numFmtId="0" fontId="0" fillId="0" borderId="33" xfId="0" applyNumberFormat="1" applyFont="1" applyFill="1" applyBorder="1" applyAlignment="1">
      <x:alignment wrapText="1"/>
    </x:xf>
    <x:xf numFmtId="0" fontId="0" fillId="0" borderId="31"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horizontal="left"/>
    </x:xf>
    <x:xf numFmtId="0" fontId="1" fillId="23" borderId="0" xfId="0" applyNumberFormat="1" applyFont="1" applyFill="1" applyBorder="1" applyAlignment="1">
      <x:alignment horizontal="left" vertical="center"/>
    </x:xf>
    <x:xf numFmtId="214" fontId="0" fillId="0" xfId="0" applyNumberFormat="1" applyFont="1" applyFill="1" applyBorder="0"/>
    <x:xf numFmtId="214" fontId="0" fillId="0" borderId="33" xfId="0" applyNumberFormat="1" applyFont="1" applyFill="1" applyBorder="1"/>
    <x:xf numFmtId="0" fontId="0" fillId="24" xfId="0" applyNumberFormat="1" applyFont="1" applyFill="1" applyBorder="0"/>
    <x:xf numFmtId="0" fontId="7" fillId="24" xfId="0" applyNumberFormat="1" applyFont="1" applyFill="1" applyBorder="0"/>
    <x:xf numFmtId="201" fontId="0" fillId="0" borderId="33" xfId="0" applyNumberFormat="1" applyFont="1" applyFill="1" applyBorder="1"/>
    <x:xf numFmtId="0" fontId="10" fillId="20" borderId="0" xfId="0" applyNumberFormat="1" applyFont="1" applyFill="1" applyBorder="1"/>
    <x:xf numFmtId="0" fontId="10" fillId="20" borderId="0" xfId="0" applyNumberFormat="1" applyFont="1" applyFill="1" applyBorder="1" applyAlignment="1">
      <x:alignment wrapText="1"/>
    </x:xf>
    <x:xf numFmtId="0" fontId="10" fillId="20" borderId="0" xfId="0" applyNumberFormat="1" applyFont="1" applyFill="1" applyBorder="1" applyAlignment="1">
      <x:alignment vertical="center" wrapText="1"/>
    </x:xf>
    <x:xf numFmtId="207" fontId="0" fillId="0" xfId="0" applyNumberFormat="1" applyFont="1" applyFill="1" applyBorder="0"/>
    <x:xf numFmtId="207" fontId="0" fillId="0" borderId="33" xfId="0" applyNumberFormat="1" applyFont="1" applyFill="1" applyBorder="1"/>
    <x:xf numFmtId="0" fontId="0" fillId="21" borderId="0" xfId="0" applyNumberFormat="1" applyFont="1" applyFill="1" applyBorder="1"/>
    <x:xf numFmtId="0" fontId="5" fillId="21" borderId="0" xfId="0" applyNumberFormat="1" applyFont="1" applyFill="1" applyBorder="1"/>
    <x:xf numFmtId="0" fontId="5" fillId="21" borderId="0" xfId="0" applyNumberFormat="1" applyFont="1" applyFill="1" applyBorder="1" applyAlignment="1">
      <x:alignment wrapText="1"/>
    </x:xf>
    <x:xf numFmtId="208" fontId="0" fillId="0" xfId="0" applyNumberFormat="1" applyFont="1" applyFill="1" applyBorder="0"/>
    <x:xf numFmtId="208" fontId="0" fillId="0" borderId="33" xfId="0" applyNumberFormat="1" applyFont="1" applyFill="1" applyBorder="1"/>
    <x:xf numFmtId="215" fontId="0" fillId="0" xfId="0" applyNumberFormat="1" applyFont="1" applyFill="1" applyBorder="0"/>
    <x:xf numFmtId="215" fontId="0" fillId="0" borderId="33" xfId="0" applyNumberFormat="1" applyFont="1" applyFill="1" applyBorder="1"/>
    <x:xf numFmtId="216" fontId="0" fillId="0" xfId="0" applyNumberFormat="1" applyFont="1" applyFill="1" applyBorder="0"/>
    <x:xf numFmtId="204" fontId="0" fillId="0" xfId="0" applyNumberFormat="1" applyFont="1" applyFill="1" applyBorder="0"/>
    <x:xf numFmtId="217" fontId="0" fillId="0" borderId="30" xfId="0" applyNumberFormat="1" applyFont="1" applyFill="1" applyBorder="1"/>
    <x:xf numFmtId="0" fontId="0" fillId="24" borderId="33" xfId="0" applyNumberFormat="1" applyFont="1" applyFill="1" applyBorder="1"/>
    <x:xf numFmtId="0" fontId="7" fillId="24" borderId="33" xfId="0" applyNumberFormat="1" applyFont="1" applyFill="1" applyBorder="1"/>
    <x:xf numFmtId="0" fontId="0" fillId="24" borderId="31" xfId="0" applyNumberFormat="1" applyFont="1" applyFill="1" applyBorder="1"/>
    <x:xf numFmtId="0" fontId="7" fillId="24" borderId="31" xfId="0" applyNumberFormat="1" applyFont="1" applyFill="1" applyBorder="1"/>
    <x:xf numFmtId="203" fontId="0" fillId="0" borderId="33" xfId="0" applyNumberFormat="1" applyFont="1" applyFill="1" applyBorder="1"/>
    <x:xf numFmtId="202" fontId="0" fillId="0" xfId="0" applyNumberFormat="1" applyFont="1" applyFill="1" applyBorder="0"/>
    <x:xf numFmtId="202" fontId="0" fillId="0" borderId="33" xfId="0" applyNumberFormat="1" applyFont="1" applyFill="1" applyBorder="1"/>
    <x:xf numFmtId="212" fontId="0" fillId="0" borderId="33" xfId="0" applyNumberFormat="1" applyFont="1" applyFill="1" applyBorder="1"/>
    <x:xf numFmtId="218" fontId="0" fillId="0" borderId="29" xfId="0" applyNumberFormat="1" applyFont="1" applyFill="1" applyBorder="1"/>
    <x:xf numFmtId="218" fontId="0" fillId="0" borderId="31" xfId="0" applyNumberFormat="1" applyFont="1" applyFill="1" applyBorder="1"/>
    <x:xf numFmtId="219" fontId="0" fillId="0" xfId="0" applyNumberFormat="1" applyFont="1" applyFill="1" applyBorder="0"/>
    <x:xf numFmtId="219" fontId="0" fillId="0" borderId="33" xfId="0" applyNumberFormat="1" applyFont="1" applyFill="1" applyBorder="1"/>
    <x:xf numFmtId="0" fontId="13" fillId="21" borderId="0" xfId="0" applyNumberFormat="1" applyFont="1" applyFill="1" applyBorder="1"/>
    <x:xf numFmtId="0" fontId="13" fillId="21" borderId="0" xfId="0" applyNumberFormat="1" applyFont="1" applyFill="1" applyBorder="1" applyAlignment="1">
      <x:alignment wrapText="1"/>
    </x:xf>
    <x:xf numFmtId="0" fontId="0" fillId="24" borderId="32" xfId="0" applyNumberFormat="1" applyFont="1" applyFill="1" applyBorder="1"/>
    <x:xf numFmtId="0" fontId="7" fillId="24" borderId="32" xfId="0" applyNumberFormat="1" applyFont="1" applyFill="1" applyBorder="1"/>
    <x:xf numFmtId="0" fontId="0" fillId="0" borderId="27" xfId="0" applyNumberFormat="1" applyFont="1" applyFill="1" applyBorder="1" applyAlignment="1">
      <x:alignment wrapText="1"/>
    </x:xf>
    <x:xf numFmtId="0" fontId="0" fillId="25" borderId="0" xfId="0" applyNumberFormat="1" applyFont="1" applyFill="1" applyBorder="1"/>
    <x:xf numFmtId="0" fontId="10" fillId="25" borderId="0" xfId="0" applyNumberFormat="1" applyFont="1" applyFill="1" applyBorder="1"/>
    <x:xf numFmtId="0" fontId="10" fillId="25" borderId="26" xfId="0" applyNumberFormat="1" applyFont="1" applyFill="1" applyBorder="1"/>
    <x:xf numFmtId="0" fontId="10" fillId="25" borderId="32" xfId="0" applyNumberFormat="1" applyFont="1" applyFill="1" applyBorder="1"/>
    <x:xf numFmtId="0" fontId="10" fillId="25" borderId="27" xfId="0" applyNumberFormat="1" applyFont="1" applyFill="1" applyBorder="1"/>
    <x:xf numFmtId="0" fontId="10" fillId="25" borderId="28" xfId="0" applyNumberFormat="1" applyFont="1" applyFill="1" applyBorder="1"/>
    <x:xf numFmtId="0" fontId="10" fillId="25" xfId="0" applyNumberFormat="1" applyFont="1" applyFill="1" applyBorder="0"/>
    <x:xf numFmtId="0" fontId="10" fillId="25" borderId="29" xfId="0" applyNumberFormat="1" applyFont="1" applyFill="1" applyBorder="1"/>
    <x:xf numFmtId="0" fontId="10" fillId="25" borderId="30" xfId="0" applyNumberFormat="1" applyFont="1" applyFill="1" applyBorder="1"/>
    <x:xf numFmtId="0" fontId="10" fillId="25" borderId="33" xfId="0" applyNumberFormat="1" applyFont="1" applyFill="1" applyBorder="1"/>
    <x:xf numFmtId="0" fontId="10" fillId="25" borderId="31" xfId="0" applyNumberFormat="1" applyFont="1" applyFill="1" applyBorder="1"/>
    <x:xf numFmtId="0" fontId="10" fillId="25" borderId="26" xfId="0" applyNumberFormat="1" applyFont="1" applyFill="1" applyBorder="1" applyAlignment="1">
      <x:alignment wrapText="1"/>
    </x:xf>
    <x:xf numFmtId="0" fontId="10" fillId="25" borderId="32" xfId="0" applyNumberFormat="1" applyFont="1" applyFill="1" applyBorder="1" applyAlignment="1">
      <x:alignment wrapText="1"/>
    </x:xf>
    <x:xf numFmtId="0" fontId="10" fillId="25" borderId="27" xfId="0" applyNumberFormat="1" applyFont="1" applyFill="1" applyBorder="1" applyAlignment="1">
      <x:alignment wrapText="1"/>
    </x:xf>
    <x:xf numFmtId="0" fontId="10" fillId="25" borderId="28" xfId="0" applyNumberFormat="1" applyFont="1" applyFill="1" applyBorder="1" applyAlignment="1">
      <x:alignment wrapText="1"/>
    </x:xf>
    <x:xf numFmtId="0" fontId="10" fillId="25" xfId="0" applyNumberFormat="1" applyFont="1" applyFill="1" applyBorder="0" applyAlignment="1">
      <x:alignment wrapText="1"/>
    </x:xf>
    <x:xf numFmtId="0" fontId="10" fillId="25" borderId="29" xfId="0" applyNumberFormat="1" applyFont="1" applyFill="1" applyBorder="1" applyAlignment="1">
      <x:alignment wrapText="1"/>
    </x:xf>
    <x:xf numFmtId="0" fontId="10" fillId="25" borderId="30" xfId="0" applyNumberFormat="1" applyFont="1" applyFill="1" applyBorder="1" applyAlignment="1">
      <x:alignment wrapText="1"/>
    </x:xf>
    <x:xf numFmtId="0" fontId="10" fillId="25" borderId="33" xfId="0" applyNumberFormat="1" applyFont="1" applyFill="1" applyBorder="1" applyAlignment="1">
      <x:alignment wrapText="1"/>
    </x:xf>
    <x:xf numFmtId="0" fontId="10" fillId="25" borderId="31" xfId="0" applyNumberFormat="1" applyFont="1" applyFill="1" applyBorder="1" applyAlignment="1">
      <x:alignment wrapText="1"/>
    </x:xf>
    <x:xf numFmtId="0" fontId="11" fillId="23" borderId="0" xfId="0" applyNumberFormat="1" applyFont="1" applyFill="1" applyBorder="1" applyAlignment="1">
      <x:alignment horizontal="left" vertical="center"/>
    </x:xf>
    <x:xf numFmtId="204" fontId="0" fillId="0" borderId="0" xfId="0" applyNumberFormat="1" applyFont="1" applyFill="1" applyBorder="1" applyAlignment="1">
      <x:alignment wrapText="1"/>
    </x:xf>
    <x:xf numFmtId="214" fontId="0" fillId="0" borderId="0" xfId="0" applyNumberFormat="1" applyFont="1" applyFill="1" applyBorder="1"/>
    <x:xf numFmtId="0" fontId="10" fillId="3" borderId="0" xfId="0" applyNumberFormat="1" applyFont="1" applyFill="1" applyBorder="1" applyAlignment="1">
      <x:alignment vertical="center" wrapText="1"/>
    </x:xf>
    <x:xf numFmtId="215" fontId="0" fillId="0" borderId="0" xfId="0" applyNumberFormat="1" applyFont="1" applyFill="1" applyBorder="1"/>
    <x:xf numFmtId="217" fontId="0" fillId="0" borderId="0" xfId="0" applyNumberFormat="1" applyFont="1" applyFill="1" applyBorder="1"/>
    <x:xf numFmtId="218" fontId="0" fillId="0" borderId="0" xfId="0" applyNumberFormat="1" applyFont="1" applyFill="1" applyBorder="1"/>
    <x:xf numFmtId="219" fontId="0" fillId="0"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wrapText="1"/>
    </x:xf>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horizontal="left"/>
    </x:xf>
    <x:xf numFmtId="0" fontId="3" fillId="26" borderId="0" xfId="0" applyNumberFormat="1" applyFont="1" applyFill="1" applyBorder="1" applyAlignment="1">
      <x:alignment horizontal="left" vertical="center"/>
    </x:xf>
    <x:xf numFmtId="0" fontId="0" fillId="27" borderId="0" xfId="0" applyNumberFormat="1" applyFont="1" applyFill="1" applyBorder="1"/>
    <x:xf numFmtId="0" fontId="4" fillId="27" borderId="0" xfId="0" applyNumberFormat="1" applyFont="1" applyFill="1" applyBorder="1"/>
    <x:xf numFmtId="0" fontId="4" fillId="27" borderId="0" xfId="0" applyNumberFormat="1" applyFont="1" applyFill="1" applyBorder="1" applyAlignment="1">
      <x:alignment wrapText="1"/>
    </x:xf>
    <x:xf numFmtId="0" fontId="4" fillId="27" borderId="34" xfId="0" applyNumberFormat="1" applyFont="1" applyFill="1" applyBorder="1" applyAlignment="1">
      <x:alignment wrapText="1"/>
    </x:xf>
    <x:xf numFmtId="0" fontId="0" fillId="0" borderId="35" xfId="0" applyNumberFormat="1" applyFont="1" applyFill="1" applyBorder="1"/>
    <x:xf numFmtId="0" fontId="4" fillId="27" borderId="36" xfId="0" applyNumberFormat="1" applyFont="1" applyFill="1" applyBorder="1" applyAlignment="1">
      <x:alignment wrapText="1"/>
    </x:xf>
    <x:xf numFmtId="0" fontId="0" fillId="0" borderId="37" xfId="0" applyNumberFormat="1" applyFont="1" applyFill="1" applyBorder="1"/>
    <x:xf numFmtId="0" fontId="4" fillId="27" borderId="38" xfId="0" applyNumberFormat="1" applyFont="1" applyFill="1" applyBorder="1" applyAlignment="1">
      <x:alignment wrapText="1"/>
    </x:xf>
    <x:xf numFmtId="0" fontId="0" fillId="0" borderId="39" xfId="0" applyNumberFormat="1" applyFont="1" applyFill="1" applyBorder="1"/>
    <x:xf numFmtId="200" fontId="0" fillId="0" borderId="37" xfId="0" applyNumberFormat="1" applyFont="1" applyFill="1" applyBorder="1"/>
    <x:xf numFmtId="0" fontId="0" fillId="28" borderId="37" xfId="0" applyNumberFormat="1" applyFont="1" applyFill="1" applyBorder="1"/>
    <x:xf numFmtId="0" fontId="5" fillId="28" borderId="37" xfId="0" applyNumberFormat="1" applyFont="1" applyFill="1" applyBorder="1"/>
    <x:xf numFmtId="0" fontId="0" fillId="28" borderId="39" xfId="0" applyNumberFormat="1" applyFont="1" applyFill="1" applyBorder="1"/>
    <x:xf numFmtId="0" fontId="5" fillId="28" borderId="39" xfId="0" applyNumberFormat="1" applyFont="1" applyFill="1" applyBorder="1"/>
    <x:xf numFmtId="0" fontId="0" fillId="0" borderId="37" xfId="0" applyNumberFormat="1" applyFont="1" applyFill="1" applyBorder="1" applyAlignment="1">
      <x:alignment wrapText="1"/>
    </x:xf>
    <x:xf numFmtId="0" fontId="5" fillId="28" borderId="37" xfId="0" applyNumberFormat="1" applyFont="1" applyFill="1" applyBorder="1" applyAlignment="1">
      <x:alignment wrapText="1"/>
    </x:xf>
    <x:xf numFmtId="200" fontId="0" fillId="0" borderId="37" xfId="0" applyNumberFormat="1" applyFont="1" applyFill="1" applyBorder="1" applyAlignment="1">
      <x:alignment wrapText="1"/>
    </x:xf>
    <x:xf numFmtId="0" fontId="5" fillId="28" borderId="39" xfId="0" applyNumberFormat="1" applyFont="1" applyFill="1" applyBorder="1" applyAlignment="1">
      <x:alignment wrapText="1"/>
    </x:xf>
    <x:xf numFmtId="0" fontId="0" fillId="0" borderId="34" xfId="0" applyNumberFormat="1" applyFont="1" applyFill="1" applyBorder="1"/>
    <x:xf numFmtId="0" fontId="0" fillId="0" borderId="40" xfId="0" applyNumberFormat="1" applyFont="1" applyFill="1" applyBorder="1"/>
    <x:xf numFmtId="0" fontId="0" fillId="0" borderId="36" xfId="0" applyNumberFormat="1" applyFont="1" applyFill="1" applyBorder="1"/>
    <x:xf numFmtId="0" fontId="0" fillId="0" borderId="38" xfId="0" applyNumberFormat="1" applyFont="1" applyFill="1" applyBorder="1"/>
    <x:xf numFmtId="0" fontId="0" fillId="0" borderId="41" xfId="0" applyNumberFormat="1" applyFont="1" applyFill="1" applyBorder="1"/>
    <x:xf numFmtId="0" fontId="0" fillId="29" borderId="34" xfId="0" applyNumberFormat="1" applyFont="1" applyFill="1" applyBorder="1"/>
    <x:xf numFmtId="0" fontId="0" fillId="29" borderId="40" xfId="0" applyNumberFormat="1" applyFont="1" applyFill="1" applyBorder="1"/>
    <x:xf numFmtId="0" fontId="0" fillId="29" borderId="35" xfId="0" applyNumberFormat="1" applyFont="1" applyFill="1" applyBorder="1"/>
    <x:xf numFmtId="0" fontId="3" fillId="29" borderId="34" xfId="0" applyNumberFormat="1" applyFont="1" applyFill="1" applyBorder="1"/>
    <x:xf numFmtId="0" fontId="3" fillId="29" borderId="40" xfId="0" applyNumberFormat="1" applyFont="1" applyFill="1" applyBorder="1"/>
    <x:xf numFmtId="0" fontId="3" fillId="29" borderId="35" xfId="0" applyNumberFormat="1" applyFont="1" applyFill="1" applyBorder="1"/>
    <x:xf numFmtId="0" fontId="3" fillId="29" borderId="34" xfId="0" applyNumberFormat="1" applyFont="1" applyFill="1" applyBorder="1" applyAlignment="1">
      <x:alignment wrapText="1"/>
    </x:xf>
    <x:xf numFmtId="0" fontId="3" fillId="29" borderId="40" xfId="0" applyNumberFormat="1" applyFont="1" applyFill="1" applyBorder="1" applyAlignment="1">
      <x:alignment wrapText="1"/>
    </x:xf>
    <x:xf numFmtId="0" fontId="3" fillId="29" borderId="35" xfId="0" applyNumberFormat="1" applyFont="1" applyFill="1" applyBorder="1" applyAlignment="1">
      <x:alignment wrapText="1"/>
    </x:xf>
    <x:xf numFmtId="0" fontId="3" fillId="29" borderId="34" xfId="0" applyNumberFormat="1" applyFont="1" applyFill="1" applyBorder="1" applyAlignment="1">
      <x:alignment horizontal="center" wrapText="1"/>
    </x:xf>
    <x:xf numFmtId="0" fontId="3" fillId="29" borderId="40" xfId="0" applyNumberFormat="1" applyFont="1" applyFill="1" applyBorder="1" applyAlignment="1">
      <x:alignment horizontal="center" wrapText="1"/>
    </x:xf>
    <x:xf numFmtId="0" fontId="3" fillId="29" borderId="35" xfId="0" applyNumberFormat="1" applyFont="1" applyFill="1" applyBorder="1" applyAlignment="1">
      <x:alignment horizontal="center" wrapText="1"/>
    </x:xf>
    <x:xf numFmtId="0" fontId="3" fillId="29" borderId="34" xfId="0" applyNumberFormat="1" applyFont="1" applyFill="1" applyBorder="1" applyAlignment="1">
      <x:alignment horizontal="center" vertical="center" wrapText="1"/>
    </x:xf>
    <x:xf numFmtId="0" fontId="3" fillId="29" borderId="40" xfId="0" applyNumberFormat="1" applyFont="1" applyFill="1" applyBorder="1" applyAlignment="1">
      <x:alignment horizontal="center" vertical="center" wrapText="1"/>
    </x:xf>
    <x:xf numFmtId="0" fontId="3" fillId="29" borderId="35" xfId="0" applyNumberFormat="1" applyFont="1" applyFill="1" applyBorder="1" applyAlignment="1">
      <x:alignment horizontal="center" vertical="center" wrapText="1"/>
    </x:xf>
    <x:xf numFmtId="0" fontId="0" fillId="0" borderId="41" xfId="0" applyNumberFormat="1" applyFont="1" applyFill="1" applyBorder="1" applyAlignment="1">
      <x:alignment wrapText="1"/>
    </x:xf>
    <x:xf numFmtId="0" fontId="0" fillId="0" borderId="39" xfId="0" applyNumberFormat="1" applyFont="1" applyFill="1" applyBorder="1" applyAlignment="1">
      <x:alignment wrapText="1"/>
    </x:xf>
    <x:xf numFmtId="0" fontId="0" fillId="30" borderId="0" xfId="0" applyNumberFormat="1" applyFont="1" applyFill="1" applyBorder="1"/>
    <x:xf numFmtId="0" fontId="1" fillId="30" borderId="0" xfId="0" applyNumberFormat="1" applyFont="1" applyFill="1" applyBorder="1"/>
    <x:xf numFmtId="0" fontId="1" fillId="30" borderId="0" xfId="0" applyNumberFormat="1" applyFont="1" applyFill="1" applyBorder="1" applyAlignment="1">
      <x:alignment horizontal="left"/>
    </x:xf>
    <x:xf numFmtId="0" fontId="1" fillId="30" borderId="0" xfId="0" applyNumberFormat="1" applyFont="1" applyFill="1" applyBorder="1" applyAlignment="1">
      <x:alignment horizontal="left" vertical="center"/>
    </x:xf>
    <x:xf numFmtId="0" fontId="0" fillId="28" borderId="0" xfId="0" applyNumberFormat="1" applyFont="1" applyFill="1" applyBorder="1"/>
    <x:xf numFmtId="0" fontId="5" fillId="28" borderId="0" xfId="0" applyNumberFormat="1" applyFont="1" applyFill="1" applyBorder="1"/>
    <x:xf numFmtId="0" fontId="5" fillId="28" borderId="0" xfId="0" applyNumberFormat="1" applyFont="1" applyFill="1" applyBorder="1" applyAlignment="1">
      <x:alignment wrapText="1"/>
    </x:xf>
    <x:xf numFmtId="200" fontId="0" fillId="0" borderId="35" xfId="0" applyNumberFormat="1" applyFont="1" applyFill="1" applyBorder="1"/>
    <x:xf numFmtId="207" fontId="0" fillId="0" borderId="37" xfId="0" applyNumberFormat="1" applyFont="1" applyFill="1" applyBorder="1"/>
    <x:xf numFmtId="201" fontId="0" fillId="0" borderId="41" xfId="0" applyNumberFormat="1" applyFont="1" applyFill="1" applyBorder="1"/>
    <x:xf numFmtId="0" fontId="4" fillId="26" borderId="36" xfId="0" applyNumberFormat="1" applyFont="1" applyFill="1" applyBorder="1" applyAlignment="1">
      <x:alignment wrapText="1"/>
    </x:xf>
    <x:xf numFmtId="0" fontId="0" fillId="26" borderId="37" xfId="0" applyNumberFormat="1" applyFont="1" applyFill="1" applyBorder="1" applyAlignment="1">
      <x:alignment wrapText="1"/>
    </x:xf>
    <x:xf numFmtId="0" fontId="3" fillId="26" borderId="36" xfId="0" applyNumberFormat="1" applyFont="1" applyFill="1" applyBorder="1" applyAlignment="1">
      <x:alignment wrapText="1"/>
    </x:xf>
    <x:xf numFmtId="0" fontId="3" fillId="26" borderId="37" xfId="0" applyNumberFormat="1" applyFont="1" applyFill="1" applyBorder="1" applyAlignment="1">
      <x:alignment wrapText="1"/>
    </x:xf>
    <x:xf numFmtId="0" fontId="3" fillId="26" borderId="36" xfId="0" applyNumberFormat="1" applyFont="1" applyFill="1" applyBorder="1" applyAlignment="1">
      <x:alignment horizontal="left" wrapText="1"/>
    </x:xf>
    <x:xf numFmtId="0" fontId="3" fillId="26" borderId="37" xfId="0" applyNumberFormat="1" applyFont="1" applyFill="1" applyBorder="1" applyAlignment="1">
      <x:alignment horizontal="left" wrapText="1"/>
    </x:xf>
    <x:xf numFmtId="0" fontId="3" fillId="26" borderId="36" xfId="0" applyNumberFormat="1" applyFont="1" applyFill="1" applyBorder="1" applyAlignment="1">
      <x:alignment horizontal="left" vertical="center" wrapText="1"/>
    </x:xf>
    <x:xf numFmtId="0" fontId="3" fillId="26" borderId="37" xfId="0" applyNumberFormat="1" applyFont="1" applyFill="1" applyBorder="1" applyAlignment="1">
      <x:alignment horizontal="left" vertical="center" wrapText="1"/>
    </x:xf>
    <x:xf numFmtId="0" fontId="10" fillId="27" borderId="0" xfId="0" applyNumberFormat="1" applyFont="1" applyFill="1" applyBorder="1"/>
    <x:xf numFmtId="0" fontId="10" fillId="27" borderId="0" xfId="0" applyNumberFormat="1" applyFont="1" applyFill="1" applyBorder="1" applyAlignment="1">
      <x:alignment wrapText="1"/>
    </x:xf>
    <x:xf numFmtId="204" fontId="0" fillId="0" borderId="36" xfId="0" applyNumberFormat="1" applyFont="1" applyFill="1" applyBorder="1"/>
    <x:xf numFmtId="204" fontId="0" fillId="0" borderId="38" xfId="0" applyNumberFormat="1" applyFont="1" applyFill="1" applyBorder="1"/>
    <x:xf numFmtId="204" fontId="0" fillId="0" borderId="41" xfId="0" applyNumberFormat="1" applyFont="1" applyFill="1" applyBorder="1"/>
    <x:xf numFmtId="216" fontId="0" fillId="0" borderId="37" xfId="0" applyNumberFormat="1" applyFont="1" applyFill="1" applyBorder="1"/>
    <x:xf numFmtId="216" fontId="0" fillId="0" borderId="41" xfId="0" applyNumberFormat="1" applyFont="1" applyFill="1" applyBorder="1"/>
    <x:xf numFmtId="216" fontId="0" fillId="0" borderId="39" xfId="0" applyNumberFormat="1" applyFont="1" applyFill="1" applyBorder="1"/>
    <x:xf numFmtId="206" fontId="0" fillId="0" xfId="0" applyNumberFormat="1" applyFont="1" applyFill="1" applyBorder="0"/>
    <x:xf numFmtId="209" fontId="0" fillId="0" xfId="0" applyNumberFormat="1" applyFont="1" applyFill="1" applyBorder="0"/>
    <x:xf numFmtId="213" fontId="0" fillId="0" borderId="37" xfId="0" applyNumberFormat="1" applyFont="1" applyFill="1" applyBorder="1"/>
    <x:xf numFmtId="200" fontId="0" fillId="0" borderId="36" xfId="0" applyNumberFormat="1" applyFont="1" applyFill="1" applyBorder="1"/>
    <x:xf numFmtId="200" fontId="0" fillId="0" borderId="38" xfId="0" applyNumberFormat="1" applyFont="1" applyFill="1" applyBorder="1"/>
    <x:xf numFmtId="212" fontId="0" fillId="0" borderId="41" xfId="0" applyNumberFormat="1" applyFont="1" applyFill="1" applyBorder="1"/>
    <x:xf numFmtId="203" fontId="0" fillId="0" borderId="41" xfId="0" applyNumberFormat="1" applyFont="1" applyFill="1" applyBorder="1"/>
    <x:xf numFmtId="217" fontId="0" fillId="0" xfId="0" applyNumberFormat="1" applyFont="1" applyFill="1" applyBorder="0"/>
    <x:xf numFmtId="217" fontId="0" fillId="0" borderId="41" xfId="0" applyNumberFormat="1" applyFont="1" applyFill="1" applyBorder="1"/>
    <x:xf numFmtId="0" fontId="0" fillId="31" borderId="40" xfId="0" applyNumberFormat="1" applyFont="1" applyFill="1" applyBorder="1"/>
    <x:xf numFmtId="0" fontId="0" fillId="31" xfId="0" applyNumberFormat="1" applyFont="1" applyFill="1" applyBorder="0"/>
    <x:xf numFmtId="0" fontId="0" fillId="31" borderId="41" xfId="0" applyNumberFormat="1" applyFont="1" applyFill="1" applyBorder="1"/>
    <x:xf numFmtId="0" fontId="7" fillId="31" borderId="40" xfId="0" applyNumberFormat="1" applyFont="1" applyFill="1" applyBorder="1"/>
    <x:xf numFmtId="0" fontId="7" fillId="31" xfId="0" applyNumberFormat="1" applyFont="1" applyFill="1" applyBorder="0"/>
    <x:xf numFmtId="0" fontId="7" fillId="31" borderId="41" xfId="0" applyNumberFormat="1" applyFont="1" applyFill="1" applyBorder="1"/>
    <x:xf numFmtId="0" fontId="0" fillId="0" borderId="35" xfId="0" applyNumberFormat="1" applyFont="1" applyFill="1" applyBorder="1" applyAlignment="1">
      <x:alignment wrapText="1"/>
    </x:xf>
    <x:xf numFmtId="0" fontId="0" fillId="32" borderId="0" xfId="0" applyNumberFormat="1" applyFont="1" applyFill="1" applyBorder="1"/>
    <x:xf numFmtId="0" fontId="10" fillId="32" borderId="0" xfId="0" applyNumberFormat="1" applyFont="1" applyFill="1" applyBorder="1"/>
    <x:xf numFmtId="0" fontId="10" fillId="32" borderId="34" xfId="0" applyNumberFormat="1" applyFont="1" applyFill="1" applyBorder="1"/>
    <x:xf numFmtId="0" fontId="10" fillId="32" borderId="40" xfId="0" applyNumberFormat="1" applyFont="1" applyFill="1" applyBorder="1"/>
    <x:xf numFmtId="0" fontId="10" fillId="32" borderId="35" xfId="0" applyNumberFormat="1" applyFont="1" applyFill="1" applyBorder="1"/>
    <x:xf numFmtId="0" fontId="10" fillId="32" borderId="36" xfId="0" applyNumberFormat="1" applyFont="1" applyFill="1" applyBorder="1"/>
    <x:xf numFmtId="0" fontId="10" fillId="32" xfId="0" applyNumberFormat="1" applyFont="1" applyFill="1" applyBorder="0"/>
    <x:xf numFmtId="0" fontId="10" fillId="32" borderId="37" xfId="0" applyNumberFormat="1" applyFont="1" applyFill="1" applyBorder="1"/>
    <x:xf numFmtId="0" fontId="10" fillId="32" borderId="38" xfId="0" applyNumberFormat="1" applyFont="1" applyFill="1" applyBorder="1"/>
    <x:xf numFmtId="0" fontId="10" fillId="32" borderId="41" xfId="0" applyNumberFormat="1" applyFont="1" applyFill="1" applyBorder="1"/>
    <x:xf numFmtId="0" fontId="10" fillId="32" borderId="39" xfId="0" applyNumberFormat="1" applyFont="1" applyFill="1" applyBorder="1"/>
    <x:xf numFmtId="0" fontId="10" fillId="32" borderId="34" xfId="0" applyNumberFormat="1" applyFont="1" applyFill="1" applyBorder="1" applyAlignment="1">
      <x:alignment wrapText="1"/>
    </x:xf>
    <x:xf numFmtId="0" fontId="10" fillId="32" borderId="40" xfId="0" applyNumberFormat="1" applyFont="1" applyFill="1" applyBorder="1" applyAlignment="1">
      <x:alignment wrapText="1"/>
    </x:xf>
    <x:xf numFmtId="0" fontId="10" fillId="32" borderId="35" xfId="0" applyNumberFormat="1" applyFont="1" applyFill="1" applyBorder="1" applyAlignment="1">
      <x:alignment wrapText="1"/>
    </x:xf>
    <x:xf numFmtId="0" fontId="10" fillId="32" borderId="36" xfId="0" applyNumberFormat="1" applyFont="1" applyFill="1" applyBorder="1" applyAlignment="1">
      <x:alignment wrapText="1"/>
    </x:xf>
    <x:xf numFmtId="0" fontId="10" fillId="32" xfId="0" applyNumberFormat="1" applyFont="1" applyFill="1" applyBorder="0" applyAlignment="1">
      <x:alignment wrapText="1"/>
    </x:xf>
    <x:xf numFmtId="0" fontId="10" fillId="32" borderId="37" xfId="0" applyNumberFormat="1" applyFont="1" applyFill="1" applyBorder="1" applyAlignment="1">
      <x:alignment wrapText="1"/>
    </x:xf>
    <x:xf numFmtId="0" fontId="10" fillId="32" borderId="38" xfId="0" applyNumberFormat="1" applyFont="1" applyFill="1" applyBorder="1" applyAlignment="1">
      <x:alignment wrapText="1"/>
    </x:xf>
    <x:xf numFmtId="0" fontId="10" fillId="32" borderId="41" xfId="0" applyNumberFormat="1" applyFont="1" applyFill="1" applyBorder="1" applyAlignment="1">
      <x:alignment wrapText="1"/>
    </x:xf>
    <x:xf numFmtId="0" fontId="10" fillId="32" borderId="39" xfId="0" applyNumberFormat="1" applyFont="1" applyFill="1" applyBorder="1" applyAlignment="1">
      <x:alignment wrapText="1"/>
    </x:xf>
    <x:xf numFmtId="0" fontId="11" fillId="30" borderId="0" xfId="0" applyNumberFormat="1" applyFont="1" applyFill="1" applyBorder="1" applyAlignment="1">
      <x:alignment horizontal="left" vertical="center"/>
    </x:xf>
    <x:xf numFmtId="200" fontId="0" fillId="0" borderId="0" xfId="0" applyNumberFormat="1" applyFont="1" applyFill="1" applyBorder="1" applyAlignment="1">
      <x:alignment wrapText="1"/>
    </x:xf>
    <x:xf numFmtId="0" fontId="4" fillId="4" borderId="0" xfId="0" applyNumberFormat="1" applyFont="1" applyFill="1" applyBorder="1" applyAlignment="1">
      <x:alignment wrapText="1"/>
    </x:xf>
    <x:xf numFmtId="0" fontId="0" fillId="4" borderId="0" xfId="0" applyNumberFormat="1" applyFont="1" applyFill="1" applyBorder="1" applyAlignment="1">
      <x:alignment wrapText="1"/>
    </x:xf>
    <x:xf numFmtId="216" fontId="0" fillId="0" borderId="0" xfId="0" applyNumberFormat="1" applyFont="1" applyFill="1" applyBorder="1"/>
    <x:xf numFmtId="0" fontId="3" fillId="33" borderId="0" xfId="0" applyNumberFormat="1" applyFont="1" applyFill="1" applyBorder="1" applyAlignment="1">
      <x:alignment horizontal="left" vertical="center"/>
    </x:xf>
    <x:xf numFmtId="0" fontId="0" fillId="33" borderId="0" xfId="0" applyNumberFormat="1" applyFont="1" applyFill="1" applyBorder="1"/>
    <x:xf numFmtId="0" fontId="3" fillId="33" borderId="0" xfId="0" applyNumberFormat="1" applyFont="1" applyFill="1" applyBorder="1"/>
    <x:xf numFmtId="0" fontId="3" fillId="33" borderId="0" xfId="0" applyNumberFormat="1" applyFont="1" applyFill="1" applyBorder="1" applyAlignment="1">
      <x:alignment horizontal="left"/>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horizontal="left"/>
    </x:xf>
    <x:xf numFmtId="0" fontId="3" fillId="34" borderId="0" xfId="0" applyNumberFormat="1" applyFont="1" applyFill="1" applyBorder="1" applyAlignment="1">
      <x:alignment horizontal="left" vertical="center"/>
    </x:xf>
    <x:xf numFmtId="0" fontId="0" fillId="35" borderId="0" xfId="0" applyNumberFormat="1" applyFont="1" applyFill="1" applyBorder="1"/>
    <x:xf numFmtId="0" fontId="4" fillId="35" borderId="0" xfId="0" applyNumberFormat="1" applyFont="1" applyFill="1" applyBorder="1"/>
    <x:xf numFmtId="0" fontId="4" fillId="35" borderId="0" xfId="0" applyNumberFormat="1" applyFont="1" applyFill="1" applyBorder="1" applyAlignment="1">
      <x:alignment wrapText="1"/>
    </x:xf>
    <x:xf numFmtId="0" fontId="4" fillId="35" borderId="42" xfId="0" applyNumberFormat="1" applyFont="1" applyFill="1" applyBorder="1" applyAlignment="1">
      <x:alignment wrapText="1"/>
    </x:xf>
    <x:xf numFmtId="0" fontId="0" fillId="0" borderId="43" xfId="0" applyNumberFormat="1" applyFont="1" applyFill="1" applyBorder="1"/>
    <x:xf numFmtId="0" fontId="4" fillId="35" borderId="44" xfId="0" applyNumberFormat="1" applyFont="1" applyFill="1" applyBorder="1" applyAlignment="1">
      <x:alignment wrapText="1"/>
    </x:xf>
    <x:xf numFmtId="0" fontId="0" fillId="0" borderId="45" xfId="0" applyNumberFormat="1" applyFont="1" applyFill="1" applyBorder="1"/>
    <x:xf numFmtId="0" fontId="4" fillId="35" borderId="46" xfId="0" applyNumberFormat="1" applyFont="1" applyFill="1" applyBorder="1" applyAlignment="1">
      <x:alignment wrapText="1"/>
    </x:xf>
    <x:xf numFmtId="0" fontId="0" fillId="0" borderId="47" xfId="0" applyNumberFormat="1" applyFont="1" applyFill="1" applyBorder="1"/>
    <x:xf numFmtId="220" fontId="0" fillId="0" borderId="45" xfId="0" applyNumberFormat="1" applyFont="1" applyFill="1" applyBorder="1"/>
    <x:xf numFmtId="207" fontId="0" fillId="0" borderId="45" xfId="0" applyNumberFormat="1" applyFont="1" applyFill="1" applyBorder="1"/>
    <x:xf numFmtId="0" fontId="0" fillId="36" borderId="43" xfId="0" applyNumberFormat="1" applyFont="1" applyFill="1" applyBorder="1"/>
    <x:xf numFmtId="0" fontId="7" fillId="36" borderId="43" xfId="0" applyNumberFormat="1" applyFont="1" applyFill="1" applyBorder="1"/>
    <x:xf numFmtId="0" fontId="0" fillId="36" borderId="45" xfId="0" applyNumberFormat="1" applyFont="1" applyFill="1" applyBorder="1"/>
    <x:xf numFmtId="0" fontId="7" fillId="36" borderId="45" xfId="0" applyNumberFormat="1" applyFont="1" applyFill="1" applyBorder="1"/>
    <x:xf numFmtId="0" fontId="0" fillId="0" borderId="45" xfId="0" applyNumberFormat="1" applyFont="1" applyFill="1" applyBorder="1" applyAlignment="1">
      <x:alignment wrapText="1"/>
    </x:xf>
    <x:xf numFmtId="220" fontId="0" fillId="0" borderId="45" xfId="0" applyNumberFormat="1" applyFont="1" applyFill="1" applyBorder="1" applyAlignment="1">
      <x:alignment wrapText="1"/>
    </x:xf>
    <x:xf numFmtId="207" fontId="0" fillId="0" borderId="45" xfId="0" applyNumberFormat="1" applyFont="1" applyFill="1" applyBorder="1" applyAlignment="1">
      <x:alignment wrapText="1"/>
    </x:xf>
    <x:xf numFmtId="0" fontId="7" fillId="36" borderId="45" xfId="0" applyNumberFormat="1" applyFont="1" applyFill="1" applyBorder="1" applyAlignment="1">
      <x:alignment wrapText="1"/>
    </x:xf>
    <x:xf numFmtId="0" fontId="0" fillId="0" borderId="47" xfId="0" applyNumberFormat="1" applyFont="1" applyFill="1" applyBorder="1" applyAlignment="1">
      <x:alignment wrapText="1"/>
    </x:xf>
    <x:xf numFmtId="0" fontId="0" fillId="0" borderId="42" xfId="0" applyNumberFormat="1" applyFont="1" applyFill="1" applyBorder="1"/>
    <x:xf numFmtId="0" fontId="0" fillId="0" borderId="48" xfId="0" applyNumberFormat="1" applyFont="1" applyFill="1" applyBorder="1"/>
    <x:xf numFmtId="0" fontId="0" fillId="0" borderId="44" xfId="0" applyNumberFormat="1" applyFont="1" applyFill="1" applyBorder="1"/>
    <x:xf numFmtId="0" fontId="0" fillId="0" borderId="46" xfId="0" applyNumberFormat="1" applyFont="1" applyFill="1" applyBorder="1"/>
    <x:xf numFmtId="0" fontId="0" fillId="0" borderId="49" xfId="0" applyNumberFormat="1" applyFont="1" applyFill="1" applyBorder="1"/>
    <x:xf numFmtId="0" fontId="0" fillId="37" borderId="42" xfId="0" applyNumberFormat="1" applyFont="1" applyFill="1" applyBorder="1"/>
    <x:xf numFmtId="0" fontId="0" fillId="37" borderId="48" xfId="0" applyNumberFormat="1" applyFont="1" applyFill="1" applyBorder="1"/>
    <x:xf numFmtId="0" fontId="0" fillId="37" borderId="43" xfId="0" applyNumberFormat="1" applyFont="1" applyFill="1" applyBorder="1"/>
    <x:xf numFmtId="0" fontId="3" fillId="37" borderId="42" xfId="0" applyNumberFormat="1" applyFont="1" applyFill="1" applyBorder="1"/>
    <x:xf numFmtId="0" fontId="3" fillId="37" borderId="48" xfId="0" applyNumberFormat="1" applyFont="1" applyFill="1" applyBorder="1"/>
    <x:xf numFmtId="0" fontId="3" fillId="37" borderId="43" xfId="0" applyNumberFormat="1" applyFont="1" applyFill="1" applyBorder="1"/>
    <x:xf numFmtId="0" fontId="3" fillId="37" borderId="42" xfId="0" applyNumberFormat="1" applyFont="1" applyFill="1" applyBorder="1" applyAlignment="1">
      <x:alignment wrapText="1"/>
    </x:xf>
    <x:xf numFmtId="0" fontId="3" fillId="37" borderId="48" xfId="0" applyNumberFormat="1" applyFont="1" applyFill="1" applyBorder="1" applyAlignment="1">
      <x:alignment wrapText="1"/>
    </x:xf>
    <x:xf numFmtId="0" fontId="3" fillId="37" borderId="43" xfId="0" applyNumberFormat="1" applyFont="1" applyFill="1" applyBorder="1" applyAlignment="1">
      <x:alignment wrapText="1"/>
    </x:xf>
    <x:xf numFmtId="0" fontId="3" fillId="37" borderId="42" xfId="0" applyNumberFormat="1" applyFont="1" applyFill="1" applyBorder="1" applyAlignment="1">
      <x:alignment horizontal="center" wrapText="1"/>
    </x:xf>
    <x:xf numFmtId="0" fontId="3" fillId="37" borderId="48" xfId="0" applyNumberFormat="1" applyFont="1" applyFill="1" applyBorder="1" applyAlignment="1">
      <x:alignment horizontal="center" wrapText="1"/>
    </x:xf>
    <x:xf numFmtId="0" fontId="3" fillId="37" borderId="43" xfId="0" applyNumberFormat="1" applyFont="1" applyFill="1" applyBorder="1" applyAlignment="1">
      <x:alignment horizontal="center" wrapText="1"/>
    </x:xf>
    <x:xf numFmtId="0" fontId="3" fillId="37" borderId="42" xfId="0" applyNumberFormat="1" applyFont="1" applyFill="1" applyBorder="1" applyAlignment="1">
      <x:alignment horizontal="center" vertical="center" wrapText="1"/>
    </x:xf>
    <x:xf numFmtId="0" fontId="3" fillId="37" borderId="48" xfId="0" applyNumberFormat="1" applyFont="1" applyFill="1" applyBorder="1" applyAlignment="1">
      <x:alignment horizontal="center" vertical="center" wrapText="1"/>
    </x:xf>
    <x:xf numFmtId="0" fontId="3" fillId="37" borderId="43" xfId="0" applyNumberFormat="1" applyFont="1" applyFill="1" applyBorder="1" applyAlignment="1">
      <x:alignment horizontal="center" vertical="center" wrapText="1"/>
    </x:xf>
    <x:xf numFmtId="221" fontId="0" fillId="0" xfId="0" applyNumberFormat="1" applyFont="1" applyFill="1" applyBorder="0"/>
    <x:xf numFmtId="221" fontId="0" fillId="0" borderId="49" xfId="0" applyNumberFormat="1" applyFont="1" applyFill="1" applyBorder="1"/>
    <x:xf numFmtId="0" fontId="0" fillId="36" borderId="47" xfId="0" applyNumberFormat="1" applyFont="1" applyFill="1" applyBorder="1"/>
    <x:xf numFmtId="0" fontId="7" fillId="36" borderId="47" xfId="0" applyNumberFormat="1" applyFont="1" applyFill="1" applyBorder="1"/>
    <x:xf numFmtId="0" fontId="0" fillId="38" borderId="0" xfId="0" applyNumberFormat="1" applyFont="1" applyFill="1" applyBorder="1"/>
    <x:xf numFmtId="0" fontId="1" fillId="38" borderId="0" xfId="0" applyNumberFormat="1" applyFont="1" applyFill="1" applyBorder="1"/>
    <x:xf numFmtId="0" fontId="1" fillId="38" borderId="0" xfId="0" applyNumberFormat="1" applyFont="1" applyFill="1" applyBorder="1" applyAlignment="1">
      <x:alignment horizontal="left"/>
    </x:xf>
    <x:xf numFmtId="0" fontId="1" fillId="38" borderId="0" xfId="0" applyNumberFormat="1" applyFont="1" applyFill="1" applyBorder="1" applyAlignment="1">
      <x:alignment horizontal="left" vertical="center"/>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xfId="0" applyNumberFormat="1" applyFont="1" applyFill="1" applyBorder="0">
      <x:extLst>
        <x:ext uri="{C7286773-470A-42A8-94C5-96B5CB345126}">
          <xfpb:xfComplement xmlns:xfpb="http://schemas.microsoft.com/office/spreadsheetml/2022/featurepropertybag" i="0"/>
        </x:ext>
      </x:extLst>
    </x:xf>
    <x:xf numFmtId="0" fontId="0" fillId="35" borderId="44" xfId="0" applyNumberFormat="1" applyFont="1" applyFill="1" applyBorder="1"/>
    <x:xf numFmtId="0" fontId="0" fillId="35" borderId="46" xfId="0" applyNumberFormat="1" applyFont="1" applyFill="1" applyBorder="1"/>
    <x:xf numFmtId="0" fontId="4" fillId="35" borderId="44" xfId="0" applyNumberFormat="1" applyFont="1" applyFill="1" applyBorder="1"/>
    <x:xf numFmtId="0" fontId="4" fillId="35" borderId="46" xfId="0" applyNumberFormat="1" applyFont="1" applyFill="1" applyBorder="1"/>
    <x:xf numFmtId="200" fontId="0" fillId="0" xfId="0" applyNumberFormat="1" applyFont="1" applyFill="1" applyBorder="0"/>
    <x:xf numFmtId="217" fontId="0" fillId="0" xfId="0" applyNumberFormat="1" applyFont="1" applyFill="1" applyBorder="0" applyAlignment="1">
      <x:alignment wrapText="1"/>
    </x:xf>
    <x:xf numFmtId="0" fontId="0" fillId="0" borderId="49" xfId="0" applyNumberFormat="1" applyFont="1" applyFill="1" applyBorder="1" applyAlignment="1">
      <x:alignment wrapText="1"/>
    </x:xf>
    <x:xf numFmtId="0" fontId="3" fillId="34" borderId="42" xfId="0" applyNumberFormat="1" applyFont="1" applyFill="1" applyBorder="1" applyAlignment="1">
      <x:alignment horizontal="center" vertical="center" wrapText="1"/>
    </x:xf>
    <x:xf numFmtId="0" fontId="3" fillId="34" borderId="48" xfId="0" applyNumberFormat="1" applyFont="1" applyFill="1" applyBorder="1" applyAlignment="1">
      <x:alignment horizontal="center" vertical="center" wrapText="1"/>
    </x:xf>
    <x:xf numFmtId="0" fontId="3" fillId="34" borderId="43" xfId="0" applyNumberFormat="1" applyFont="1" applyFill="1" applyBorder="1" applyAlignment="1">
      <x:alignment horizontal="center" vertical="center" wrapText="1"/>
    </x:xf>
    <x:xf numFmtId="0" fontId="3" fillId="34" borderId="42" xfId="0" applyNumberFormat="1" applyFont="1" applyFill="1" applyBorder="1" applyAlignment="1">
      <x:alignment horizontal="left" vertical="center" wrapText="1"/>
    </x:xf>
    <x:xf numFmtId="0" fontId="3" fillId="34" borderId="48" xfId="0" applyNumberFormat="1" applyFont="1" applyFill="1" applyBorder="1" applyAlignment="1">
      <x:alignment horizontal="left" vertical="center" wrapText="1"/>
    </x:xf>
    <x:xf numFmtId="0" fontId="3" fillId="34" borderId="43" xfId="0" applyNumberFormat="1" applyFont="1" applyFill="1" applyBorder="1" applyAlignment="1">
      <x:alignment horizontal="left" vertical="center" wrapText="1"/>
    </x:xf>
    <x:xf numFmtId="0" fontId="3" fillId="34" borderId="42" xfId="0" applyNumberFormat="1" applyFont="1" applyFill="1" applyBorder="1" applyAlignment="1">
      <x:alignment horizontal="left" vertical="center"/>
    </x:xf>
    <x:xf numFmtId="0" fontId="3" fillId="34" borderId="48" xfId="0" applyNumberFormat="1" applyFont="1" applyFill="1" applyBorder="1" applyAlignment="1">
      <x:alignment horizontal="left" vertical="center"/>
    </x:xf>
    <x:xf numFmtId="0" fontId="3" fillId="34" borderId="43" xfId="0" applyNumberFormat="1" applyFont="1" applyFill="1" applyBorder="1" applyAlignment="1">
      <x:alignment horizontal="left" vertical="center"/>
    </x:xf>
    <x:xf numFmtId="0" fontId="3" fillId="37" borderId="42" xfId="0" applyNumberFormat="1" applyFont="1" applyFill="1" applyBorder="1" applyAlignment="1">
      <x:alignment horizontal="left" vertical="center"/>
    </x:xf>
    <x:xf numFmtId="0" fontId="3" fillId="37" borderId="48" xfId="0" applyNumberFormat="1" applyFont="1" applyFill="1" applyBorder="1" applyAlignment="1">
      <x:alignment horizontal="left" vertical="center"/>
    </x:xf>
    <x:xf numFmtId="0" fontId="3" fillId="37" borderId="43" xfId="0" applyNumberFormat="1" applyFont="1" applyFill="1" applyBorder="1" applyAlignment="1">
      <x:alignment horizontal="left" vertical="center"/>
    </x:xf>
    <x:xf numFmtId="0" fontId="3" fillId="37" borderId="42" xfId="0" applyNumberFormat="1" applyFont="1" applyFill="1" applyBorder="1" applyAlignment="1">
      <x:alignment horizontal="left" vertical="center" wrapText="1"/>
    </x:xf>
    <x:xf numFmtId="0" fontId="3" fillId="37" borderId="48" xfId="0" applyNumberFormat="1" applyFont="1" applyFill="1" applyBorder="1" applyAlignment="1">
      <x:alignment horizontal="left" vertical="center" wrapText="1"/>
    </x:xf>
    <x:xf numFmtId="0" fontId="3" fillId="37" borderId="43" xfId="0" applyNumberFormat="1" applyFont="1" applyFill="1" applyBorder="1" applyAlignment="1">
      <x:alignment horizontal="left" vertical="center" wrapText="1"/>
    </x:xf>
    <x:xf numFmtId="0" fontId="4" fillId="34" borderId="44" xfId="0" applyNumberFormat="1" applyFont="1" applyFill="1" applyBorder="1" applyAlignment="1">
      <x:alignment wrapText="1"/>
    </x:xf>
    <x:xf numFmtId="212" fontId="0" fillId="34" xfId="0" applyNumberFormat="1" applyFont="1" applyFill="1" applyBorder="0"/>
    <x:xf numFmtId="0" fontId="0" fillId="34" borderId="45" xfId="0" applyNumberFormat="1" applyFont="1" applyFill="1" applyBorder="1"/>
    <x:xf numFmtId="0" fontId="3" fillId="34" borderId="44" xfId="0" applyNumberFormat="1" applyFont="1" applyFill="1" applyBorder="1" applyAlignment="1">
      <x:alignment wrapText="1"/>
    </x:xf>
    <x:xf numFmtId="212" fontId="3" fillId="34" xfId="0" applyNumberFormat="1" applyFont="1" applyFill="1" applyBorder="0"/>
    <x:xf numFmtId="0" fontId="3" fillId="34" borderId="45" xfId="0" applyNumberFormat="1" applyFont="1" applyFill="1" applyBorder="1"/>
    <x:xf numFmtId="0" fontId="3" fillId="34" borderId="44" xfId="0" applyNumberFormat="1" applyFont="1" applyFill="1" applyBorder="1" applyAlignment="1">
      <x:alignment horizontal="left" wrapText="1"/>
    </x:xf>
    <x:xf numFmtId="212" fontId="3" fillId="34" xfId="0" applyNumberFormat="1" applyFont="1" applyFill="1" applyBorder="0" applyAlignment="1">
      <x:alignment horizontal="left"/>
    </x:xf>
    <x:xf numFmtId="0" fontId="3" fillId="34" borderId="45" xfId="0" applyNumberFormat="1" applyFont="1" applyFill="1" applyBorder="1" applyAlignment="1">
      <x:alignment horizontal="left"/>
    </x:xf>
    <x:xf numFmtId="0" fontId="3" fillId="34" borderId="44" xfId="0" applyNumberFormat="1" applyFont="1" applyFill="1" applyBorder="1" applyAlignment="1">
      <x:alignment horizontal="left" vertical="center" wrapText="1"/>
    </x:xf>
    <x:xf numFmtId="212" fontId="3" fillId="34" xfId="0" applyNumberFormat="1" applyFont="1" applyFill="1" applyBorder="0" applyAlignment="1">
      <x:alignment horizontal="left" vertical="center"/>
    </x:xf>
    <x:xf numFmtId="0" fontId="3" fillId="34" borderId="45" xfId="0" applyNumberFormat="1" applyFont="1" applyFill="1" applyBorder="1" applyAlignment="1">
      <x:alignment horizontal="left" vertical="center"/>
    </x:xf>
    <x:xf numFmtId="221" fontId="0" fillId="0" borderId="45" xfId="0" applyNumberFormat="1" applyFont="1" applyFill="1" applyBorder="1"/>
    <x:xf numFmtId="207" fontId="0" fillId="36" borderId="45" xfId="0" applyNumberFormat="1" applyFont="1" applyFill="1" applyBorder="1"/>
    <x:xf numFmtId="207" fontId="7" fillId="36" borderId="45" xfId="0" applyNumberFormat="1" applyFont="1" applyFill="1" applyBorder="1"/>
    <x:xf numFmtId="0" fontId="0" fillId="40" borderId="0" xfId="0" applyNumberFormat="1" applyFont="1" applyFill="1" applyBorder="1"/>
    <x:xf numFmtId="0" fontId="4" fillId="40" borderId="0" xfId="0" applyNumberFormat="1" applyFont="1" applyFill="1" applyBorder="1"/>
    <x:xf numFmtId="0" fontId="4" fillId="40" borderId="0" xfId="0" applyNumberFormat="1" applyFont="1" applyFill="1" applyBorder="1" applyAlignment="1">
      <x:alignment wrapText="1"/>
    </x:xf>
    <x:xf numFmtId="0" fontId="10" fillId="35" borderId="0" xfId="0" applyNumberFormat="1" applyFont="1" applyFill="1" applyBorder="1"/>
    <x:xf numFmtId="0" fontId="10" fillId="35" borderId="0" xfId="0" applyNumberFormat="1" applyFont="1" applyFill="1" applyBorder="1" applyAlignment="1">
      <x:alignment wrapText="1"/>
    </x:xf>
    <x:xf numFmtId="200" fontId="0" fillId="0" borderId="45" xfId="0" applyNumberFormat="1" applyFont="1" applyFill="1" applyBorder="1"/>
    <x:xf numFmtId="212" fontId="0" fillId="0" borderId="45" xfId="0" applyNumberFormat="1" applyFont="1" applyFill="1" applyBorder="1"/>
    <x:xf numFmtId="204" fontId="0" fillId="0" borderId="49" xfId="0" applyNumberFormat="1" applyFont="1" applyFill="1" applyBorder="1"/>
    <x:xf numFmtId="221" fontId="0" fillId="0" borderId="47" xfId="0" applyNumberFormat="1" applyFont="1" applyFill="1" applyBorder="1"/>
    <x:xf numFmtId="212" fontId="0" fillId="0" borderId="49" xfId="0" applyNumberFormat="1" applyFont="1" applyFill="1" applyBorder="1"/>
    <x:xf numFmtId="203" fontId="0" fillId="0" borderId="49" xfId="0" applyNumberFormat="1" applyFont="1" applyFill="1" applyBorder="1"/>
    <x:xf numFmtId="218" fontId="0" fillId="0" xfId="0" applyNumberFormat="1" applyFont="1" applyFill="1" applyBorder="0"/>
    <x:xf numFmtId="218" fontId="0" fillId="0" borderId="45" xfId="0" applyNumberFormat="1" applyFont="1" applyFill="1" applyBorder="1"/>
    <x:xf numFmtId="218" fontId="0" fillId="0" borderId="49" xfId="0" applyNumberFormat="1" applyFont="1" applyFill="1" applyBorder="1"/>
    <x:xf numFmtId="218" fontId="0" fillId="0" borderId="47" xfId="0" applyNumberFormat="1" applyFont="1" applyFill="1" applyBorder="1"/>
    <x:xf numFmtId="0" fontId="0" fillId="0" borderId="49" xfId="0" applyNumberFormat="1" applyFont="1" applyFill="1" applyBorder="1">
      <x:extLst>
        <x:ext uri="{C7286773-470A-42A8-94C5-96B5CB345126}">
          <xfpb:xfComplement xmlns:xfpb="http://schemas.microsoft.com/office/spreadsheetml/2022/featurepropertybag" i="0"/>
        </x:ext>
      </x:extLst>
    </x:xf>
    <x:xf numFmtId="200" fontId="0" fillId="0" borderId="49" xfId="0" applyNumberFormat="1" applyFont="1" applyFill="1" applyBorder="1"/>
    <x:xf numFmtId="220" fontId="0" fillId="0" xfId="0" applyNumberFormat="1" applyFont="1" applyFill="1" applyBorder="0"/>
    <x:xf numFmtId="220" fontId="0" fillId="0" borderId="49" xfId="0" applyNumberFormat="1" applyFont="1" applyFill="1" applyBorder="1"/>
    <x:xf numFmtId="207" fontId="0" fillId="0" borderId="49" xfId="0" applyNumberFormat="1" applyFont="1" applyFill="1" applyBorder="1"/>
    <x:xf numFmtId="0" fontId="0" fillId="41" borderId="44" xfId="0" applyNumberFormat="1" applyFont="1" applyFill="1" applyBorder="1"/>
    <x:xf numFmtId="0" fontId="0" fillId="41" borderId="46" xfId="0" applyNumberFormat="1" applyFont="1" applyFill="1" applyBorder="1"/>
    <x:xf numFmtId="0" fontId="9" fillId="41" borderId="44" xfId="0" applyNumberFormat="1" applyFont="1" applyFill="1" applyBorder="1"/>
    <x:xf numFmtId="0" fontId="9" fillId="41" borderId="46" xfId="0" applyNumberFormat="1" applyFont="1" applyFill="1" applyBorder="1"/>
    <x:xf numFmtId="0" fontId="0" fillId="36" borderId="45" xfId="0" applyNumberFormat="1" applyFont="1" applyFill="1" applyBorder="1" applyAlignment="1">
      <x:alignment wrapText="1"/>
    </x:xf>
    <x:xf numFmtId="0" fontId="0" fillId="36" borderId="47" xfId="0" applyNumberFormat="1" applyFont="1" applyFill="1" applyBorder="1" applyAlignment="1">
      <x:alignment wrapText="1"/>
    </x:xf>
    <x:xf numFmtId="0" fontId="7" fillId="36" borderId="47" xfId="0" applyNumberFormat="1" applyFont="1" applyFill="1" applyBorder="1" applyAlignment="1">
      <x:alignment wrapText="1"/>
    </x:xf>
    <x:xf numFmtId="0" fontId="14" fillId="40" borderId="0" xfId="0" applyNumberFormat="1" applyFont="1" applyFill="1" applyBorder="1"/>
    <x:xf numFmtId="0" fontId="14" fillId="40" borderId="0" xfId="0" applyNumberFormat="1" applyFont="1" applyFill="1" applyBorder="1" applyAlignment="1">
      <x:alignment wrapText="1"/>
    </x:xf>
    <x:xf numFmtId="0" fontId="0" fillId="36" borderId="48" xfId="0" applyNumberFormat="1" applyFont="1" applyFill="1" applyBorder="1"/>
    <x:xf numFmtId="0" fontId="0" fillId="36" xfId="0" applyNumberFormat="1" applyFont="1" applyFill="1" applyBorder="0"/>
    <x:xf numFmtId="0" fontId="0" fillId="36" borderId="49" xfId="0" applyNumberFormat="1" applyFont="1" applyFill="1" applyBorder="1"/>
    <x:xf numFmtId="0" fontId="7" fillId="36" borderId="48" xfId="0" applyNumberFormat="1" applyFont="1" applyFill="1" applyBorder="1"/>
    <x:xf numFmtId="0" fontId="7" fillId="36" xfId="0" applyNumberFormat="1" applyFont="1" applyFill="1" applyBorder="0"/>
    <x:xf numFmtId="0" fontId="7" fillId="36" borderId="49" xfId="0" applyNumberFormat="1" applyFont="1" applyFill="1" applyBorder="1"/>
    <x:xf numFmtId="0" fontId="0" fillId="0" borderId="43" xfId="0" applyNumberFormat="1" applyFont="1" applyFill="1" applyBorder="1" applyAlignment="1">
      <x:alignment wrapText="1"/>
    </x:xf>
    <x:xf numFmtId="0" fontId="10" fillId="40" borderId="0" xfId="0" applyNumberFormat="1" applyFont="1" applyFill="1" applyBorder="1"/>
    <x:xf numFmtId="0" fontId="10" fillId="40" borderId="42" xfId="0" applyNumberFormat="1" applyFont="1" applyFill="1" applyBorder="1"/>
    <x:xf numFmtId="0" fontId="10" fillId="40" borderId="48" xfId="0" applyNumberFormat="1" applyFont="1" applyFill="1" applyBorder="1"/>
    <x:xf numFmtId="0" fontId="10" fillId="40" borderId="43" xfId="0" applyNumberFormat="1" applyFont="1" applyFill="1" applyBorder="1"/>
    <x:xf numFmtId="0" fontId="10" fillId="40" borderId="44" xfId="0" applyNumberFormat="1" applyFont="1" applyFill="1" applyBorder="1"/>
    <x:xf numFmtId="0" fontId="10" fillId="40" xfId="0" applyNumberFormat="1" applyFont="1" applyFill="1" applyBorder="0"/>
    <x:xf numFmtId="0" fontId="10" fillId="40" borderId="45" xfId="0" applyNumberFormat="1" applyFont="1" applyFill="1" applyBorder="1"/>
    <x:xf numFmtId="0" fontId="10" fillId="40" borderId="46" xfId="0" applyNumberFormat="1" applyFont="1" applyFill="1" applyBorder="1"/>
    <x:xf numFmtId="0" fontId="10" fillId="40" borderId="49" xfId="0" applyNumberFormat="1" applyFont="1" applyFill="1" applyBorder="1"/>
    <x:xf numFmtId="0" fontId="10" fillId="40" borderId="47" xfId="0" applyNumberFormat="1" applyFont="1" applyFill="1" applyBorder="1"/>
    <x:xf numFmtId="0" fontId="10" fillId="40" borderId="42" xfId="0" applyNumberFormat="1" applyFont="1" applyFill="1" applyBorder="1" applyAlignment="1">
      <x:alignment wrapText="1"/>
    </x:xf>
    <x:xf numFmtId="0" fontId="10" fillId="40" borderId="48" xfId="0" applyNumberFormat="1" applyFont="1" applyFill="1" applyBorder="1" applyAlignment="1">
      <x:alignment wrapText="1"/>
    </x:xf>
    <x:xf numFmtId="0" fontId="10" fillId="40" borderId="43" xfId="0" applyNumberFormat="1" applyFont="1" applyFill="1" applyBorder="1" applyAlignment="1">
      <x:alignment wrapText="1"/>
    </x:xf>
    <x:xf numFmtId="0" fontId="10" fillId="40" borderId="44" xfId="0" applyNumberFormat="1" applyFont="1" applyFill="1" applyBorder="1" applyAlignment="1">
      <x:alignment wrapText="1"/>
    </x:xf>
    <x:xf numFmtId="0" fontId="10" fillId="40" xfId="0" applyNumberFormat="1" applyFont="1" applyFill="1" applyBorder="0" applyAlignment="1">
      <x:alignment wrapText="1"/>
    </x:xf>
    <x:xf numFmtId="0" fontId="10" fillId="40" borderId="45" xfId="0" applyNumberFormat="1" applyFont="1" applyFill="1" applyBorder="1" applyAlignment="1">
      <x:alignment wrapText="1"/>
    </x:xf>
    <x:xf numFmtId="0" fontId="10" fillId="40" borderId="46" xfId="0" applyNumberFormat="1" applyFont="1" applyFill="1" applyBorder="1" applyAlignment="1">
      <x:alignment wrapText="1"/>
    </x:xf>
    <x:xf numFmtId="0" fontId="10" fillId="40" borderId="49" xfId="0" applyNumberFormat="1" applyFont="1" applyFill="1" applyBorder="1" applyAlignment="1">
      <x:alignment wrapText="1"/>
    </x:xf>
    <x:xf numFmtId="0" fontId="10" fillId="40" borderId="47" xfId="0" applyNumberFormat="1" applyFont="1" applyFill="1" applyBorder="1" applyAlignment="1">
      <x:alignment wrapText="1"/>
    </x:xf>
    <x:xf numFmtId="0" fontId="11" fillId="38" borderId="0" xfId="0" applyNumberFormat="1" applyFont="1" applyFill="1" applyBorder="1" applyAlignment="1">
      <x:alignment horizontal="left" vertical="center"/>
    </x:xf>
    <x:xf numFmtId="220" fontId="0" fillId="0" borderId="0" xfId="0" applyNumberFormat="1" applyFont="1" applyFill="1" applyBorder="1"/>
    <x:xf numFmtId="220"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221" fontId="0" fillId="0" borderId="0" xfId="0" applyNumberFormat="1" applyFont="1" applyFill="1" applyBorder="1"/>
    <x:xf numFmtId="0" fontId="3" fillId="4"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left" vertical="center"/>
    </x:xf>
    <x:xf numFmtId="0" fontId="3" fillId="7" borderId="0" xfId="0" applyNumberFormat="1" applyFont="1" applyFill="1" applyBorder="1" applyAlignment="1">
      <x:alignment horizontal="left" vertical="center" wrapText="1"/>
    </x:xf>
    <x:xf numFmtId="212" fontId="0" fillId="4" xfId="0" applyNumberFormat="1" applyFont="1" applyFill="1" applyBorder="0"/>
    <x:xf numFmtId="212" fontId="3" fillId="4" xfId="0" applyNumberFormat="1" applyFont="1" applyFill="1" applyBorder="0"/>
    <x:xf numFmtId="212" fontId="3" fillId="4" xfId="0" applyNumberFormat="1" applyFont="1" applyFill="1" applyBorder="0" applyAlignment="1">
      <x:alignment horizontal="left"/>
    </x:xf>
    <x:xf numFmtId="212" fontId="3" fillId="4" xfId="0" applyNumberFormat="1" applyFont="1" applyFill="1" applyBorder="0" applyAlignment="1">
      <x:alignment horizontal="left" vertical="center"/>
    </x:xf>
    <x:xf numFmtId="207" fontId="0" fillId="8" borderId="0" xfId="0" applyNumberFormat="1" applyFont="1" applyFill="1" applyBorder="1"/>
    <x:xf numFmtId="207" fontId="7" fillId="8"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0" fillId="8" borderId="0" xfId="0" applyNumberFormat="1" applyFont="1" applyFill="1" applyBorder="1" applyAlignment="1">
      <x:alignment wrapText="1"/>
    </x:xf>
    <x:xf numFmtId="0" fontId="14" fillId="10" borderId="0" xfId="0" applyNumberFormat="1" applyFont="1" applyFill="1" applyBorder="1"/>
    <x:xf numFmtId="0" fontId="14" fillId="10" borderId="0" xfId="0" applyNumberFormat="1" applyFont="1" applyFill="1" applyBorder="1" applyAlignment="1">
      <x:alignment wrapText="1"/>
    </x:xf>
    <x:xf numFmtId="0" fontId="3" fillId="42" borderId="0" xfId="0" applyNumberFormat="1" applyFont="1" applyFill="1" applyBorder="1" applyAlignment="1">
      <x:alignment horizontal="left" vertical="center"/>
    </x:xf>
    <x:xf numFmtId="0" fontId="0" fillId="42" borderId="0" xfId="0" applyNumberFormat="1" applyFont="1" applyFill="1" applyBorder="1"/>
    <x:xf numFmtId="0" fontId="3" fillId="42" borderId="0" xfId="0" applyNumberFormat="1" applyFont="1" applyFill="1" applyBorder="1"/>
    <x:xf numFmtId="0" fontId="3" fillId="42" borderId="0" xfId="0" applyNumberFormat="1" applyFont="1" applyFill="1" applyBorder="1" applyAlignment="1">
      <x:alignment horizontal="left"/>
    </x:xf>
    <x:xf numFmtId="0" fontId="3" fillId="43" borderId="42" xfId="0" applyNumberFormat="1" applyFont="1" applyFill="1" applyBorder="1" applyAlignment="1">
      <x:alignment horizontal="left" vertical="center" wrapText="1"/>
    </x:xf>
    <x:xf numFmtId="0" fontId="3" fillId="43" borderId="48" xfId="0" applyNumberFormat="1" applyFont="1" applyFill="1" applyBorder="1" applyAlignment="1">
      <x:alignment horizontal="left" vertical="center" wrapText="1"/>
    </x:xf>
    <x:xf numFmtId="0" fontId="3" fillId="43" borderId="43" xfId="0" applyNumberFormat="1" applyFont="1" applyFill="1" applyBorder="1" applyAlignment="1">
      <x:alignment horizontal="left" vertical="center" wrapText="1"/>
    </x:xf>
    <x:xf numFmtId="0" fontId="3" fillId="43" borderId="42" xfId="0" applyNumberFormat="1" applyFont="1" applyFill="1" applyBorder="1" applyAlignment="1">
      <x:alignment horizontal="center" vertical="center" wrapText="1"/>
    </x:xf>
    <x:xf numFmtId="0" fontId="3" fillId="43" borderId="48" xfId="0" applyNumberFormat="1" applyFont="1" applyFill="1" applyBorder="1" applyAlignment="1">
      <x:alignment horizontal="center" vertical="center" wrapText="1"/>
    </x:xf>
    <x:xf numFmtId="0" fontId="3" fillId="43" borderId="43" xfId="0" applyNumberFormat="1" applyFont="1" applyFill="1" applyBorder="1" applyAlignment="1">
      <x:alignment horizontal="center" vertical="center" wrapText="1"/>
    </x:xf>
    <x:xf numFmtId="0" fontId="3" fillId="43" borderId="0" xfId="0" applyNumberFormat="1" applyFont="1" applyFill="1" applyBorder="1" applyAlignment="1">
      <x:alignment horizontal="left" vertical="center" wrapText="1"/>
    </x:xf>
    <x:xf numFmtId="0" fontId="3" fillId="43" borderId="0" xfId="0" applyNumberFormat="1" applyFont="1" applyFill="1" applyBorder="1" applyAlignment="1">
      <x:alignment horizontal="center" vertical="center" wrapText="1"/>
    </x:xf>
    <x:xf numFmtId="0" fontId="0" fillId="44" borderId="0" xfId="0" applyNumberFormat="1" applyFont="1" applyFill="1" applyBorder="1"/>
    <x:xf numFmtId="0" fontId="1" fillId="44" borderId="0" xfId="0" applyNumberFormat="1" applyFont="1" applyFill="1" applyBorder="1"/>
    <x:xf numFmtId="0" fontId="1" fillId="44" borderId="0" xfId="0" applyNumberFormat="1" applyFont="1" applyFill="1" applyBorder="1" applyAlignment="1">
      <x:alignment horizontal="left"/>
    </x:xf>
    <x:xf numFmtId="0" fontId="1" fillId="44" borderId="0" xfId="0" applyNumberFormat="1" applyFont="1" applyFill="1" applyBorder="1" applyAlignment="1">
      <x:alignment horizontal="left" vertical="center"/>
    </x:xf>
    <x:xf numFmtId="0" fontId="0" fillId="45" borderId="0" xfId="0" applyNumberFormat="1" applyFont="1" applyFill="1" applyBorder="1"/>
    <x:xf numFmtId="0" fontId="5" fillId="45" borderId="0" xfId="0" applyNumberFormat="1" applyFont="1" applyFill="1" applyBorder="1"/>
    <x:xf numFmtId="0" fontId="5" fillId="45" borderId="0" xfId="0" applyNumberFormat="1" applyFont="1" applyFill="1" applyBorder="1" applyAlignment="1">
      <x:alignment wrapText="1"/>
    </x:xf>
    <x:xf numFmtId="0" fontId="0" fillId="46" borderId="0" xfId="0" applyNumberFormat="1" applyFont="1" applyFill="1" applyBorder="1"/>
    <x:xf numFmtId="0" fontId="3" fillId="46" borderId="0" xfId="0" applyNumberFormat="1" applyFont="1" applyFill="1" applyBorder="1"/>
    <x:xf numFmtId="0" fontId="3" fillId="46" borderId="0" xfId="0" applyNumberFormat="1" applyFont="1" applyFill="1" applyBorder="1" applyAlignment="1">
      <x:alignment horizontal="left"/>
    </x:xf>
    <x:xf numFmtId="0" fontId="3" fillId="46" borderId="0" xfId="0" applyNumberFormat="1" applyFont="1" applyFill="1" applyBorder="1" applyAlignment="1">
      <x:alignment horizontal="left" vertical="center"/>
    </x:xf>
    <x:xf numFmtId="0" fontId="0" fillId="0" borderId="50" xfId="0" applyNumberFormat="1" applyFont="1" applyFill="1" applyBorder="1"/>
    <x:xf numFmtId="0" fontId="0" fillId="0" borderId="51" xfId="0" applyNumberFormat="1" applyFont="1" applyFill="1" applyBorder="1"/>
    <x:xf numFmtId="0" fontId="0" fillId="0" borderId="52" xfId="0" applyNumberFormat="1" applyFont="1" applyFill="1" applyBorder="1"/>
    <x:xf numFmtId="0" fontId="0" fillId="0" borderId="53" xfId="0" applyNumberFormat="1" applyFont="1" applyFill="1" applyBorder="1"/>
    <x:xf numFmtId="0" fontId="0" fillId="0" borderId="54" xfId="0" applyNumberFormat="1" applyFont="1" applyFill="1" applyBorder="1"/>
    <x:xf numFmtId="0" fontId="0" fillId="0" borderId="55" xfId="0" applyNumberFormat="1" applyFont="1" applyFill="1" applyBorder="1"/>
    <x:xf numFmtId="0" fontId="0" fillId="0" borderId="56" xfId="0" applyNumberFormat="1" applyFont="1" applyFill="1" applyBorder="1"/>
    <x:xf numFmtId="0" fontId="0" fillId="0" borderId="57" xfId="0" applyNumberFormat="1" applyFont="1" applyFill="1" applyBorder="1"/>
    <x:xf numFmtId="0" fontId="0" fillId="47" borderId="50" xfId="0" applyNumberFormat="1" applyFont="1" applyFill="1" applyBorder="1"/>
    <x:xf numFmtId="0" fontId="0" fillId="47" borderId="51" xfId="0" applyNumberFormat="1" applyFont="1" applyFill="1" applyBorder="1"/>
    <x:xf numFmtId="0" fontId="0" fillId="47" borderId="52" xfId="0" applyNumberFormat="1" applyFont="1" applyFill="1" applyBorder="1"/>
    <x:xf numFmtId="0" fontId="3" fillId="47" borderId="50" xfId="0" applyNumberFormat="1" applyFont="1" applyFill="1" applyBorder="1"/>
    <x:xf numFmtId="0" fontId="3" fillId="47" borderId="51" xfId="0" applyNumberFormat="1" applyFont="1" applyFill="1" applyBorder="1"/>
    <x:xf numFmtId="0" fontId="3" fillId="47" borderId="52" xfId="0" applyNumberFormat="1" applyFont="1" applyFill="1" applyBorder="1"/>
    <x:xf numFmtId="0" fontId="3" fillId="47" borderId="50" xfId="0" applyNumberFormat="1" applyFont="1" applyFill="1" applyBorder="1" applyAlignment="1">
      <x:alignment wrapText="1"/>
    </x:xf>
    <x:xf numFmtId="0" fontId="3" fillId="47" borderId="51" xfId="0" applyNumberFormat="1" applyFont="1" applyFill="1" applyBorder="1" applyAlignment="1">
      <x:alignment wrapText="1"/>
    </x:xf>
    <x:xf numFmtId="0" fontId="3" fillId="47" borderId="52" xfId="0" applyNumberFormat="1" applyFont="1" applyFill="1" applyBorder="1" applyAlignment="1">
      <x:alignment wrapText="1"/>
    </x:xf>
    <x:xf numFmtId="0" fontId="3" fillId="47" borderId="50" xfId="0" applyNumberFormat="1" applyFont="1" applyFill="1" applyBorder="1" applyAlignment="1">
      <x:alignment horizontal="center" wrapText="1"/>
    </x:xf>
    <x:xf numFmtId="0" fontId="3" fillId="47" borderId="51" xfId="0" applyNumberFormat="1" applyFont="1" applyFill="1" applyBorder="1" applyAlignment="1">
      <x:alignment horizontal="center" wrapText="1"/>
    </x:xf>
    <x:xf numFmtId="0" fontId="3" fillId="47" borderId="52" xfId="0" applyNumberFormat="1" applyFont="1" applyFill="1" applyBorder="1" applyAlignment="1">
      <x:alignment horizontal="center" wrapText="1"/>
    </x:xf>
    <x:xf numFmtId="0" fontId="3" fillId="47" borderId="50" xfId="0" applyNumberFormat="1" applyFont="1" applyFill="1" applyBorder="1" applyAlignment="1">
      <x:alignment horizontal="center" vertical="center" wrapText="1"/>
    </x:xf>
    <x:xf numFmtId="0" fontId="3" fillId="47" borderId="51" xfId="0" applyNumberFormat="1" applyFont="1" applyFill="1" applyBorder="1" applyAlignment="1">
      <x:alignment horizontal="center" vertical="center" wrapText="1"/>
    </x:xf>
    <x:xf numFmtId="0" fontId="3" fillId="47" borderId="52" xfId="0" applyNumberFormat="1" applyFont="1" applyFill="1" applyBorder="1" applyAlignment="1">
      <x:alignment horizontal="center" vertical="center" wrapText="1"/>
    </x:xf>
    <x:xf numFmtId="0" fontId="0" fillId="48" xfId="0" applyNumberFormat="1" applyFont="1" applyFill="1" applyBorder="0"/>
    <x:xf numFmtId="0" fontId="0" fillId="48" borderId="56" xfId="0" applyNumberFormat="1" applyFont="1" applyFill="1" applyBorder="1"/>
    <x:xf numFmtId="0" fontId="7" fillId="48" xfId="0" applyNumberFormat="1" applyFont="1" applyFill="1" applyBorder="0"/>
    <x:xf numFmtId="0" fontId="7" fillId="48" borderId="56" xfId="0" applyNumberFormat="1" applyFont="1" applyFill="1" applyBorder="1"/>
    <x:xf numFmtId="0" fontId="0" fillId="0" borderId="54" xfId="0" applyNumberFormat="1" applyFont="1" applyFill="1" applyBorder="1" applyAlignment="1">
      <x:alignment wrapText="1"/>
    </x:xf>
    <x:xf numFmtId="0" fontId="0" fillId="0" borderId="56" xfId="0" applyNumberFormat="1" applyFont="1" applyFill="1" applyBorder="1" applyAlignment="1">
      <x:alignment wrapText="1"/>
    </x:xf>
    <x:xf numFmtId="0" fontId="0" fillId="0" borderId="57" xfId="0" applyNumberFormat="1" applyFont="1" applyFill="1" applyBorder="1" applyAlignment="1">
      <x:alignment wrapText="1"/>
    </x:xf>
    <x:xf numFmtId="0" fontId="0" fillId="48" borderId="0" xfId="0" applyNumberFormat="1" applyFont="1" applyFill="1" applyBorder="1"/>
    <x:xf numFmtId="0" fontId="7" fillId="48" borderId="0" xfId="0" applyNumberFormat="1" applyFont="1" applyFill="1" applyBorder="1"/>
    <x:xf numFmtId="0" fontId="7" fillId="48" borderId="0" xfId="0" applyNumberFormat="1" applyFont="1" applyFill="1" applyBorder="1" applyAlignment="1">
      <x:alignment wrapText="1"/>
    </x:xf>
    <x:xf numFmtId="0" fontId="7" fillId="48" borderId="0" xfId="0" applyNumberFormat="1" applyFont="1" applyFill="1" applyBorder="1" applyAlignment="1">
      <x:alignment vertical="center" wrapText="1"/>
    </x:xf>
    <x:xf numFmtId="0" fontId="11" fillId="44" borderId="0" xfId="0" applyNumberFormat="1" applyFont="1" applyFill="1" applyBorder="1" applyAlignment="1">
      <x:alignment horizontal="left" vertical="center"/>
    </x:xf>
    <x:xf numFmtId="0" fontId="0" fillId="49" borderId="0" xfId="0" applyNumberFormat="1" applyFont="1" applyFill="1" applyBorder="1"/>
    <x:xf numFmtId="0" fontId="4" fillId="49" borderId="0" xfId="0" applyNumberFormat="1" applyFont="1" applyFill="1" applyBorder="1"/>
    <x:xf numFmtId="0" fontId="4" fillId="49" borderId="50" xfId="0" applyNumberFormat="1" applyFont="1" applyFill="1" applyBorder="1"/>
    <x:xf numFmtId="0" fontId="4" fillId="49" borderId="53" xfId="0" applyNumberFormat="1" applyFont="1" applyFill="1" applyBorder="1"/>
    <x:xf numFmtId="0" fontId="4" fillId="49" borderId="55" xfId="0" applyNumberFormat="1" applyFont="1" applyFill="1" applyBorder="1"/>
    <x:xf numFmtId="0" fontId="0" fillId="48" borderId="52" xfId="0" applyNumberFormat="1" applyFont="1" applyFill="1" applyBorder="1"/>
    <x:xf numFmtId="0" fontId="0" fillId="48" borderId="54" xfId="0" applyNumberFormat="1" applyFont="1" applyFill="1" applyBorder="1"/>
    <x:xf numFmtId="0" fontId="7" fillId="48" borderId="52" xfId="0" applyNumberFormat="1" applyFont="1" applyFill="1" applyBorder="1"/>
    <x:xf numFmtId="0" fontId="7" fillId="48" borderId="54" xfId="0" applyNumberFormat="1" applyFont="1" applyFill="1" applyBorder="1"/>
  </x:cellXfs>
  <x:cellStyles count="1">
    <x:cellStyle name="Normal" xfId="0"/>
  </x:cellStyles>
  <x:dxfs count="39">
    <x:dxf>
      <x:font>
        <x:b/>
        <x:color rgb="FF2E7D32"/>
      </x:font>
      <x:fill>
        <x:patternFill>
          <x:bgColor rgb="FFEAF5EA"/>
        </x:patternFill>
      </x:fill>
    </x:dxf>
    <x:dxf>
      <x:font>
        <x:b/>
        <x:color rgb="FFB42318"/>
      </x:font>
      <x:fill>
        <x:patternFill>
          <x:bgColor rgb="FFFDECEC"/>
        </x:patternFill>
      </x:fill>
    </x:dxf>
    <x:dxf>
      <x:font>
        <x:b/>
        <x:color rgb="FF2E7D32"/>
      </x:font>
      <x:fill>
        <x:patternFill>
          <x:bgColor rgb="FFEAF5EA"/>
        </x:patternFill>
      </x:fill>
    </x:dxf>
    <x:dxf>
      <x:font>
        <x:b/>
        <x:color rgb="FFB26A00"/>
      </x:font>
      <x:fill>
        <x:patternFill>
          <x:bgColor rgb="FFFFF4E5"/>
        </x:patternFill>
      </x:fill>
    </x:dxf>
    <x:dxf>
      <x:font>
        <x:b/>
        <x:color rgb="FF2E7D32"/>
      </x:font>
      <x:fill>
        <x:patternFill>
          <x:bgColor rgb="FFEAF5EA"/>
        </x:patternFill>
      </x:fill>
    </x:dxf>
    <x:dxf>
      <x:font>
        <x:color rgb="FFB42318"/>
      </x:font>
      <x:fill>
        <x:patternFill>
          <x:bgColor rgb="FFFDECEC"/>
        </x:patternFill>
      </x:fill>
    </x:dxf>
    <x:dxf>
      <x:font>
        <x:b/>
        <x:color rgb="FFB42318"/>
      </x:font>
      <x:fill>
        <x:patternFill>
          <x:bgColor rgb="FFFDECEC"/>
        </x:patternFill>
      </x:fill>
    </x:dxf>
    <x:dxf>
      <x:font>
        <x:b/>
        <x:color rgb="FF2E7D32"/>
      </x:font>
      <x:fill>
        <x:patternFill>
          <x:bgColor rgb="FFEAF5EA"/>
        </x:patternFill>
      </x:fill>
    </x:dxf>
    <x:dxf>
      <x:font>
        <x:b/>
        <x:color rgb="FFB42318"/>
      </x:font>
      <x:fill>
        <x:patternFill>
          <x:bgColor rgb="FFFDECEC"/>
        </x:patternFill>
      </x:fill>
    </x:dxf>
    <x:dxf>
      <x:font>
        <x:b/>
        <x:color rgb="FF2E7D32"/>
      </x:font>
      <x:fill>
        <x:patternFill>
          <x:bgColor rgb="FFEAF5EA"/>
        </x:patternFill>
      </x:fill>
    </x:dxf>
    <x:dxf>
      <x:font>
        <x:color rgb="FFB42318"/>
      </x:font>
      <x:fill>
        <x:patternFill>
          <x:bgColor rgb="FFFDECEC"/>
        </x:patternFill>
      </x:fill>
    </x:dxf>
    <x:dxf>
      <x:font>
        <x:b/>
        <x:color rgb="FF2E7D32"/>
      </x:font>
      <x:fill>
        <x:patternFill>
          <x:bgColor rgb="FFEAF5EA"/>
        </x:patternFill>
      </x:fill>
    </x:dxf>
    <x:dxf>
      <x:font>
        <x:color rgb="FFB42318"/>
      </x:font>
      <x:fill>
        <x:patternFill>
          <x:bgColor rgb="FFFDECEC"/>
        </x:patternFill>
      </x:fill>
    </x:dxf>
    <x:dxf>
      <x:font>
        <x:b/>
        <x:color rgb="FF2E7D32"/>
      </x:font>
      <x:fill>
        <x:patternFill>
          <x:bgColor rgb="FFEAF5EA"/>
        </x:patternFill>
      </x:fill>
    </x:dxf>
    <x:dxf>
      <x:font>
        <x:b/>
        <x:color rgb="FFB42318"/>
      </x:font>
      <x:fill>
        <x:patternFill>
          <x:bgColor rgb="FFFDECEC"/>
        </x:patternFill>
      </x:fill>
    </x:dxf>
    <x:dxf>
      <x:font>
        <x:b/>
        <x:color rgb="FF2E7D32"/>
      </x:font>
      <x:fill>
        <x:patternFill>
          <x:bgColor rgb="FFEAF5EA"/>
        </x:patternFill>
      </x:fill>
    </x:dxf>
    <x:dxf>
      <x:font>
        <x:b/>
        <x:color rgb="FFB26A00"/>
      </x:font>
      <x:fill>
        <x:patternFill>
          <x:bgColor rgb="FFFFF4E5"/>
        </x:patternFill>
      </x:fill>
    </x:dxf>
    <x:dxf>
      <x:font>
        <x:b/>
        <x:color rgb="FF2E7D32"/>
      </x:font>
      <x:fill>
        <x:patternFill>
          <x:bgColor rgb="FFEAF5EA"/>
        </x:patternFill>
      </x:fill>
    </x:dxf>
    <x:dxf>
      <x:font>
        <x:b/>
        <x:color rgb="FF2E7D32"/>
      </x:font>
      <x:fill>
        <x:patternFill>
          <x:bgColor rgb="FFEAF5EA"/>
        </x:patternFill>
      </x:fill>
    </x:dxf>
    <x:dxf>
      <x:font>
        <x:b/>
        <x:color rgb="FFB26A00"/>
      </x:font>
      <x:fill>
        <x:patternFill>
          <x:bgColor rgb="FFFFF4E5"/>
        </x:patternFill>
      </x:fill>
    </x:dxf>
    <x:dxf>
      <x:font>
        <x:b/>
        <x:color rgb="FF2E7D32"/>
      </x:font>
      <x:fill>
        <x:patternFill>
          <x:bgColor rgb="FFEAF5EA"/>
        </x:patternFill>
      </x:fill>
    </x:dxf>
    <x:dxf>
      <x:font>
        <x:b/>
        <x:color rgb="FFB42318"/>
      </x:font>
      <x:fill>
        <x:patternFill>
          <x:bgColor rgb="FFFDECEC"/>
        </x:patternFill>
      </x:fill>
    </x:dxf>
    <x:dxf>
      <x:font>
        <x:b/>
        <x:color rgb="FF2E7D32"/>
      </x:font>
      <x:fill>
        <x:patternFill>
          <x:bgColor rgb="FFEAF5EA"/>
        </x:patternFill>
      </x:fill>
    </x:dxf>
    <x:dxf>
      <x:font>
        <x:b/>
        <x:color rgb="FF2E7D32"/>
      </x:font>
      <x:fill>
        <x:patternFill>
          <x:bgColor rgb="FFEAF5EA"/>
        </x:patternFill>
      </x:fill>
    </x:dxf>
    <x:dxf>
      <x:font>
        <x:b/>
        <x:color rgb="FF2E7D32"/>
      </x:font>
      <x:fill>
        <x:patternFill>
          <x:bgColor rgb="FFEAF5EA"/>
        </x:patternFill>
      </x:fill>
    </x:dxf>
    <x:dxf>
      <x:font>
        <x:b/>
        <x:color rgb="FF2E7D32"/>
      </x:font>
      <x:fill>
        <x:patternFill>
          <x:bgColor rgb="FFEAF5EA"/>
        </x:patternFill>
      </x:fill>
    </x:dxf>
    <x:dxf>
      <x:font>
        <x:b/>
        <x:color rgb="FFB42318"/>
      </x:font>
      <x:fill>
        <x:patternFill>
          <x:bgColor rgb="FFFDECEC"/>
        </x:patternFill>
      </x:fill>
    </x:dxf>
    <x:dxf>
      <x:font>
        <x:b/>
        <x:color rgb="FFB42318"/>
      </x:font>
      <x:fill>
        <x:patternFill>
          <x:bgColor rgb="FFFDECEC"/>
        </x:patternFill>
      </x:fill>
    </x:dxf>
    <x:dxf>
      <x:font>
        <x:b/>
        <x:color rgb="FF2E7D32"/>
      </x:font>
      <x:fill>
        <x:patternFill>
          <x:bgColor rgb="FFEAF5EA"/>
        </x:patternFill>
      </x:fill>
    </x:dxf>
    <x:dxf>
      <x:font>
        <x:b/>
        <x:color rgb="FFB42318"/>
      </x:font>
      <x:fill>
        <x:patternFill>
          <x:bgColor rgb="FFFDECEC"/>
        </x:patternFill>
      </x:fill>
    </x:dxf>
    <x:dxf>
      <x:font>
        <x:b/>
        <x:color rgb="FF2E7D32"/>
      </x:font>
      <x:fill>
        <x:patternFill>
          <x:bgColor rgb="FFEAF5EA"/>
        </x:patternFill>
      </x:fill>
    </x:dxf>
    <x:dxf>
      <x:font>
        <x:b/>
        <x:color rgb="FF2E7D32"/>
      </x:font>
      <x:fill>
        <x:patternFill>
          <x:bgColor rgb="FFEAF5EA"/>
        </x:patternFill>
      </x:fill>
    </x:dxf>
    <x:dxf>
      <x:font>
        <x:b/>
        <x:color rgb="FF2E7D32"/>
      </x:font>
      <x:fill>
        <x:patternFill>
          <x:bgColor rgb="FFEAF5EA"/>
        </x:patternFill>
      </x:fill>
    </x:dxf>
    <x:dxf>
      <x:font>
        <x:b/>
        <x:color rgb="FF2E7D32"/>
      </x:font>
      <x:fill>
        <x:patternFill>
          <x:bgColor rgb="FFEAF5EA"/>
        </x:patternFill>
      </x:fill>
    </x:dxf>
    <x:dxf>
      <x:font>
        <x:b/>
        <x:color rgb="FF2E7D32"/>
      </x:font>
      <x:fill>
        <x:patternFill>
          <x:bgColor rgb="FFEAF5EA"/>
        </x:patternFill>
      </x:fill>
    </x:dxf>
    <x:dxf>
      <x:font>
        <x:b/>
        <x:color rgb="FF2E7D32"/>
      </x:font>
      <x:fill>
        <x:patternFill>
          <x:bgColor rgb="FFEAF5EA"/>
        </x:patternFill>
      </x:fill>
    </x:dxf>
    <x:dxf>
      <x:font>
        <x:b/>
        <x:color rgb="FF2E7D32"/>
      </x:font>
      <x:fill>
        <x:patternFill>
          <x:bgColor rgb="FFEAF5EA"/>
        </x:patternFill>
      </x:fill>
    </x:dxf>
    <x:dxf>
      <x:font>
        <x:b/>
        <x:color rgb="FFB42318"/>
      </x:font>
      <x:fill>
        <x:patternFill>
          <x:bgColor rgb="FFFDECEC"/>
        </x:patternFill>
      </x:fill>
    </x:dxf>
    <x:dxf>
      <x:font>
        <x:color rgb="FFB42318"/>
      </x:font>
      <x:fill>
        <x:patternFill>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f60f5bbe0a463d" /><Relationship Type="http://schemas.openxmlformats.org/officeDocument/2006/relationships/theme" Target="/xl/theme/theme1.xml" Id="Rbed06ba52a7544e7" /><Relationship Type="http://schemas.microsoft.com/office/2022/11/relationships/FeaturePropertyBag" Target="/xl/featurePropertyBag/featurePropertyBag.xml" Id="Rd508a2d437ae42ec" /><Relationship Type="http://schemas.openxmlformats.org/officeDocument/2006/relationships/sharedStrings" Target="/xl/sharedStrings.xml" Id="R747029b12d9e4d3a" /><Relationship Type="http://schemas.openxmlformats.org/officeDocument/2006/relationships/worksheet" Target="/xl/worksheets/sheet1.xml" Id="Rb1242798fb0441d1" /><Relationship Type="http://schemas.openxmlformats.org/officeDocument/2006/relationships/worksheet" Target="/xl/worksheets/sheet2.xml" Id="R7064dfa12fb94f1f" /><Relationship Type="http://schemas.openxmlformats.org/officeDocument/2006/relationships/worksheet" Target="/xl/worksheets/sheet3.xml" Id="R3076904f5d4b4b74" /><Relationship Type="http://schemas.openxmlformats.org/officeDocument/2006/relationships/worksheet" Target="/xl/worksheets/sheet4.xml" Id="Re464d71769be4d4e" /><Relationship Type="http://schemas.openxmlformats.org/officeDocument/2006/relationships/worksheet" Target="/xl/worksheets/sheet5.xml" Id="Ra5e57417edef4ed1" /><Relationship Type="http://schemas.openxmlformats.org/officeDocument/2006/relationships/worksheet" Target="/xl/worksheets/sheet6.xml" Id="Rb81c8f02419e4aa6" /><Relationship Type="http://schemas.openxmlformats.org/officeDocument/2006/relationships/worksheet" Target="/xl/worksheets/sheet7.xml" Id="Rc92c5643e72c4da0" /><Relationship Type="http://schemas.openxmlformats.org/officeDocument/2006/relationships/worksheet" Target="/xl/worksheets/sheet8.xml" Id="R84ffc79b3f2b45f8" /><Relationship Type="http://schemas.openxmlformats.org/officeDocument/2006/relationships/worksheet" Target="/xl/worksheets/sheet9.xml" Id="R2a11cd9e64a146dc" /><Relationship Type="http://schemas.openxmlformats.org/officeDocument/2006/relationships/worksheet" Target="/xl/worksheets/sheet10.xml" Id="Rd7c157c106d64e94" /><Relationship Type="http://schemas.openxmlformats.org/officeDocument/2006/relationships/worksheet" Target="/xl/worksheets/sheet11.xml" Id="R435757bab3d74395" /><Relationship Type="http://schemas.openxmlformats.org/officeDocument/2006/relationships/worksheet" Target="/xl/worksheets/sheet12.xml" Id="Rc98f6742f6d54fb8" /><Relationship Type="http://schemas.openxmlformats.org/officeDocument/2006/relationships/worksheet" Target="/xl/worksheets/sheet13.xml" Id="Re522cf056e6543c4" /><Relationship Type="http://schemas.openxmlformats.org/officeDocument/2006/relationships/worksheet" Target="/xl/worksheets/sheet14.xml" Id="Rb8c5eaf9a51d44ed" /><Relationship Type="http://schemas.openxmlformats.org/officeDocument/2006/relationships/worksheet" Target="/xl/worksheets/sheet15.xml" Id="R9dbb36e0ab194c6c" /><Relationship Type="http://schemas.openxmlformats.org/officeDocument/2006/relationships/worksheet" Target="/xl/worksheets/sheet16.xml" Id="Rc75a6d0cc9434e23" /><Relationship Type="http://schemas.openxmlformats.org/officeDocument/2006/relationships/worksheet" Target="/xl/worksheets/sheet17.xml" Id="R156c8763d2b74640" /><Relationship Type="http://schemas.openxmlformats.org/officeDocument/2006/relationships/worksheet" Target="/xl/worksheets/sheet18.xml" Id="R967a6edd4f204c8e" /><Relationship Type="http://schemas.openxmlformats.org/officeDocument/2006/relationships/worksheet" Target="/xl/worksheets/sheet19.xml" Id="Re3b61c01f03f4b18" /><Relationship Type="http://schemas.openxmlformats.org/officeDocument/2006/relationships/worksheet" Target="/xl/worksheets/sheet20.xml" Id="R4ab3afdf7cd4455e" /><Relationship Type="http://schemas.openxmlformats.org/officeDocument/2006/relationships/worksheet" Target="/xl/worksheets/sheet21.xml" Id="R0df4f685e66e402e" /><Relationship Type="http://schemas.openxmlformats.org/officeDocument/2006/relationships/worksheet" Target="/xl/worksheets/sheet22.xml" Id="R48482cb749a24564" /><Relationship Type="http://schemas.openxmlformats.org/officeDocument/2006/relationships/worksheet" Target="/xl/worksheets/sheet23.xml" Id="Rcc7525206f62480d" /><Relationship Type="http://schemas.openxmlformats.org/officeDocument/2006/relationships/worksheet" Target="/xl/worksheets/sheet24.xml" Id="R50bac57298014d87" /><Relationship Type="http://schemas.openxmlformats.org/officeDocument/2006/relationships/worksheet" Target="/xl/worksheets/sheet25.xml" Id="R08df1322b52a4ad8" /><Relationship Type="http://schemas.openxmlformats.org/officeDocument/2006/relationships/worksheet" Target="/xl/worksheets/sheet26.xml" Id="Rc3555a9b3cc1487d" /><Relationship Type="http://schemas.openxmlformats.org/officeDocument/2006/relationships/worksheet" Target="/xl/worksheets/sheet27.xml" Id="Rc062e09b118740b1" /><Relationship Type="http://schemas.openxmlformats.org/officeDocument/2006/relationships/worksheet" Target="/xl/worksheets/sheet28.xml" Id="R69f68ec11cbb46aa" /><Relationship Type="http://schemas.openxmlformats.org/officeDocument/2006/relationships/worksheet" Target="/xl/worksheets/sheet29.xml" Id="R94b7a13b0df444b3" /><Relationship Type="http://schemas.openxmlformats.org/officeDocument/2006/relationships/worksheet" Target="/xl/worksheets/sheet30.xml" Id="Re46b1a26ef5f4f73" /><Relationship Type="http://schemas.openxmlformats.org/officeDocument/2006/relationships/worksheet" Target="/xl/worksheets/sheet31.xml" Id="Rd95d2f1ac31b4970" /><Relationship Type="http://schemas.openxmlformats.org/officeDocument/2006/relationships/worksheet" Target="/xl/worksheets/sheet32.xml" Id="R3a1c36ac735e49fc" /><Relationship Type="http://schemas.openxmlformats.org/officeDocument/2006/relationships/worksheet" Target="/xl/worksheets/sheet33.xml" Id="R8fdfb7fe378c47d7" /><Relationship Type="http://schemas.openxmlformats.org/officeDocument/2006/relationships/worksheet" Target="/xl/worksheets/sheet34.xml" Id="Re5f6966b523a4ebd" /><Relationship Type="http://schemas.openxmlformats.org/officeDocument/2006/relationships/worksheet" Target="/xl/worksheets/sheet35.xml" Id="R6c266cb61ea94422" /><Relationship Type="http://schemas.openxmlformats.org/officeDocument/2006/relationships/worksheet" Target="/xl/worksheets/sheet36.xml" Id="Ra7b7ac9b3e1c41f4" /><Relationship Type="http://schemas.openxmlformats.org/officeDocument/2006/relationships/worksheet" Target="/xl/worksheets/sheet37.xml" Id="Rc0e548d2e94345cf" /><Relationship Type="http://schemas.openxmlformats.org/officeDocument/2006/relationships/worksheet" Target="/xl/worksheets/sheet38.xml" Id="R38035dfabfdf4e5c" /><Relationship Type="http://schemas.openxmlformats.org/officeDocument/2006/relationships/worksheet" Target="/xl/worksheets/sheet39.xml" Id="R4bd51a593f3b4b98" /><Relationship Type="http://schemas.openxmlformats.org/officeDocument/2006/relationships/worksheet" Target="/xl/worksheets/sheet40.xml" Id="R03ccb0aea1774c59" /><Relationship Type="http://schemas.openxmlformats.org/officeDocument/2006/relationships/worksheet" Target="/xl/worksheets/sheet41.xml" Id="R62b470e93ae04f96" /><Relationship Type="http://schemas.openxmlformats.org/officeDocument/2006/relationships/worksheet" Target="/xl/worksheets/sheet42.xml" Id="R12823d31d37846c8" /><Relationship Type="http://schemas.openxmlformats.org/officeDocument/2006/relationships/worksheet" Target="/xl/worksheets/sheet43.xml" Id="R7bd8b4812dad40a7" /><Relationship Type="http://schemas.openxmlformats.org/officeDocument/2006/relationships/worksheet" Target="/xl/worksheets/sheet44.xml" Id="R908e8ca6bdec4ad2" /><Relationship Type="http://schemas.openxmlformats.org/officeDocument/2006/relationships/worksheet" Target="/xl/worksheets/sheet45.xml" Id="R2ef4a4bcc318416c" /><Relationship Type="http://schemas.openxmlformats.org/officeDocument/2006/relationships/worksheet" Target="/xl/worksheets/sheet46.xml" Id="Rca70e204de554264" /><Relationship Type="http://schemas.openxmlformats.org/officeDocument/2006/relationships/worksheet" Target="/xl/worksheets/sheet47.xml" Id="Rd23f3e5276ee4cb6" /><Relationship Type="http://schemas.openxmlformats.org/officeDocument/2006/relationships/worksheet" Target="/xl/worksheets/sheet48.xml" Id="R960019eeaa614bd5" /><Relationship Type="http://schemas.openxmlformats.org/officeDocument/2006/relationships/worksheet" Target="/xl/worksheets/sheet49.xml" Id="Rf024abef53504d00" /><Relationship Type="http://schemas.openxmlformats.org/officeDocument/2006/relationships/worksheet" Target="/xl/worksheets/sheet50.xml" Id="Rc04d5a68b2884d3c" /><Relationship Type="http://schemas.openxmlformats.org/officeDocument/2006/relationships/worksheet" Target="/xl/worksheets/sheet51.xml" Id="Rf4032d4fb5b44f9a" /><Relationship Type="http://schemas.openxmlformats.org/officeDocument/2006/relationships/worksheet" Target="/xl/worksheets/sheet52.xml" Id="Rfdc7110816634e06" /><Relationship Type="http://schemas.openxmlformats.org/officeDocument/2006/relationships/worksheet" Target="/xl/worksheets/sheet53.xml" Id="R9e557c7604f8478d" /></Relationships>
</file>

<file path=xl/drawings/_rels/drawing1.xml.rels>&#65279;<?xml version="1.0" encoding="utf-8"?><Relationships xmlns="http://schemas.openxmlformats.org/package/2006/relationships"><Relationship Type="http://schemas.openxmlformats.org/officeDocument/2006/relationships/chart" Target="/xl/drawings/charts/chart1.xml" Id="R2cce0b69e57c4e58" /></Relationships>
</file>

<file path=xl/drawings/_rels/drawing2.xml.rels>&#65279;<?xml version="1.0" encoding="utf-8"?><Relationships xmlns="http://schemas.openxmlformats.org/package/2006/relationships"><Relationship Type="http://schemas.openxmlformats.org/officeDocument/2006/relationships/chart" Target="/xl/drawings/charts/chart2.xml" Id="R01700e2edcb04b5b" /></Relationships>
</file>

<file path=xl/drawings/_rels/drawing3.xml.rels>&#65279;<?xml version="1.0" encoding="utf-8"?><Relationships xmlns="http://schemas.openxmlformats.org/package/2006/relationships"><Relationship Type="http://schemas.openxmlformats.org/officeDocument/2006/relationships/chart" Target="/xl/drawings/charts/chart3.xml" Id="R78ece5d5eb28424c" /></Relationships>
</file>

<file path=xl/drawings/_rels/drawing4.xml.rels>&#65279;<?xml version="1.0" encoding="utf-8"?><Relationships xmlns="http://schemas.openxmlformats.org/package/2006/relationships"><Relationship Type="http://schemas.openxmlformats.org/officeDocument/2006/relationships/chart" Target="/xl/drawings/charts/chart4.xml" Id="R969f2f94d2e2474c" /><Relationship Type="http://schemas.openxmlformats.org/officeDocument/2006/relationships/chart" Target="/xl/drawings/charts/chart5.xml" Id="Rd7e26ad90d514f31" /></Relationships>
</file>

<file path=xl/drawings/_rels/drawing5.xml.rels>&#65279;<?xml version="1.0" encoding="utf-8"?><Relationships xmlns="http://schemas.openxmlformats.org/package/2006/relationships"><Relationship Type="http://schemas.openxmlformats.org/officeDocument/2006/relationships/chart" Target="/xl/drawings/charts/chart6.xml" Id="R1a8dc94058cf49d9" /></Relationships>
</file>

<file path=xl/drawings/_rels/drawing6.xml.rels>&#65279;<?xml version="1.0" encoding="utf-8"?><Relationships xmlns="http://schemas.openxmlformats.org/package/2006/relationships"><Relationship Type="http://schemas.openxmlformats.org/officeDocument/2006/relationships/chart" Target="/xl/drawings/charts/chart7.xml" Id="Rca780a095d834033" /></Relationships>
</file>

<file path=xl/drawings/_rels/drawing7.xml.rels>&#65279;<?xml version="1.0" encoding="utf-8"?><Relationships xmlns="http://schemas.openxmlformats.org/package/2006/relationships"><Relationship Type="http://schemas.openxmlformats.org/officeDocument/2006/relationships/chart" Target="/xl/drawings/charts/chart8.xml" Id="Rf8c10fdbcb5744fb"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Candidate</c:v>
          </c:tx>
          <c:cat>
            <c:strRef>
              <c:f>'Executive Summary'!$T$6:$T$9</c:f>
              <c:strCache>
                <c:ptCount val="0"/>
              </c:strCache>
            </c:strRef>
          </c:cat>
          <c:val>
            <c:numRef>
              <c:f>'Executive Summary'!$U$6:$U$9</c:f>
              <c:numCache>
                <c:formatCode>0.000000</c:formatCode>
                <c:ptCount val="0"/>
              </c:numCache>
            </c:numRef>
          </c:val>
        </c:ser>
        <c:ser>
          <c:idx val="1"/>
          <c:order val="1"/>
          <c:tx>
            <c:v>Uniform</c:v>
          </c:tx>
          <c:cat>
            <c:strRef>
              <c:f>'Executive Summary'!$T$6:$T$9</c:f>
              <c:strCache>
                <c:ptCount val="0"/>
              </c:strCache>
            </c:strRef>
          </c:cat>
          <c:val>
            <c:numRef>
              <c:f>'Executive Summary'!$V$6:$V$9</c:f>
              <c:numCache>
                <c:formatCode>0.000000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Advanced Ensemble Weights</a:t>
            </a:r>
          </a:p>
        </c:rich>
      </c:tx>
      <c:overlay val="0"/>
    </c:title>
    <c:autoTitleDeleted val="0"/>
    <c:plotArea>
      <c:layout/>
      <c:barChart>
        <c:barDir val="col"/>
        <c:grouping val="clustered"/>
        <c:varyColors val="0"/>
        <c:ser>
          <c:idx val="0"/>
          <c:order val="0"/>
          <c:tx>
            <c:v>Super Learner Weight</c:v>
          </c:tx>
          <c:cat>
            <c:strRef>
              <c:f>'Ensemble Conformal'!$A$4:$A$7</c:f>
              <c:strCache>
                <c:ptCount val="0"/>
              </c:strCache>
            </c:strRef>
          </c:cat>
          <c:val>
            <c:numRef>
              <c:f>'Ensemble Conformal'!$B$4:$B$7</c:f>
              <c:numCache>
                <c:formatCode>0.00%</c:formatCode>
                <c:ptCount val="0"/>
              </c:numCache>
            </c:numRef>
          </c:val>
        </c:ser>
        <c:ser>
          <c:idx val="1"/>
          <c:order val="1"/>
          <c:tx>
            <c:v>Robust Weight</c:v>
          </c:tx>
          <c:cat>
            <c:strRef>
              <c:f>'Ensemble Conformal'!$A$4:$A$7</c:f>
              <c:strCache>
                <c:ptCount val="0"/>
              </c:strCache>
            </c:strRef>
          </c:cat>
          <c:val>
            <c:numRef>
              <c:f>'Ensemble Conformal'!$C$4:$C$7</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Operational Controls</a:t>
            </a:r>
          </a:p>
        </c:rich>
      </c:tx>
      <c:overlay val="0"/>
    </c:title>
    <c:autoTitleDeleted val="0"/>
    <c:plotArea>
      <c:layout/>
      <c:barChart>
        <c:barDir val="col"/>
        <c:grouping val="stacked"/>
        <c:varyColors val="0"/>
        <c:ser>
          <c:idx val="0"/>
          <c:order val="0"/>
          <c:tx>
            <c:v>Pass</c:v>
          </c:tx>
          <c:cat>
            <c:strRef>
              <c:f>'Operational Dashboard'!$J$24:$J$27</c:f>
              <c:strCache>
                <c:ptCount val="0"/>
              </c:strCache>
            </c:strRef>
          </c:cat>
          <c:val>
            <c:numRef>
              <c:f>'Operational Dashboard'!$K$24:$K$27</c:f>
              <c:numCache>
                <c:formatCode>General</c:formatCode>
                <c:ptCount val="0"/>
              </c:numCache>
            </c:numRef>
          </c:val>
        </c:ser>
        <c:ser>
          <c:idx val="1"/>
          <c:order val="1"/>
          <c:tx>
            <c:v>Fail</c:v>
          </c:tx>
          <c:cat>
            <c:strRef>
              <c:f>'Operational Dashboard'!$J$24:$J$27</c:f>
              <c:strCache>
                <c:ptCount val="0"/>
              </c:strCache>
            </c:strRef>
          </c:cat>
          <c:val>
            <c:numRef>
              <c:f>'Operational Dashboard'!$L$24:$L$27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Main Edge: Years Required at 80% Power</a:t>
            </a:r>
          </a:p>
        </c:rich>
      </c:tx>
      <c:overlay val="0"/>
    </c:title>
    <c:autoTitleDeleted val="0"/>
    <c:plotArea>
      <c:layout/>
      <c:lineChart>
        <c:grouping val="standard"/>
        <c:varyColors val="0"/>
        <c:ser>
          <c:idx val="0"/>
          <c:order val="0"/>
          <c:tx>
            <c:v>Baseline</c:v>
          </c:tx>
          <c:cat>
            <c:strRef>
              <c:f>'Power Analysis'!$A$7:$A$12</c:f>
              <c:strCache>
                <c:ptCount val="0"/>
              </c:strCache>
            </c:strRef>
          </c:cat>
          <c:val>
            <c:numRef>
              <c:f>'Power Analysis'!$B$7:$B$12</c:f>
              <c:numCache>
                <c:formatCode>0.0000</c:formatCode>
                <c:ptCount val="0"/>
              </c:numCache>
            </c:numRef>
          </c:val>
          <c:smooth val="0"/>
        </c:ser>
        <c:ser>
          <c:idx val="1"/>
          <c:order val="1"/>
          <c:tx>
            <c:v>Variance</c:v>
          </c:tx>
          <c:cat>
            <c:strRef>
              <c:f>'Power Analysis'!$A$7:$A$12</c:f>
              <c:strCache>
                <c:ptCount val="0"/>
              </c:strCache>
            </c:strRef>
          </c:cat>
          <c:val>
            <c:numRef>
              <c:f>'Power Analysis'!$C$7:$C$12</c:f>
              <c:numCache>
                <c:formatCode>0.0000</c:formatCode>
                <c:ptCount val="0"/>
              </c:numCache>
            </c:numRef>
          </c:val>
          <c:smooth val="0"/>
        </c:ser>
        <c:ser>
          <c:idx val="2"/>
          <c:order val="2"/>
          <c:tx>
            <c:v>Draws 80%</c:v>
          </c:tx>
          <c:cat>
            <c:strRef>
              <c:f>'Power Analysis'!$A$7:$A$12</c:f>
              <c:strCache>
                <c:ptCount val="0"/>
              </c:strCache>
            </c:strRef>
          </c:cat>
          <c:val>
            <c:numRef>
              <c:f>'Power Analysis'!$D$7:$D$12</c:f>
              <c:numCache>
                <c:formatCode>0.0</c:formatCode>
                <c:ptCount val="0"/>
              </c:numCache>
            </c:numRef>
          </c:val>
          <c:smooth val="0"/>
        </c:ser>
        <c:ser>
          <c:idx val="3"/>
          <c:order val="3"/>
          <c:tx>
            <c:v>Years 80%</c:v>
          </c:tx>
          <c:cat>
            <c:strRef>
              <c:f>'Power Analysis'!$A$7:$A$12</c:f>
              <c:strCache>
                <c:ptCount val="0"/>
              </c:strCache>
            </c:strRef>
          </c:cat>
          <c:val>
            <c:numRef>
              <c:f>'Power Analysis'!$E$7:$E$12</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Euro Edge: Years Required at 80% Power</a:t>
            </a:r>
          </a:p>
        </c:rich>
      </c:tx>
      <c:overlay val="0"/>
    </c:title>
    <c:autoTitleDeleted val="0"/>
    <c:plotArea>
      <c:layout/>
      <c:lineChart>
        <c:grouping val="standard"/>
        <c:varyColors val="0"/>
        <c:ser>
          <c:idx val="0"/>
          <c:order val="0"/>
          <c:tx>
            <c:v>Baseline</c:v>
          </c:tx>
          <c:cat>
            <c:strRef>
              <c:f>'Power Analysis'!$I$7:$I$11</c:f>
              <c:strCache>
                <c:ptCount val="0"/>
              </c:strCache>
            </c:strRef>
          </c:cat>
          <c:val>
            <c:numRef>
              <c:f>'Power Analysis'!$J$7:$J$11</c:f>
              <c:numCache>
                <c:formatCode>0.0000</c:formatCode>
                <c:ptCount val="0"/>
              </c:numCache>
            </c:numRef>
          </c:val>
          <c:smooth val="0"/>
        </c:ser>
        <c:ser>
          <c:idx val="1"/>
          <c:order val="1"/>
          <c:tx>
            <c:v>Variance</c:v>
          </c:tx>
          <c:cat>
            <c:strRef>
              <c:f>'Power Analysis'!$I$7:$I$11</c:f>
              <c:strCache>
                <c:ptCount val="0"/>
              </c:strCache>
            </c:strRef>
          </c:cat>
          <c:val>
            <c:numRef>
              <c:f>'Power Analysis'!$K$7:$K$11</c:f>
              <c:numCache>
                <c:formatCode>0.0000</c:formatCode>
                <c:ptCount val="0"/>
              </c:numCache>
            </c:numRef>
          </c:val>
          <c:smooth val="0"/>
        </c:ser>
        <c:ser>
          <c:idx val="2"/>
          <c:order val="2"/>
          <c:tx>
            <c:v>Draws 80%</c:v>
          </c:tx>
          <c:cat>
            <c:strRef>
              <c:f>'Power Analysis'!$I$7:$I$11</c:f>
              <c:strCache>
                <c:ptCount val="0"/>
              </c:strCache>
            </c:strRef>
          </c:cat>
          <c:val>
            <c:numRef>
              <c:f>'Power Analysis'!$L$7:$L$11</c:f>
              <c:numCache>
                <c:formatCode>0.0</c:formatCode>
                <c:ptCount val="0"/>
              </c:numCache>
            </c:numRef>
          </c:val>
          <c:smooth val="0"/>
        </c:ser>
        <c:ser>
          <c:idx val="3"/>
          <c:order val="3"/>
          <c:tx>
            <c:v>Years 80%</c:v>
          </c:tx>
          <c:cat>
            <c:strRef>
              <c:f>'Power Analysis'!$I$7:$I$11</c:f>
              <c:strCache>
                <c:ptCount val="0"/>
              </c:strCache>
            </c:strRef>
          </c:cat>
          <c:val>
            <c:numRef>
              <c:f>'Power Analysis'!$M$7:$M$11</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Cost vs Distinct-Line Coverage</a:t>
            </a:r>
          </a:p>
        </c:rich>
      </c:tx>
      <c:overlay val="0"/>
    </c:title>
    <c:autoTitleDeleted val="0"/>
    <c:plotArea>
      <c:layout/>
      <c:lineChart>
        <c:grouping val="standard"/>
        <c:varyColors val="0"/>
        <c:ser>
          <c:idx val="0"/>
          <c:order val="0"/>
          <c:tx>
            <c:v>Cost</c:v>
          </c:tx>
          <c:cat>
            <c:strRef>
              <c:f>'Portfolio Frontier'!$I$4:$I$11</c:f>
              <c:strCache>
                <c:ptCount val="0"/>
              </c:strCache>
            </c:strRef>
          </c:cat>
          <c:val>
            <c:numRef>
              <c:f>'Portfolio Frontier'!$J$4:$J$11</c:f>
              <c:numCache>
                <c:formatCode>General</c:formatCode>
                <c:ptCount val="0"/>
              </c:numCache>
            </c:numRef>
          </c:val>
          <c:smooth val="0"/>
        </c:ser>
        <c:ser>
          <c:idx val="1"/>
          <c:order val="1"/>
          <c:tx>
            <c:v>Coverage</c:v>
          </c:tx>
          <c:cat>
            <c:strRef>
              <c:f>'Portfolio Frontier'!$I$4:$I$11</c:f>
              <c:strCache>
                <c:ptCount val="0"/>
              </c:strCache>
            </c:strRef>
          </c:cat>
          <c:val>
            <c:numRef>
              <c:f>'Portfolio Frontier'!$K$4:$K$11</c:f>
              <c:numCache>
                <c:formatCode>General</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Current vs Normal Portfolio Weights</a:t>
            </a:r>
          </a:p>
        </c:rich>
      </c:tx>
      <c:overlay val="0"/>
    </c:title>
    <c:autoTitleDeleted val="0"/>
    <c:plotArea>
      <c:layout/>
      <c:barChart>
        <c:barDir val="col"/>
        <c:grouping val="clustered"/>
        <c:varyColors val="0"/>
        <c:ser>
          <c:idx val="0"/>
          <c:order val="0"/>
          <c:tx>
            <c:v>Current</c:v>
          </c:tx>
          <c:cat>
            <c:strRef>
              <c:f>'Jackpot State Dashboard'!$J$7:$J$11</c:f>
              <c:strCache>
                <c:ptCount val="0"/>
              </c:strCache>
            </c:strRef>
          </c:cat>
          <c:val>
            <c:numRef>
              <c:f>'Jackpot State Dashboard'!$K$7:$K$11</c:f>
              <c:numCache>
                <c:formatCode>0%</c:formatCode>
                <c:ptCount val="0"/>
              </c:numCache>
            </c:numRef>
          </c:val>
        </c:ser>
        <c:ser>
          <c:idx val="1"/>
          <c:order val="1"/>
          <c:tx>
            <c:v>Normal Baseline</c:v>
          </c:tx>
          <c:cat>
            <c:strRef>
              <c:f>'Jackpot State Dashboard'!$J$7:$J$11</c:f>
              <c:strCache>
                <c:ptCount val="0"/>
              </c:strCache>
            </c:strRef>
          </c:cat>
          <c:val>
            <c:numRef>
              <c:f>'Jackpot State Dashboard'!$L$7:$L$11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Portfolio Weight Profiles by Jackpot State</a:t>
            </a:r>
          </a:p>
        </c:rich>
      </c:tx>
      <c:overlay val="0"/>
    </c:title>
    <c:autoTitleDeleted val="0"/>
    <c:plotArea>
      <c:layout/>
      <c:barChart>
        <c:barDir val="col"/>
        <c:grouping val="clustered"/>
        <c:varyColors val="0"/>
        <c:ser>
          <c:idx val="0"/>
          <c:order val="0"/>
          <c:tx>
            <c:v>Trigger</c:v>
          </c:tx>
          <c:cat>
            <c:strRef>
              <c:f>'Portfolio State Machine'!$A$4:$A$9</c:f>
              <c:strCache>
                <c:ptCount val="0"/>
              </c:strCache>
            </c:strRef>
          </c:cat>
          <c:val>
            <c:numRef>
              <c:f>'Portfolio State Machine'!$B$4:$B$9</c:f>
              <c:numCache>
                <c:formatCode>General</c:formatCode>
                <c:ptCount val="0"/>
              </c:numCache>
            </c:numRef>
          </c:val>
        </c:ser>
        <c:ser>
          <c:idx val="1"/>
          <c:order val="1"/>
          <c:tx>
            <c:v>Jackpot Weight</c:v>
          </c:tx>
          <c:cat>
            <c:strRef>
              <c:f>'Portfolio State Machine'!$A$4:$A$9</c:f>
              <c:strCache>
                <c:ptCount val="0"/>
              </c:strCache>
            </c:strRef>
          </c:cat>
          <c:val>
            <c:numRef>
              <c:f>'Portfolio State Machine'!$C$4:$C$9</c:f>
              <c:numCache>
                <c:formatCode>0%</c:formatCode>
                <c:ptCount val="0"/>
              </c:numCache>
            </c:numRef>
          </c:val>
        </c:ser>
        <c:ser>
          <c:idx val="2"/>
          <c:order val="2"/>
          <c:tx>
            <c:v>Class-2 Weight</c:v>
          </c:tx>
          <c:cat>
            <c:strRef>
              <c:f>'Portfolio State Machine'!$A$4:$A$9</c:f>
              <c:strCache>
                <c:ptCount val="0"/>
              </c:strCache>
            </c:strRef>
          </c:cat>
          <c:val>
            <c:numRef>
              <c:f>'Portfolio State Machine'!$D$4:$D$9</c:f>
              <c:numCache>
                <c:formatCode>0%</c:formatCode>
                <c:ptCount val="0"/>
              </c:numCache>
            </c:numRef>
          </c:val>
        </c:ser>
        <c:ser>
          <c:idx val="3"/>
          <c:order val="3"/>
          <c:tx>
            <c:v>Lower-Tier Weight</c:v>
          </c:tx>
          <c:cat>
            <c:strRef>
              <c:f>'Portfolio State Machine'!$A$4:$A$9</c:f>
              <c:strCache>
                <c:ptCount val="0"/>
              </c:strCache>
            </c:strRef>
          </c:cat>
          <c:val>
            <c:numRef>
              <c:f>'Portfolio State Machine'!$E$4:$E$9</c:f>
              <c:numCache>
                <c:formatCode>0%</c:formatCode>
                <c:ptCount val="0"/>
              </c:numCache>
            </c:numRef>
          </c:val>
        </c:ser>
        <c:ser>
          <c:idx val="4"/>
          <c:order val="4"/>
          <c:tx>
            <c:v>Anti-Crowd</c:v>
          </c:tx>
          <c:cat>
            <c:strRef>
              <c:f>'Portfolio State Machine'!$A$4:$A$9</c:f>
              <c:strCache>
                <c:ptCount val="0"/>
              </c:strCache>
            </c:strRef>
          </c:cat>
          <c:val>
            <c:numRef>
              <c:f>'Portfolio State Machine'!$F$4:$F$9</c:f>
              <c:numCache>
                <c:formatCode>0%</c:formatCode>
                <c:ptCount val="0"/>
              </c:numCache>
            </c:numRef>
          </c:val>
        </c:ser>
        <c:ser>
          <c:idx val="5"/>
          <c:order val="5"/>
          <c:tx>
            <c:v>Main Diversity</c:v>
          </c:tx>
          <c:cat>
            <c:strRef>
              <c:f>'Portfolio State Machine'!$A$4:$A$9</c:f>
              <c:strCache>
                <c:ptCount val="0"/>
              </c:strCache>
            </c:strRef>
          </c:cat>
          <c:val>
            <c:numRef>
              <c:f>'Portfolio State Machine'!$G$4:$G$9</c:f>
              <c:numCache>
                <c:formatCode>0%</c:formatCode>
                <c:ptCount val="0"/>
              </c:numCache>
            </c:numRef>
          </c:val>
        </c:ser>
        <c:ser>
          <c:idx val="6"/>
          <c:order val="6"/>
          <c:tx>
            <c:v>Euro Diversity</c:v>
          </c:tx>
          <c:cat>
            <c:strRef>
              <c:f>'Portfolio State Machine'!$A$4:$A$9</c:f>
              <c:strCache>
                <c:ptCount val="0"/>
              </c:strCache>
            </c:strRef>
          </c:cat>
          <c:val>
            <c:numRef>
              <c:f>'Portfolio State Machine'!$H$4:$H$9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18</xdr:row>
      <xdr:rowOff>0</xdr:rowOff>
    </xdr:from>
    <xdr:to>
      <xdr:col>16</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cce0b69e57c4e58"/>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2</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700e2edcb04b5b"/>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21</xdr:row>
      <xdr:rowOff>0</xdr:rowOff>
    </xdr:from>
    <xdr:to>
      <xdr:col>16</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8ece5d5eb28424c"/>
        </a:graphicData>
      </a:graphic>
    </xdr:graphicFrame>
    <xdr:clientData/>
  </xdr:twoCellAnchor>
</xdr:wsDr>
</file>

<file path=xl/drawings/drawing4.xml><?xml version="1.0" encoding="utf-8"?>
<xdr:wsDr xmlns:xdr="http://schemas.openxmlformats.org/drawingml/2006/spreadsheetDrawing">
  <xdr:twoCellAnchor>
    <xdr:from>
      <xdr:col>0</xdr:col>
      <xdr:colOff>0</xdr:colOff>
      <xdr:row>15</xdr:row>
      <xdr:rowOff>0</xdr:rowOff>
    </xdr:from>
    <xdr:to>
      <xdr:col>7</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9f2f94d2e2474c"/>
        </a:graphicData>
      </a:graphic>
    </xdr:graphicFrame>
    <xdr:clientData/>
  </xdr:twoCellAnchor>
  <xdr:twoCellAnchor>
    <xdr:from>
      <xdr:col>8</xdr:col>
      <xdr:colOff>0</xdr:colOff>
      <xdr:row>15</xdr:row>
      <xdr:rowOff>0</xdr:rowOff>
    </xdr:from>
    <xdr:to>
      <xdr:col>15</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e26ad90d514f31"/>
        </a:graphicData>
      </a:graphic>
    </xdr:graphicFrame>
    <xdr:clientData/>
  </xdr:twoCellAnchor>
</xdr:wsDr>
</file>

<file path=xl/drawings/drawing5.xml><?xml version="1.0" encoding="utf-8"?>
<xdr:wsDr xmlns:xdr="http://schemas.openxmlformats.org/drawingml/2006/spreadsheetDrawing">
  <xdr:twoCellAnchor>
    <xdr:from>
      <xdr:col>8</xdr:col>
      <xdr:colOff>0</xdr:colOff>
      <xdr:row>12</xdr:row>
      <xdr:rowOff>0</xdr:rowOff>
    </xdr:from>
    <xdr:to>
      <xdr:col>15</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a8dc94058cf49d9"/>
        </a:graphicData>
      </a:graphic>
    </xdr:graphicFrame>
    <xdr:clientData/>
  </xdr:twoCellAnchor>
</xdr:wsDr>
</file>

<file path=xl/drawings/drawing6.xml><?xml version="1.0" encoding="utf-8"?>
<xdr:wsDr xmlns:xdr="http://schemas.openxmlformats.org/drawingml/2006/spreadsheetDrawing">
  <xdr:twoCellAnchor>
    <xdr:from>
      <xdr:col>9</xdr:col>
      <xdr:colOff>0</xdr:colOff>
      <xdr:row>13</xdr:row>
      <xdr:rowOff>0</xdr:rowOff>
    </xdr:from>
    <xdr:to>
      <xdr:col>16</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780a095d834033"/>
        </a:graphicData>
      </a:graphic>
    </xdr:graphicFrame>
    <xdr:clientData/>
  </xdr:twoCellAnchor>
</xdr:wsDr>
</file>

<file path=xl/drawings/drawing7.xml><?xml version="1.0" encoding="utf-8"?>
<xdr:wsDr xmlns:xdr="http://schemas.openxmlformats.org/drawingml/2006/spreadsheetDrawing">
  <xdr:twoCellAnchor>
    <xdr:from>
      <xdr:col>0</xdr:col>
      <xdr:colOff>0</xdr:colOff>
      <xdr:row>11</xdr:row>
      <xdr:rowOff>0</xdr:rowOff>
    </xdr:from>
    <xdr:to>
      <xdr:col>12</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c10fdbcb5744f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nonicalHistoryV31" displayName="CanonicalHistoryV31" ref="A3:Q978" headerRowCount="1">
  <x:tableColumns count="17">
    <x:tableColumn id="1" name="draw_id"/>
    <x:tableColumn id="2" name="draw_date"/>
    <x:tableColumn id="3" name="main_1"/>
    <x:tableColumn id="4" name="main_2"/>
    <x:tableColumn id="5" name="main_3"/>
    <x:tableColumn id="6" name="main_4"/>
    <x:tableColumn id="7" name="main_5"/>
    <x:tableColumn id="8" name="euro_1"/>
    <x:tableColumn id="9" name="euro_2"/>
    <x:tableColumn id="10" name="main_pool"/>
    <x:tableColumn id="11" name="euro_pool"/>
    <x:tableColumn id="12" name="rule_version"/>
    <x:tableColumn id="13" name="operational_sensitivity_era"/>
    <x:tableColumn id="14" name="draw_day"/>
    <x:tableColumn id="15" name="source"/>
    <x:tableColumn id="16" name="verification_status"/>
    <x:tableColumn id="17" name="correction_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382e11d1be04324" /></Relationships>
</file>

<file path=xl/worksheets/_rels/sheet12.xml.rels>&#65279;<?xml version="1.0" encoding="utf-8"?><Relationships xmlns="http://schemas.openxmlformats.org/package/2006/relationships"><Relationship Type="http://schemas.openxmlformats.org/officeDocument/2006/relationships/table" Target="/xl/tables/table1.xml" Id="R1b52fffc398e4011" /></Relationships>
</file>

<file path=xl/worksheets/_rels/sheet28.xml.rels>&#65279;<?xml version="1.0" encoding="utf-8"?><Relationships xmlns="http://schemas.openxmlformats.org/package/2006/relationships"><Relationship Type="http://schemas.openxmlformats.org/officeDocument/2006/relationships/drawing" Target="/xl/drawings/drawing2.xml" Id="R28f8a8e28011475e" /></Relationships>
</file>

<file path=xl/worksheets/_rels/sheet33.xml.rels>&#65279;<?xml version="1.0" encoding="utf-8"?><Relationships xmlns="http://schemas.openxmlformats.org/package/2006/relationships"><Relationship Type="http://schemas.openxmlformats.org/officeDocument/2006/relationships/drawing" Target="/xl/drawings/drawing3.xml" Id="R31a8cca8585540fb" /></Relationships>
</file>

<file path=xl/worksheets/_rels/sheet35.xml.rels>&#65279;<?xml version="1.0" encoding="utf-8"?><Relationships xmlns="http://schemas.openxmlformats.org/package/2006/relationships"><Relationship Type="http://schemas.openxmlformats.org/officeDocument/2006/relationships/drawing" Target="/xl/drawings/drawing4.xml" Id="Re24d281c4bc64b94" /></Relationships>
</file>

<file path=xl/worksheets/_rels/sheet41.xml.rels>&#65279;<?xml version="1.0" encoding="utf-8"?><Relationships xmlns="http://schemas.openxmlformats.org/package/2006/relationships"><Relationship Type="http://schemas.openxmlformats.org/officeDocument/2006/relationships/drawing" Target="/xl/drawings/drawing5.xml" Id="R73b3804311234eb1" /></Relationships>
</file>

<file path=xl/worksheets/_rels/sheet47.xml.rels>&#65279;<?xml version="1.0" encoding="utf-8"?><Relationships xmlns="http://schemas.openxmlformats.org/package/2006/relationships"><Relationship Type="http://schemas.openxmlformats.org/officeDocument/2006/relationships/drawing" Target="/xl/drawings/drawing6.xml" Id="R5fa95f8e93194c5d" /></Relationships>
</file>

<file path=xl/worksheets/_rels/sheet48.xml.rels>&#65279;<?xml version="1.0" encoding="utf-8"?><Relationships xmlns="http://schemas.openxmlformats.org/package/2006/relationships"><Relationship Type="http://schemas.openxmlformats.org/officeDocument/2006/relationships/drawing" Target="/xl/drawings/drawing7.xml" Id="R4ef3c051f6b14448" /></Relationships>
</file>

<file path=xl/worksheets/sheet1.xml><?xml version="1.0" encoding="utf-8"?>
<x:worksheet xmlns:x="http://schemas.openxmlformats.org/spreadsheetml/2006/main">
  <x:sheetFormatPr defaultRowHeight="15"/>
  <x:cols>
    <x:col min="1" max="1" width="31" hidden="0" customWidth="1"/>
    <x:col min="2" max="2" width="55" hidden="0" customWidth="1"/>
    <x:col min="10" max="10" width="12" hidden="0" customWidth="1"/>
    <x:col min="11" max="11" width="21" hidden="0" customWidth="1"/>
    <x:col min="12" max="12" width="24" hidden="0" customWidth="1"/>
    <x:col min="13" max="13" width="13" hidden="0" customWidth="1"/>
    <x:col min="14" max="14" width="15" hidden="0" customWidth="1"/>
    <x:col min="15" max="15" width="13" hidden="0" customWidth="1"/>
    <x:col min="16" max="16" width="16" hidden="0" customWidth="1"/>
    <x:col min="17" max="17" width="11" hidden="0" customWidth="1"/>
    <x:col min="18" max="18" width="14" hidden="0" customWidth="1"/>
    <x:col min="20" max="20" width="2" hidden="0" customWidth="1"/>
    <x:col min="21" max="21" width="2" hidden="0" customWidth="1"/>
    <x:col min="22" max="22" width="2" hidden="0" customWidth="1"/>
  </x:cols>
  <x:sheetData>
    <x:row r="1" ht="30" customHeight="1">
      <x:c r="A1" s="259" t="str">
        <x:v>EuroJackpot Reliability Engine v3.5 — Final Audited Release</x:v>
      </x:c>
      <x:c r="B1" s="259"/>
      <x:c r="C1" s="259"/>
      <x:c r="D1" s="259"/>
      <x:c r="E1" s="259"/>
      <x:c r="F1" s="259"/>
      <x:c r="G1" s="259"/>
      <x:c r="H1" s="259"/>
      <x:c r="I1" s="259"/>
      <x:c r="J1" s="259"/>
      <x:c r="K1" s="259"/>
      <x:c r="L1" s="259"/>
      <x:c r="M1" s="259"/>
      <x:c r="N1" s="259"/>
      <x:c r="O1" s="259"/>
      <x:c r="P1" s="259"/>
      <x:c r="Q1" s="260"/>
      <x:c r="R1" s="260"/>
      <x:c r="S1" s="260"/>
      <x:c r="T1" s="260"/>
      <x:c r="U1" s="260"/>
      <x:c r="V1" s="260"/>
      <x:c r="W1" s="260"/>
      <x:c r="X1" s="260"/>
      <x:c r="Y1" s="260"/>
      <x:c r="Z1" s="260"/>
    </x:row>
    <x:row r="2" ht="34" customHeight="1">
      <x:c r="A2" s="12" t="str">
        <x:v>The Prize Watch now feeds a verified jackpot-state layer into the operational engine. Jackpot, rollover, cap and overflow states change payout and portfolio weights only; the main and Euro number probabilities remain exactly unchanged.</x:v>
      </x:c>
      <x:c r="B2" s="12"/>
      <x:c r="C2" s="12"/>
      <x:c r="D2" s="12"/>
      <x:c r="E2" s="12"/>
      <x:c r="F2" s="12"/>
      <x:c r="G2" s="12"/>
      <x:c r="H2" s="12"/>
      <x:c r="I2" s="12"/>
      <x:c r="J2" s="12"/>
      <x:c r="K2" s="12"/>
      <x:c r="L2" s="12"/>
      <x:c r="M2" s="12"/>
      <x:c r="N2" s="12"/>
      <x:c r="O2" s="12"/>
      <x:c r="P2" s="12"/>
    </x:row>
    <x:row r="4" ht="22" customHeight="1">
      <x:c r="A4" s="19" t="str">
        <x:v>Untouched Holdout — Key Metrics</x:v>
      </x:c>
      <x:c r="B4" s="19"/>
      <x:c r="C4" s="19"/>
      <x:c r="D4" s="19"/>
      <x:c r="E4" s="19"/>
      <x:c r="F4" s="19"/>
      <x:c r="G4" s="19"/>
      <x:c r="H4" s="19"/>
      <x:c r="I4" s="19"/>
      <x:c r="J4" s="19"/>
      <x:c r="K4" s="19"/>
      <x:c r="L4" s="19"/>
      <x:c r="M4" s="19"/>
      <x:c r="N4" s="19"/>
      <x:c r="O4" s="19"/>
      <x:c r="P4" s="19"/>
    </x:row>
    <x:row r="5">
      <x:c r="A5" s="32" t="str">
        <x:v>Overall status</x:v>
      </x:c>
      <x:c r="B5" s="46" t="str">
        <x:v>Uniform mode</x:v>
      </x:c>
      <x:c r="J5" s="95" t="str">
        <x:v>Pool</x:v>
      </x:c>
      <x:c r="K5" s="96" t="str">
        <x:v>Protocol</x:v>
      </x:c>
      <x:c r="L5" s="96" t="str">
        <x:v>Model</x:v>
      </x:c>
      <x:c r="M5" s="96" t="str">
        <x:v>Brier</x:v>
      </x:c>
      <x:c r="N5" s="96" t="str">
        <x:v>Uniform Brier</x:v>
      </x:c>
      <x:c r="O5" s="96" t="str">
        <x:v>Log Loss</x:v>
      </x:c>
      <x:c r="P5" s="96" t="str">
        <x:v>Uniform Log Loss</x:v>
      </x:c>
      <x:c r="Q5" s="96" t="str">
        <x:v>Avg Hits</x:v>
      </x:c>
      <x:c r="R5" s="97" t="str">
        <x:v>Decision</x:v>
      </x:c>
      <x:c r="T5" s="95" t="str">
        <x:v>Label</x:v>
      </x:c>
      <x:c r="U5" s="96" t="str">
        <x:v>Candidate Brier</x:v>
      </x:c>
      <x:c r="V5" s="97" t="str">
        <x:v>Uniform Brier</x:v>
      </x:c>
    </x:row>
    <x:row r="6">
      <x:c r="A6" s="34" t="str">
        <x:v>Main-number status</x:v>
      </x:c>
      <x:c r="B6" s="47" t="str">
        <x:v>Uniform mode</x:v>
      </x:c>
      <x:c r="J6" s="74" t="str">
        <x:v>Main</x:v>
      </x:c>
      <x:c r="K6" s="75" t="str">
        <x:v>Development-frozen</x:v>
      </x:c>
      <x:c r="L6" s="75" t="str">
        <x:v>Candidate ensemble</x:v>
      </x:c>
      <x:c r="M6" s="113" t="n">
        <x:v>0.09</x:v>
      </x:c>
      <x:c r="N6" s="113" t="n">
        <x:v>0.09</x:v>
      </x:c>
      <x:c r="O6" s="113" t="n">
        <x:v>0.3250829733914482</x:v>
      </x:c>
      <x:c r="P6" s="113" t="n">
        <x:v>0.3250829733914482</x:v>
      </x:c>
      <x:c r="Q6" s="113" t="n">
        <x:v>0.5076923076923077</x:v>
      </x:c>
      <x:c r="R6" s="35" t="str">
        <x:v>No edge</x:v>
      </x:c>
      <x:c r="T6" s="74" t="str">
        <x:v>Main frozen</x:v>
      </x:c>
      <x:c r="U6" s="113" t="n">
        <x:v>0.09</x:v>
      </x:c>
      <x:c r="V6" s="141" t="n">
        <x:v>0.09</x:v>
      </x:c>
    </x:row>
    <x:row r="7">
      <x:c r="A7" s="34" t="str">
        <x:v>Euro-number status</x:v>
      </x:c>
      <x:c r="B7" s="47" t="str">
        <x:v>Uniform mode</x:v>
      </x:c>
      <x:c r="J7" s="74" t="str">
        <x:v>Main</x:v>
      </x:c>
      <x:c r="K7" s="75" t="str">
        <x:v>Block-prequential</x:v>
      </x:c>
      <x:c r="L7" s="75" t="str">
        <x:v>Candidate ensemble</x:v>
      </x:c>
      <x:c r="M7" s="113" t="n">
        <x:v>0.09</x:v>
      </x:c>
      <x:c r="N7" s="113" t="n">
        <x:v>0.09</x:v>
      </x:c>
      <x:c r="O7" s="113" t="n">
        <x:v>0.3250829733914482</x:v>
      </x:c>
      <x:c r="P7" s="113" t="n">
        <x:v>0.3250829733914482</x:v>
      </x:c>
      <x:c r="Q7" s="113" t="n">
        <x:v>0.5076923076923077</x:v>
      </x:c>
      <x:c r="R7" s="35" t="str">
        <x:v>No edge</x:v>
      </x:c>
      <x:c r="T7" s="74" t="str">
        <x:v>Main prequential</x:v>
      </x:c>
      <x:c r="U7" s="113" t="n">
        <x:v>0.09</x:v>
      </x:c>
      <x:c r="V7" s="141" t="n">
        <x:v>0.09</x:v>
      </x:c>
    </x:row>
    <x:row r="8">
      <x:c r="A8" s="34" t="str">
        <x:v>Deployment</x:v>
      </x:c>
      <x:c r="B8" s="52" t="str">
        <x:v>Uniform probabilities for both pools</x:v>
      </x:c>
      <x:c r="J8" s="74" t="str">
        <x:v>Euro</x:v>
      </x:c>
      <x:c r="K8" s="75" t="str">
        <x:v>Development-frozen</x:v>
      </x:c>
      <x:c r="L8" s="75" t="str">
        <x:v>Candidate ensemble</x:v>
      </x:c>
      <x:c r="M8" s="113" t="n">
        <x:v>0.1388920361011362</x:v>
      </x:c>
      <x:c r="N8" s="113" t="n">
        <x:v>0.1388888888888889</x:v>
      </x:c>
      <x:c r="O8" s="113" t="n">
        <x:v>0.4505735381029349</x:v>
      </x:c>
      <x:c r="P8" s="113" t="n">
        <x:v>0.45056120886630463</x:v>
      </x:c>
      <x:c r="Q8" s="113" t="n">
        <x:v>0.3487179487179487</x:v>
      </x:c>
      <x:c r="R8" s="35" t="str">
        <x:v>No edge</x:v>
      </x:c>
      <x:c r="T8" s="74" t="str">
        <x:v>Euro frozen</x:v>
      </x:c>
      <x:c r="U8" s="113" t="n">
        <x:v>0.1388920361011362</x:v>
      </x:c>
      <x:c r="V8" s="141" t="n">
        <x:v>0.1388888888888889</x:v>
      </x:c>
    </x:row>
    <x:row r="9">
      <x:c r="A9" s="34" t="str">
        <x:v>Research output</x:v>
      </x:c>
      <x:c r="B9" s="54" t="str">
        <x:v>Non-uniform rankings retained as experimental only</x:v>
      </x:c>
      <x:c r="J9" s="76" t="str">
        <x:v>Euro</x:v>
      </x:c>
      <x:c r="K9" s="77" t="str">
        <x:v>Block-prequential</x:v>
      </x:c>
      <x:c r="L9" s="77" t="str">
        <x:v>Candidate ensemble</x:v>
      </x:c>
      <x:c r="M9" s="114" t="n">
        <x:v>0.1388632519854934</x:v>
      </x:c>
      <x:c r="N9" s="114" t="n">
        <x:v>0.1388888888888889</x:v>
      </x:c>
      <x:c r="O9" s="114" t="n">
        <x:v>0.45046972725956863</x:v>
      </x:c>
      <x:c r="P9" s="114" t="n">
        <x:v>0.45056120886630463</x:v>
      </x:c>
      <x:c r="Q9" s="114" t="n">
        <x:v>0.37948717948717947</x:v>
      </x:c>
      <x:c r="R9" s="37" t="str">
        <x:v>Better</x:v>
      </x:c>
      <x:c r="T9" s="76" t="str">
        <x:v>Euro prequential</x:v>
      </x:c>
      <x:c r="U9" s="114" t="n">
        <x:v>0.1388632519854934</x:v>
      </x:c>
      <x:c r="V9" s="56" t="n">
        <x:v>0.1388888888888889</x:v>
      </x:c>
    </x:row>
    <x:row r="10">
      <x:c r="A10" s="34" t="str">
        <x:v>Reliable draw edge</x:v>
      </x:c>
      <x:c r="B10" s="54" t="str">
        <x:v>Not established</x:v>
      </x:c>
    </x:row>
    <x:row r="11">
      <x:c r="A11" s="34" t="str">
        <x:v>Potential value edge</x:v>
      </x:c>
      <x:c r="B11" s="54" t="str">
        <x:v>Anti-crowd portfolio may reduce prize sharing; it does not change draw probability</x:v>
      </x:c>
    </x:row>
    <x:row r="12">
      <x:c r="A12" s="36" t="str">
        <x:v>Next draw</x:v>
      </x:c>
      <x:c r="B12" s="263" t="n">
        <x:v>46231</x:v>
      </x:c>
      <x:c r="J12" s="119" t="str">
        <x:v>Euro prequential metrics improved slightly, but the improvement was not stable across all three periods, the maxT-adjusted p-value was not significant, and the block-bootstrap interval crossed zero. The deployment gate therefore rejects the apparent edge.</x:v>
      </x:c>
      <x:c r="K12" s="119"/>
      <x:c r="L12" s="119"/>
      <x:c r="M12" s="119"/>
      <x:c r="N12" s="119"/>
      <x:c r="O12" s="119"/>
      <x:c r="P12" s="119"/>
      <x:c r="Q12" s="119"/>
      <x:c r="R12" s="119"/>
    </x:row>
    <x:row r="13">
      <x:c r="J13" s="119"/>
      <x:c r="K13" s="119"/>
      <x:c r="L13" s="119"/>
      <x:c r="M13" s="119"/>
      <x:c r="N13" s="119"/>
      <x:c r="O13" s="119"/>
      <x:c r="P13" s="119"/>
      <x:c r="Q13" s="119"/>
      <x:c r="R13" s="119"/>
    </x:row>
    <x:row r="14" ht="22" customHeight="1">
      <x:c r="A14" s="19" t="str">
        <x:v>Data Integrity</x:v>
      </x:c>
      <x:c r="B14" s="19"/>
      <x:c r="C14" s="19"/>
      <x:c r="D14" s="19"/>
      <x:c r="E14" s="19"/>
      <x:c r="F14" s="19"/>
      <x:c r="G14" s="19"/>
      <x:c r="H14" s="19"/>
      <x:c r="J14" s="119"/>
      <x:c r="K14" s="119"/>
      <x:c r="L14" s="119"/>
      <x:c r="M14" s="119"/>
      <x:c r="N14" s="119"/>
      <x:c r="O14" s="119"/>
      <x:c r="P14" s="119"/>
      <x:c r="Q14" s="119"/>
      <x:c r="R14" s="119"/>
    </x:row>
    <x:row r="15">
      <x:c r="A15" s="32" t="str">
        <x:v>Canonical draws</x:v>
      </x:c>
      <x:c r="B15" s="33" t="n">
        <x:v>975</x:v>
      </x:c>
      <x:c r="J15" s="119"/>
      <x:c r="K15" s="119"/>
      <x:c r="L15" s="119"/>
      <x:c r="M15" s="119"/>
      <x:c r="N15" s="119"/>
      <x:c r="O15" s="119"/>
      <x:c r="P15" s="119"/>
      <x:c r="Q15" s="119"/>
      <x:c r="R15" s="119"/>
    </x:row>
    <x:row r="16">
      <x:c r="A16" s="34" t="str">
        <x:v>History period</x:v>
      </x:c>
      <x:c r="B16" s="35" t="str">
        <x:v>2012-03-23 to 2026-07-24</x:v>
      </x:c>
      <x:c r="J16" s="119"/>
      <x:c r="K16" s="119"/>
      <x:c r="L16" s="119"/>
      <x:c r="M16" s="119"/>
      <x:c r="N16" s="119"/>
      <x:c r="O16" s="119"/>
      <x:c r="P16" s="119"/>
      <x:c r="Q16" s="119"/>
      <x:c r="R16" s="119"/>
    </x:row>
    <x:row r="17">
      <x:c r="A17" s="34" t="str">
        <x:v>Expected/actual dates</x:v>
      </x:c>
      <x:c r="B17" s="35" t="str">
        <x:v>975 / 975</x:v>
      </x:c>
    </x:row>
    <x:row r="18">
      <x:c r="A18" s="34" t="str">
        <x:v>Missing or off-schedule dates</x:v>
      </x:c>
      <x:c r="B18" s="35" t="n">
        <x:v>0</x:v>
      </x:c>
    </x:row>
    <x:row r="19">
      <x:c r="A19" s="34" t="str">
        <x:v>Uploaded cross-check</x:v>
      </x:c>
      <x:c r="B19" s="35" t="str">
        <x:v>235 / 235 exact matches</x:v>
      </x:c>
    </x:row>
    <x:row r="20">
      <x:c r="A20" s="34" t="str">
        <x:v>Global randomness tests</x:v>
      </x:c>
      <x:c r="B20" s="35" t="n">
        <x:v>8</x:v>
      </x:c>
    </x:row>
    <x:row r="21">
      <x:c r="A21" s="36" t="str">
        <x:v>Minimum corrected audit p</x:v>
      </x:c>
      <x:c r="B21" s="56" t="n">
        <x:v>0.2158920539730135</x:v>
      </x:c>
    </x:row>
    <x:row r="23" ht="22" customHeight="1">
      <x:c r="A23" s="19" t="str">
        <x:v>Exact Mathematics</x:v>
      </x:c>
      <x:c r="B23" s="19"/>
      <x:c r="C23" s="19"/>
      <x:c r="D23" s="19"/>
      <x:c r="E23" s="19"/>
      <x:c r="F23" s="19"/>
      <x:c r="G23" s="19"/>
      <x:c r="H23" s="19"/>
    </x:row>
    <x:row r="24">
      <x:c r="A24" s="32" t="str">
        <x:v>Current valid combinations</x:v>
      </x:c>
      <x:c r="B24" s="58" t="n">
        <x:f>COMBIN(50,5)*COMBIN(12,2)</x:f>
        <x:v>139838160</x:v>
      </x:c>
    </x:row>
    <x:row r="25">
      <x:c r="A25" s="34" t="str">
        <x:v>Jackpot probability per line</x:v>
      </x:c>
      <x:c r="B25" s="60" t="n">
        <x:f>1/B24</x:f>
        <x:v>7.1511238420185165e-9</x:v>
      </x:c>
    </x:row>
    <x:row r="26">
      <x:c r="A26" s="34" t="str">
        <x:v>Expected main matches per line</x:v>
      </x:c>
      <x:c r="B26" s="62" t="n">
        <x:f>5*5/50</x:f>
        <x:v>0.5</x:v>
      </x:c>
    </x:row>
    <x:row r="27">
      <x:c r="A27" s="34" t="str">
        <x:v>Expected Euro matches per line</x:v>
      </x:c>
      <x:c r="B27" s="62" t="n">
        <x:f>2*2/12</x:f>
        <x:v>0.3333333333333333</x:v>
      </x:c>
    </x:row>
    <x:row r="28">
      <x:c r="A28" s="34" t="str">
        <x:v>Ten unique lines jackpot probability</x:v>
      </x:c>
      <x:c r="B28" s="60" t="n">
        <x:f>10/B24</x:f>
        <x:v>7.151123842018516e-8</x:v>
      </x:c>
    </x:row>
    <x:row r="29">
      <x:c r="A29" s="36" t="str">
        <x:v>Probability improvement from model</x:v>
      </x:c>
      <x:c r="B29" s="37" t="str">
        <x:v>None validated</x:v>
      </x:c>
    </x:row>
    <x:row r="31" ht="22" customHeight="1">
      <x:c r="A31" s="19" t="str">
        <x:v>Experimental Line — Not Deployed as an Edge</x:v>
      </x:c>
      <x:c r="B31" s="19"/>
      <x:c r="C31" s="19"/>
      <x:c r="D31" s="19"/>
      <x:c r="E31" s="19"/>
      <x:c r="F31" s="19"/>
      <x:c r="G31" s="19"/>
      <x:c r="H31" s="19"/>
    </x:row>
    <x:row r="32">
      <x:c r="A32" s="32" t="str">
        <x:v>Main numbers</x:v>
      </x:c>
      <x:c r="B32" s="66" t="str">
        <x:v>4 – 32 – 36 – 41 – 47</x:v>
      </x:c>
    </x:row>
    <x:row r="33">
      <x:c r="A33" s="34" t="str">
        <x:v>Euro numbers</x:v>
      </x:c>
      <x:c r="B33" s="67" t="str">
        <x:v>5 – 9</x:v>
      </x:c>
    </x:row>
    <x:row r="34">
      <x:c r="A34" s="34" t="str">
        <x:v>Anti-crowd score</x:v>
      </x:c>
      <x:c r="B34" s="62" t="n">
        <x:v>0.8</x:v>
      </x:c>
    </x:row>
    <x:row r="35">
      <x:c r="A35" s="34" t="str">
        <x:v>Research classification</x:v>
      </x:c>
      <x:c r="B35" s="35" t="str">
        <x:v>Experimental ranking only</x:v>
      </x:c>
    </x:row>
    <x:row r="36">
      <x:c r="A36" s="36" t="str">
        <x:v>Deployed probability model</x:v>
      </x:c>
      <x:c r="B36" s="37" t="str">
        <x:v>Uniform</x:v>
      </x:c>
    </x:row>
    <x:row r="38">
      <x:c r="A38" s="281" t="str">
        <x:v>Guaranteed Mathematical Advantage Layer</x:v>
      </x:c>
      <x:c r="B38" s="281"/>
      <x:c r="C38" s="281"/>
      <x:c r="D38" s="281"/>
      <x:c r="E38" s="281"/>
      <x:c r="F38" s="281"/>
      <x:c r="G38" s="281"/>
      <x:c r="H38" s="281"/>
      <x:c r="I38" s="281"/>
      <x:c r="J38" s="281" t="str">
        <x:v>Budget and Exact Coverage</x:v>
      </x:c>
      <x:c r="K38" s="281"/>
      <x:c r="L38" s="281"/>
      <x:c r="M38" s="281"/>
      <x:c r="N38" s="281"/>
      <x:c r="O38" s="281"/>
      <x:c r="P38" s="281"/>
      <x:c r="Q38" s="281"/>
      <x:c r="R38" s="281"/>
    </x:row>
    <x:row r="39">
      <x:c r="A39" s="285" t="str">
        <x:v>Guaranteed higher probability for one combination</x:v>
      </x:c>
      <x:c r="B39" s="292" t="str">
        <x:v>NO</x:v>
      </x:c>
      <x:c r="J39" s="311" t="str">
        <x:v>Tier</x:v>
      </x:c>
      <x:c r="K39" s="312" t="str">
        <x:v>Lines</x:v>
      </x:c>
      <x:c r="L39" s="312" t="str">
        <x:v>Cost at €2.50</x:v>
      </x:c>
      <x:c r="M39" s="312" t="str">
        <x:v>Jackpot Coverage</x:v>
      </x:c>
      <x:c r="N39" s="312" t="str">
        <x:v>Conditional Activation</x:v>
      </x:c>
      <x:c r="O39" s="313" t="str">
        <x:v>Guarantee</x:v>
      </x:c>
    </x:row>
    <x:row r="40">
      <x:c r="A40" s="287" t="str">
        <x:v>Guaranteed coverage increase with distinct lines</x:v>
      </x:c>
      <x:c r="B40" s="288" t="str">
        <x:v>YES — proportional to unique line count</x:v>
      </x:c>
      <x:c r="J40" s="295" t="str">
        <x:v>Frozen set</x:v>
      </x:c>
      <x:c r="K40" s="296" t="n">
        <x:v>5</x:v>
      </x:c>
      <x:c r="L40" s="314" t="n">
        <x:f>K40*2.5</x:f>
        <x:v>12.5</x:v>
      </x:c>
      <x:c r="M40" s="316" t="n">
        <x:v>3.575561921009258e-8</x:v>
      </x:c>
      <x:c r="N40" s="316"/>
      <x:c r="O40" s="318" t="str">
        <x:v>5× one-line jackpot coverage</x:v>
      </x:c>
    </x:row>
    <x:row r="41">
      <x:c r="A41" s="287" t="str">
        <x:v>Verified main pair wheel</x:v>
      </x:c>
      <x:c r="B41" s="288" t="str">
        <x:v>9 blocks cover 66/66 pairs</x:v>
      </x:c>
      <x:c r="J41" s="295" t="str">
        <x:v>Compact 2+2</x:v>
      </x:c>
      <x:c r="K41" s="296" t="n">
        <x:v>54</x:v>
      </x:c>
      <x:c r="L41" s="314" t="n">
        <x:f>K41*2.5</x:f>
        <x:v>135</x:v>
      </x:c>
      <x:c r="M41" s="316" t="n">
        <x:v>3.861606874689999e-7</x:v>
      </x:c>
      <x:c r="N41" s="316" t="n">
        <x:v>0.031366459627329195</x:v>
      </x:c>
      <x:c r="O41" s="318" t="str">
        <x:v>≥2+2 if condition holds</x:v>
      </x:c>
    </x:row>
    <x:row r="42">
      <x:c r="A42" s="287" t="str">
        <x:v>Verified main triple wheel</x:v>
      </x:c>
      <x:c r="B42" s="288" t="str">
        <x:v>33 blocks cover 220/220 triples</x:v>
      </x:c>
      <x:c r="J42" s="295" t="str">
        <x:v>Extended 2+2</x:v>
      </x:c>
      <x:c r="K42" s="296" t="n">
        <x:v>135</x:v>
      </x:c>
      <x:c r="L42" s="314" t="n">
        <x:f>K42*2.5</x:f>
        <x:v>337.5</x:v>
      </x:c>
      <x:c r="M42" s="316" t="n">
        <x:v>9.654017186724997e-7</x:v>
      </x:c>
      <x:c r="N42" s="316" t="n">
        <x:v>0.07841614906832298</x:v>
      </x:c>
      <x:c r="O42" s="318" t="str">
        <x:v>≥2+2 if condition holds</x:v>
      </x:c>
    </x:row>
    <x:row r="43">
      <x:c r="A43" s="287" t="str">
        <x:v>Compact 2+2 wheel</x:v>
      </x:c>
      <x:c r="B43" s="288" t="str">
        <x:v>54 lines</x:v>
      </x:c>
      <x:c r="J43" s="295" t="str">
        <x:v>Compact 3+2</x:v>
      </x:c>
      <x:c r="K43" s="296" t="n">
        <x:v>198</x:v>
      </x:c>
      <x:c r="L43" s="314" t="n">
        <x:f>K43*2.5</x:f>
        <x:v>495</x:v>
      </x:c>
      <x:c r="M43" s="316" t="n">
        <x:v>0.0000014159225207196663</x:v>
      </x:c>
      <x:c r="N43" s="316" t="n">
        <x:v>0.007477014857746983</x:v>
      </x:c>
      <x:c r="O43" s="318" t="str">
        <x:v>≥3+2 if condition holds</x:v>
      </x:c>
    </x:row>
    <x:row r="44">
      <x:c r="A44" s="287" t="str">
        <x:v>Extended 2+2 wheel</x:v>
      </x:c>
      <x:c r="B44" s="288" t="str">
        <x:v>135 lines</x:v>
      </x:c>
      <x:c r="J44" s="295" t="str">
        <x:v>Extended 3+2</x:v>
      </x:c>
      <x:c r="K44" s="296" t="n">
        <x:v>495</x:v>
      </x:c>
      <x:c r="L44" s="314" t="n">
        <x:f>K44*2.5</x:f>
        <x:v>1237.5</x:v>
      </x:c>
      <x:c r="M44" s="316" t="n">
        <x:v>0.0000035398063017991657</x:v>
      </x:c>
      <x:c r="N44" s="316" t="n">
        <x:v>0.018692537144367458</x:v>
      </x:c>
      <x:c r="O44" s="318" t="str">
        <x:v>≥3+2 if condition holds</x:v>
      </x:c>
    </x:row>
    <x:row r="45">
      <x:c r="A45" s="287" t="str">
        <x:v>Compact 3+2 wheel</x:v>
      </x:c>
      <x:c r="B45" s="288" t="str">
        <x:v>198 lines</x:v>
      </x:c>
      <x:c r="J45" s="297" t="str">
        <x:v>Full selected pool</x:v>
      </x:c>
      <x:c r="K45" s="298" t="n">
        <x:v>11880</x:v>
      </x:c>
      <x:c r="L45" s="315" t="n">
        <x:f>K45*2.5</x:f>
        <x:v>29700</x:v>
      </x:c>
      <x:c r="M45" s="317" t="n">
        <x:v>0.00008495535124317997</x:v>
      </x:c>
      <x:c r="N45" s="317" t="n">
        <x:v>0.00008495535124317998</x:v>
      </x:c>
      <x:c r="O45" s="319" t="str">
        <x:v>Exact 5+2 if condition holds</x:v>
      </x:c>
    </x:row>
    <x:row r="46">
      <x:c r="A46" s="287" t="str">
        <x:v>Extended 3+2 wheel</x:v>
      </x:c>
      <x:c r="B46" s="288" t="str">
        <x:v>495 lines</x:v>
      </x:c>
    </x:row>
    <x:row r="47">
      <x:c r="A47" s="289" t="str">
        <x:v>Full selected-pool 5+2 wheel</x:v>
      </x:c>
      <x:c r="B47" s="290" t="str">
        <x:v>11,880 lines (not generated)</x:v>
      </x:c>
    </x:row>
    <x:row r="49">
      <x:c r="A49" s="399" t="str">
        <x:v>Advanced Methods — Current Decision</x:v>
      </x:c>
      <x:c r="B49" s="399"/>
      <x:c r="C49" s="399"/>
      <x:c r="D49" s="399"/>
      <x:c r="E49" s="399"/>
      <x:c r="F49" s="399"/>
      <x:c r="G49" s="399"/>
      <x:c r="H49" s="399"/>
      <x:c r="I49" s="399"/>
      <x:c r="J49" s="399" t="str">
        <x:v>Evidence Snapshot</x:v>
      </x:c>
      <x:c r="K49" s="399"/>
      <x:c r="L49" s="399"/>
      <x:c r="M49" s="399"/>
      <x:c r="N49" s="399"/>
      <x:c r="O49" s="399"/>
      <x:c r="P49" s="399"/>
      <x:c r="Q49" s="399"/>
      <x:c r="R49" s="399"/>
    </x:row>
    <x:row r="50">
      <x:c r="A50" s="403" t="str">
        <x:v>Methods integrated</x:v>
      </x:c>
      <x:c r="B50" s="404" t="n">
        <x:v>20</x:v>
      </x:c>
      <x:c r="J50" s="432" t="str">
        <x:v>Test</x:v>
      </x:c>
      <x:c r="K50" s="433" t="str">
        <x:v>Result</x:v>
      </x:c>
      <x:c r="L50" s="433" t="str">
        <x:v>Reference</x:v>
      </x:c>
      <x:c r="M50" s="433" t="str">
        <x:v>Status</x:v>
      </x:c>
      <x:c r="N50" s="433" t="str">
        <x:v>Interpretation</x:v>
      </x:c>
      <x:c r="O50" s="434" t="str">
        <x:v>Module</x:v>
      </x:c>
    </x:row>
    <x:row r="51">
      <x:c r="A51" s="405" t="str">
        <x:v>Working implementation module</x:v>
      </x:c>
      <x:c r="B51" s="412" t="str">
        <x:v>eurojackpot_advanced_methods_v3_3.py</x:v>
      </x:c>
      <x:c r="J51" s="417" t="str">
        <x:v>Main mixture e-value</x:v>
      </x:c>
      <x:c r="K51" s="435" t="n">
        <x:v>0.042673246507051454</x:v>
      </x:c>
      <x:c r="L51" s="296" t="str">
        <x:v>E ≥ 20 for 5% evidence</x:v>
      </x:c>
      <x:c r="M51" s="296" t="str">
        <x:v>FAIL</x:v>
      </x:c>
      <x:c r="N51" s="330" t="str">
        <x:v>Below 1; supports no edge</x:v>
      </x:c>
      <x:c r="O51" s="412" t="str">
        <x:v>Sequential evidence</x:v>
      </x:c>
    </x:row>
    <x:row r="52">
      <x:c r="A52" s="405" t="str">
        <x:v>Historical draws in self-test</x:v>
      </x:c>
      <x:c r="B52" s="412" t="n">
        <x:v>975</x:v>
      </x:c>
      <x:c r="J52" s="417" t="str">
        <x:v>Euro mixture e-value</x:v>
      </x:c>
      <x:c r="K52" s="435" t="n">
        <x:v>0.052534354086753846</x:v>
      </x:c>
      <x:c r="L52" s="296" t="str">
        <x:v>E ≥ 20 for 5% evidence</x:v>
      </x:c>
      <x:c r="M52" s="296" t="str">
        <x:v>FAIL</x:v>
      </x:c>
      <x:c r="N52" s="330" t="str">
        <x:v>Below 1; supports no edge</x:v>
      </x:c>
      <x:c r="O52" s="412" t="str">
        <x:v>Sequential evidence</x:v>
      </x:c>
    </x:row>
    <x:row r="53">
      <x:c r="A53" s="405" t="str">
        <x:v>Sequential e-value evidence</x:v>
      </x:c>
      <x:c r="B53" s="412" t="str">
        <x:v>No evidence; mixture e-values below 1</x:v>
      </x:c>
      <x:c r="J53" s="417" t="str">
        <x:v>HMM BIC</x:v>
      </x:c>
      <x:c r="K53" s="435" t="n">
        <x:v>241.0561621788147</x:v>
      </x:c>
      <x:c r="L53" s="296" t="str">
        <x:v>&lt; 0 favours two states</x:v>
      </x:c>
      <x:c r="M53" s="296" t="str">
        <x:v>FAIL</x:v>
      </x:c>
      <x:c r="N53" s="330" t="str">
        <x:v>One state preferred</x:v>
      </x:c>
      <x:c r="O53" s="412" t="str">
        <x:v>Regime switching</x:v>
      </x:c>
    </x:row>
    <x:row r="54">
      <x:c r="A54" s="405" t="str">
        <x:v>Regime model result</x:v>
      </x:c>
      <x:c r="B54" s="412" t="str">
        <x:v>HMM prefers 1 state</x:v>
      </x:c>
      <x:c r="J54" s="417" t="str">
        <x:v>Lag mutual-information p</x:v>
      </x:c>
      <x:c r="K54" s="435" t="n">
        <x:v>0.56</x:v>
      </x:c>
      <x:c r="L54" s="296" t="str">
        <x:v>&lt; 0.05</x:v>
      </x:c>
      <x:c r="M54" s="296" t="str">
        <x:v>FAIL</x:v>
      </x:c>
      <x:c r="N54" s="330" t="str">
        <x:v>No serial information</x:v>
      </x:c>
      <x:c r="O54" s="412" t="str">
        <x:v>Mutual information</x:v>
      </x:c>
    </x:row>
    <x:row r="55">
      <x:c r="A55" s="405" t="str">
        <x:v>Synthetic-null empirical p</x:v>
      </x:c>
      <x:c r="B55" s="413" t="n">
        <x:v>0.7107438016528925</x:v>
      </x:c>
      <x:c r="J55" s="417" t="str">
        <x:v>Synthetic-null p</x:v>
      </x:c>
      <x:c r="K55" s="435" t="n">
        <x:v>0.7107438016528925</x:v>
      </x:c>
      <x:c r="L55" s="296" t="str">
        <x:v>&lt; 0.05</x:v>
      </x:c>
      <x:c r="M55" s="296" t="str">
        <x:v>FAIL</x:v>
      </x:c>
      <x:c r="N55" s="330" t="str">
        <x:v>Observed model is ordinary under null</x:v>
      </x:c>
      <x:c r="O55" s="412" t="str">
        <x:v>Null laboratory</x:v>
      </x:c>
    </x:row>
    <x:row r="56">
      <x:c r="A56" s="405" t="str">
        <x:v>Model Confidence Set</x:v>
      </x:c>
      <x:c r="B56" s="412" t="str">
        <x:v>Uniform</x:v>
      </x:c>
      <x:c r="J56" s="417" t="str">
        <x:v>MCS winner</x:v>
      </x:c>
      <x:c r="K56" s="435" t="str">
        <x:v>Uniform</x:v>
      </x:c>
      <x:c r="L56" s="296" t="str">
        <x:v>Non-uniform model must exclude uniform</x:v>
      </x:c>
      <x:c r="M56" s="296" t="str">
        <x:v>FAIL</x:v>
      </x:c>
      <x:c r="N56" s="330" t="str">
        <x:v>Uniform alone retained</x:v>
      </x:c>
      <x:c r="O56" s="412" t="str">
        <x:v>Model Confidence Set</x:v>
      </x:c>
    </x:row>
    <x:row r="57">
      <x:c r="A57" s="405" t="str">
        <x:v>Conformal main set</x:v>
      </x:c>
      <x:c r="B57" s="412" t="str">
        <x:v>49.1 numbers average</x:v>
      </x:c>
      <x:c r="J57" s="418" t="str">
        <x:v>CP/MILP solver</x:v>
      </x:c>
      <x:c r="K57" s="419" t="str">
        <x:v>Optimization terminated successfully. (HiGHS Status 7: Optimal)</x:v>
      </x:c>
      <x:c r="L57" s="419" t="str">
        <x:v>Optimal solver completion</x:v>
      </x:c>
      <x:c r="M57" s="419" t="str">
        <x:v>PASS</x:v>
      </x:c>
      <x:c r="N57" s="436" t="str">
        <x:v>Coverage optimisation works</x:v>
      </x:c>
      <x:c r="O57" s="437" t="str">
        <x:v>Exact wheel optimisation</x:v>
      </x:c>
    </x:row>
    <x:row r="58">
      <x:c r="A58" s="405" t="str">
        <x:v>Conformal Euro set</x:v>
      </x:c>
      <x:c r="B58" s="412" t="str">
        <x:v>11.6 numbers average</x:v>
      </x:c>
    </x:row>
    <x:row r="59">
      <x:c r="A59" s="407" t="str">
        <x:v>Deployment</x:v>
      </x:c>
      <x:c r="B59" s="414" t="str">
        <x:v>Uniform mode — unchanged</x:v>
      </x:c>
    </x:row>
    <x:row r="61" ht="22" customHeight="1">
      <x:c r="A61" s="512" t="str">
        <x:v>Operational Safeguards</x:v>
      </x:c>
      <x:c r="B61" s="512"/>
      <x:c r="C61" s="512"/>
      <x:c r="D61" s="512"/>
      <x:c r="E61" s="512"/>
      <x:c r="F61" s="512"/>
      <x:c r="G61" s="512"/>
      <x:c r="H61" s="512"/>
      <x:c r="I61" s="512"/>
      <x:c r="J61" s="512"/>
      <x:c r="K61" s="512"/>
      <x:c r="L61" s="512"/>
      <x:c r="M61" s="512"/>
      <x:c r="N61" s="512"/>
      <x:c r="O61" s="512"/>
      <x:c r="P61" s="512"/>
      <x:c r="Q61" s="512"/>
      <x:c r="R61" s="512"/>
    </x:row>
    <x:row r="62">
      <x:c r="A62" s="516" t="str">
        <x:v>Version</x:v>
      </x:c>
      <x:c r="B62" s="517" t="str">
        <x:v>3.4</x:v>
      </x:c>
      <x:c r="J62" s="548" t="str">
        <x:v>Safeguard</x:v>
      </x:c>
      <x:c r="K62" s="549" t="str">
        <x:v>Status</x:v>
      </x:c>
      <x:c r="L62" s="549" t="str">
        <x:v>Evidence</x:v>
      </x:c>
      <x:c r="M62" s="549" t="str">
        <x:v>Blocks Promotion</x:v>
      </x:c>
      <x:c r="N62" s="549" t="str">
        <x:v>File</x:v>
      </x:c>
      <x:c r="O62" s="550" t="str">
        <x:v>Purpose</x:v>
      </x:c>
    </x:row>
    <x:row r="63">
      <x:c r="A63" s="518" t="str">
        <x:v>Operational database</x:v>
      </x:c>
      <x:c r="B63" s="527" t="str">
        <x:v>EuroJackpot_Operational_v3_4.sqlite</x:v>
      </x:c>
      <x:c r="J63" s="533" t="str">
        <x:v>Prospective registry</x:v>
      </x:c>
      <x:c r="K63" s="296" t="str">
        <x:v>ACTIVE</x:v>
      </x:c>
      <x:c r="L63" s="330" t="str">
        <x:v>09815f2cfd38b0c3…</x:v>
      </x:c>
      <x:c r="M63" s="330" t="str">
        <x:v>NO</x:v>
      </x:c>
      <x:c r="N63" s="330" t="str">
        <x:v>SQLite + JSONL</x:v>
      </x:c>
      <x:c r="O63" s="527" t="str">
        <x:v>Immutable pre-draw forecast</x:v>
      </x:c>
    </x:row>
    <x:row r="64">
      <x:c r="A64" s="518" t="str">
        <x:v>Canonical draws loaded</x:v>
      </x:c>
      <x:c r="B64" s="527" t="n">
        <x:v>975</x:v>
      </x:c>
      <x:c r="J64" s="533" t="str">
        <x:v>Champion–challenger</x:v>
      </x:c>
      <x:c r="K64" s="296" t="str">
        <x:v>ACTIVE</x:v>
      </x:c>
      <x:c r="L64" s="330" t="str">
        <x:v>Uniform champion</x:v>
      </x:c>
      <x:c r="M64" s="330" t="str">
        <x:v>YES</x:v>
      </x:c>
      <x:c r="N64" s="330" t="str">
        <x:v>SQLite models</x:v>
      </x:c>
      <x:c r="O64" s="527" t="str">
        <x:v>No silent replacement</x:v>
      </x:c>
    </x:row>
    <x:row r="65">
      <x:c r="A65" s="518" t="str">
        <x:v>Champion</x:v>
      </x:c>
      <x:c r="B65" s="527" t="str">
        <x:v>uniform 1.0</x:v>
      </x:c>
      <x:c r="J65" s="533" t="str">
        <x:v>Power analysis</x:v>
      </x:c>
      <x:c r="K65" s="296" t="str">
        <x:v>ACTIVE</x:v>
      </x:c>
      <x:c r="L65" s="330" t="str">
        <x:v>Effect-size tables</x:v>
      </x:c>
      <x:c r="M65" s="330" t="str">
        <x:v>NO</x:v>
      </x:c>
      <x:c r="N65" s="330" t="str">
        <x:v>Workbook</x:v>
      </x:c>
      <x:c r="O65" s="527" t="str">
        <x:v>Shows required future draws</x:v>
      </x:c>
    </x:row>
    <x:row r="66">
      <x:c r="A66" s="518" t="str">
        <x:v>Promotion decision</x:v>
      </x:c>
      <x:c r="B66" s="528" t="str">
        <x:v>KEEP UNIFORM CHAMPION</x:v>
      </x:c>
      <x:c r="J66" s="533" t="str">
        <x:v>Negative controls</x:v>
      </x:c>
      <x:c r="K66" s="296" t="str">
        <x:v>PASS</x:v>
      </x:c>
      <x:c r="L66" s="330" t="str">
        <x:v>Noise Brier 0.090048</x:v>
      </x:c>
      <x:c r="M66" s="330" t="str">
        <x:v>YES</x:v>
      </x:c>
      <x:c r="N66" s="330" t="str">
        <x:v>Self-test JSON</x:v>
      </x:c>
      <x:c r="O66" s="527" t="str">
        <x:v>Detects pattern mining</x:v>
      </x:c>
    </x:row>
    <x:row r="67">
      <x:c r="A67" s="518" t="str">
        <x:v>Negative controls</x:v>
      </x:c>
      <x:c r="B67" s="527" t="str">
        <x:v>PASS</x:v>
      </x:c>
      <x:c r="J67" s="533" t="str">
        <x:v>Leakage tests</x:v>
      </x:c>
      <x:c r="K67" s="296" t="str">
        <x:v>PASS</x:v>
      </x:c>
      <x:c r="L67" s="330" t="str">
        <x:v>Injected leak detected</x:v>
      </x:c>
      <x:c r="M67" s="330" t="str">
        <x:v>YES</x:v>
      </x:c>
      <x:c r="N67" s="330" t="str">
        <x:v>Self-test JSON</x:v>
      </x:c>
      <x:c r="O67" s="527" t="str">
        <x:v>Prevents future-data access</x:v>
      </x:c>
    </x:row>
    <x:row r="68">
      <x:c r="A68" s="518" t="str">
        <x:v>Leakage challenge</x:v>
      </x:c>
      <x:c r="B68" s="527" t="str">
        <x:v>PASS</x:v>
      </x:c>
      <x:c r="J68" s="533" t="str">
        <x:v>Independent verifier</x:v>
      </x:c>
      <x:c r="K68" s="296" t="str">
        <x:v>PASS</x:v>
      </x:c>
      <x:c r="L68" s="330" t="str">
        <x:v>All wheels + hashes</x:v>
      </x:c>
      <x:c r="M68" s="330" t="str">
        <x:v>YES</x:v>
      </x:c>
      <x:c r="N68" s="330" t="str">
        <x:v>Separate Python module</x:v>
      </x:c>
      <x:c r="O68" s="527" t="str">
        <x:v>Second calculation path</x:v>
      </x:c>
    </x:row>
    <x:row r="69">
      <x:c r="A69" s="518" t="str">
        <x:v>Independent verification</x:v>
      </x:c>
      <x:c r="B69" s="527" t="str">
        <x:v>PASS</x:v>
      </x:c>
      <x:c r="J69" s="533" t="str">
        <x:v>Cross-lottery lab</x:v>
      </x:c>
      <x:c r="K69" s="296" t="str">
        <x:v>READY</x:v>
      </x:c>
      <x:c r="L69" s="330" t="str">
        <x:v>synthetic-control</x:v>
      </x:c>
      <x:c r="M69" s="330" t="str">
        <x:v>NO</x:v>
      </x:c>
      <x:c r="N69" s="330" t="str">
        <x:v>SQLite registry</x:v>
      </x:c>
      <x:c r="O69" s="527" t="str">
        <x:v>Generic-randomness control</x:v>
      </x:c>
    </x:row>
    <x:row r="70">
      <x:c r="A70" s="518" t="str">
        <x:v>Frozen target draw</x:v>
      </x:c>
      <x:c r="B70" s="529" t="n">
        <x:v>46231</x:v>
      </x:c>
      <x:c r="J70" s="534" t="str">
        <x:v>Desktop app</x:v>
      </x:c>
      <x:c r="K70" s="535" t="str">
        <x:v>READY</x:v>
      </x:c>
      <x:c r="L70" s="551" t="str">
        <x:v>Tkinter local UI</x:v>
      </x:c>
      <x:c r="M70" s="551" t="str">
        <x:v>NO</x:v>
      </x:c>
      <x:c r="N70" s="551" t="str">
        <x:v>Python file</x:v>
      </x:c>
      <x:c r="O70" s="552" t="str">
        <x:v>Operational monitoring</x:v>
      </x:c>
    </x:row>
    <x:row r="71">
      <x:c r="A71" s="518" t="str">
        <x:v>Frozen primary line</x:v>
      </x:c>
      <x:c r="B71" s="527" t="str">
        <x:v>4 – 21 – 35 – 37 – 42 + 5 – 7</x:v>
      </x:c>
    </x:row>
    <x:row r="72">
      <x:c r="A72" s="520" t="str">
        <x:v>Deployment</x:v>
      </x:c>
      <x:c r="B72" s="530" t="str">
        <x:v>Uniform mode</x:v>
      </x:c>
    </x:row>
    <x:row r="74" ht="22" customHeight="1">
      <x:c r="A74" s="793" t="str">
        <x:v>Jackpot-State Integration v3.5</x:v>
      </x:c>
      <x:c r="B74" s="793"/>
      <x:c r="C74" s="793"/>
      <x:c r="D74" s="793"/>
      <x:c r="E74" s="793"/>
      <x:c r="F74" s="793"/>
      <x:c r="G74" s="793"/>
      <x:c r="H74" s="793"/>
      <x:c r="I74" s="627"/>
      <x:c r="J74" s="793" t="str">
        <x:v>State-to-Strategy Rule</x:v>
      </x:c>
      <x:c r="K74" s="793"/>
      <x:c r="L74" s="793"/>
      <x:c r="M74" s="793"/>
      <x:c r="N74" s="793"/>
      <x:c r="O74" s="793"/>
      <x:c r="P74" s="793"/>
      <x:c r="Q74" s="793"/>
      <x:c r="R74" s="793"/>
    </x:row>
    <x:row r="75">
      <x:c r="A75" s="631" t="str">
        <x:v>Prize Watch automation</x:v>
      </x:c>
      <x:c r="B75" s="640" t="str">
        <x:v>ACTIVE</x:v>
      </x:c>
      <x:c r="J75" s="665" t="str">
        <x:v>State</x:v>
      </x:c>
      <x:c r="K75" s="666" t="str">
        <x:v>Jackpot Weight</x:v>
      </x:c>
      <x:c r="L75" s="666" t="str">
        <x:v>Class-2 Weight</x:v>
      </x:c>
      <x:c r="M75" s="666" t="str">
        <x:v>Anti-Crowd</x:v>
      </x:c>
      <x:c r="N75" s="666" t="str">
        <x:v>Main Diversity</x:v>
      </x:c>
      <x:c r="O75" s="667" t="str">
        <x:v>Effect on Number Probability</x:v>
      </x:c>
    </x:row>
    <x:row r="76">
      <x:c r="A76" s="633" t="str">
        <x:v>Engine importer</x:v>
      </x:c>
      <x:c r="B76" s="643" t="str">
        <x:v>eurojackpot_jackpot_state_v3_5.py</x:v>
      </x:c>
      <x:c r="J76" s="650" t="str">
        <x:v>NORMAL</x:v>
      </x:c>
      <x:c r="K76" s="668" t="n">
        <x:v>0.35</x:v>
      </x:c>
      <x:c r="L76" s="668" t="n">
        <x:v>0.15</x:v>
      </x:c>
      <x:c r="M76" s="668" t="n">
        <x:v>0.35</x:v>
      </x:c>
      <x:c r="N76" s="668" t="n">
        <x:v>0.5</x:v>
      </x:c>
      <x:c r="O76" s="642" t="str">
        <x:v>None</x:v>
      </x:c>
    </x:row>
    <x:row r="77">
      <x:c r="A77" s="633" t="str">
        <x:v>Operational database</x:v>
      </x:c>
      <x:c r="B77" s="643" t="str">
        <x:v>EuroJackpot_Operational_v3_5.sqlite</x:v>
      </x:c>
      <x:c r="J77" s="650" t="str">
        <x:v>ROLLOVER</x:v>
      </x:c>
      <x:c r="K77" s="668" t="n">
        <x:v>0.45</x:v>
      </x:c>
      <x:c r="L77" s="668" t="n">
        <x:v>0.18</x:v>
      </x:c>
      <x:c r="M77" s="668" t="n">
        <x:v>0.42</x:v>
      </x:c>
      <x:c r="N77" s="668" t="n">
        <x:v>0.6</x:v>
      </x:c>
      <x:c r="O77" s="642" t="str">
        <x:v>None</x:v>
      </x:c>
    </x:row>
    <x:row r="78">
      <x:c r="A78" s="633" t="str">
        <x:v>Supported modes</x:v>
      </x:c>
      <x:c r="B78" s="643" t="str">
        <x:v>NORMAL, ROLLOVER, HIGH_JACKPOT, MAX_CAP, MAX_CAP_OVERFLOW, RESET</x:v>
      </x:c>
      <x:c r="J78" s="650" t="str">
        <x:v>HIGH_JACKPOT</x:v>
      </x:c>
      <x:c r="K78" s="668" t="n">
        <x:v>0.55</x:v>
      </x:c>
      <x:c r="L78" s="668" t="n">
        <x:v>0.2</x:v>
      </x:c>
      <x:c r="M78" s="668" t="n">
        <x:v>0.55</x:v>
      </x:c>
      <x:c r="N78" s="668" t="n">
        <x:v>0.72</x:v>
      </x:c>
      <x:c r="O78" s="642" t="str">
        <x:v>None</x:v>
      </x:c>
    </x:row>
    <x:row r="79">
      <x:c r="A79" s="633" t="str">
        <x:v>Maximum jackpot configuration</x:v>
      </x:c>
      <x:c r="B79" s="644" t="n">
        <x:v>120000000</x:v>
      </x:c>
      <x:c r="J79" s="650" t="str">
        <x:v>MAX_CAP</x:v>
      </x:c>
      <x:c r="K79" s="668" t="n">
        <x:v>0.55</x:v>
      </x:c>
      <x:c r="L79" s="668" t="n">
        <x:v>0.3</x:v>
      </x:c>
      <x:c r="M79" s="668" t="n">
        <x:v>0.65</x:v>
      </x:c>
      <x:c r="N79" s="668" t="n">
        <x:v>0.85</x:v>
      </x:c>
      <x:c r="O79" s="642" t="str">
        <x:v>None</x:v>
      </x:c>
    </x:row>
    <x:row r="80">
      <x:c r="A80" s="633" t="str">
        <x:v>Verified-source requirement</x:v>
      </x:c>
      <x:c r="B80" s="643" t="str">
        <x:v>At least two source URLs</x:v>
      </x:c>
      <x:c r="J80" s="650" t="str">
        <x:v>MAX_CAP_OVERFLOW</x:v>
      </x:c>
      <x:c r="K80" s="668" t="n">
        <x:v>0.45</x:v>
      </x:c>
      <x:c r="L80" s="668" t="n">
        <x:v>0.4</x:v>
      </x:c>
      <x:c r="M80" s="668" t="n">
        <x:v>0.75</x:v>
      </x:c>
      <x:c r="N80" s="668" t="n">
        <x:v>0.95</x:v>
      </x:c>
      <x:c r="O80" s="642" t="str">
        <x:v>None</x:v>
      </x:c>
    </x:row>
    <x:row r="81">
      <x:c r="A81" s="633" t="str">
        <x:v>Prediction effect</x:v>
      </x:c>
      <x:c r="B81" s="643" t="str">
        <x:v>NONE</x:v>
      </x:c>
      <x:c r="J81" s="650" t="str">
        <x:v>RESET</x:v>
      </x:c>
      <x:c r="K81" s="668" t="n">
        <x:v>0.3</x:v>
      </x:c>
      <x:c r="L81" s="668" t="n">
        <x:v>0.12</x:v>
      </x:c>
      <x:c r="M81" s="668" t="n">
        <x:v>0.3</x:v>
      </x:c>
      <x:c r="N81" s="668" t="n">
        <x:v>0.45</x:v>
      </x:c>
      <x:c r="O81" s="642" t="str">
        <x:v>None</x:v>
      </x:c>
    </x:row>
    <x:row r="82">
      <x:c r="A82" s="633" t="str">
        <x:v>Main inclusion probability</x:v>
      </x:c>
      <x:c r="B82" s="645" t="n">
        <x:v>0.1</x:v>
      </x:c>
      <x:c r="J82" s="651"/>
      <x:c r="K82" s="669"/>
      <x:c r="L82" s="669"/>
      <x:c r="M82" s="669"/>
      <x:c r="N82" s="669"/>
      <x:c r="O82" s="671"/>
    </x:row>
    <x:row r="83">
      <x:c r="A83" s="633" t="str">
        <x:v>Euro inclusion probability</x:v>
      </x:c>
      <x:c r="B83" s="645" t="n">
        <x:v>0.16666666666666666</x:v>
      </x:c>
    </x:row>
    <x:row r="84">
      <x:c r="A84" s="633" t="str">
        <x:v>Portfolio effect</x:v>
      </x:c>
      <x:c r="B84" s="643" t="str">
        <x:v>Jackpot/class-2/anti-crowd/diversity weights change</x:v>
      </x:c>
    </x:row>
    <x:row r="85">
      <x:c r="A85" s="633" t="str">
        <x:v>Self-test modes</x:v>
      </x:c>
      <x:c r="B85" s="643" t="str">
        <x:v>6 / 6 passed</x:v>
      </x:c>
    </x:row>
    <x:row r="86">
      <x:c r="A86" s="633" t="str">
        <x:v>Probability invariance</x:v>
      </x:c>
      <x:c r="B86" s="646" t="str">
        <x:v>PASS</x:v>
      </x:c>
    </x:row>
    <x:row r="87">
      <x:c r="A87" s="635" t="str">
        <x:v>First live engine state</x:v>
      </x:c>
      <x:c r="B87" s="647" t="str">
        <x:v>Awaiting next verified Prize Watch change</x:v>
      </x:c>
    </x:row>
    <x:row r="89">
      <x:c r="A89" s="853" t="str">
        <x:v>Final release audit</x:v>
      </x:c>
      <x:c r="B89" s="858" t="str">
        <x:v>PASS</x:v>
      </x:c>
    </x:row>
    <x:row r="90">
      <x:c r="A90" s="854" t="str">
        <x:v>Portability</x:v>
      </x:c>
      <x:c r="B90" s="859" t="str">
        <x:v>PASS — clean extracted folder</x:v>
      </x:c>
    </x:row>
    <x:row r="91">
      <x:c r="A91" s="854" t="str">
        <x:v>Standalone v3.5 database</x:v>
      </x:c>
      <x:c r="B91" s="859" t="str">
        <x:v>PASS</x:v>
      </x:c>
    </x:row>
    <x:row r="92">
      <x:c r="A92" s="854" t="str">
        <x:v>Blocking defects</x:v>
      </x:c>
      <x:c r="B92" s="820" t="n">
        <x:v>0</x:v>
      </x:c>
    </x:row>
    <x:row r="93">
      <x:c r="A93" s="855" t="str">
        <x:v>Audit sheet</x:v>
      </x:c>
      <x:c r="B93" s="823" t="str">
        <x:v>Final Release Audit</x:v>
      </x:c>
    </x:row>
  </x:sheetData>
  <x:mergeCells>
    <x:mergeCell ref="A1:P1"/>
    <x:mergeCell ref="A2:P2"/>
    <x:mergeCell ref="A4:H4"/>
    <x:mergeCell ref="A14:H14"/>
    <x:mergeCell ref="A23:H23"/>
    <x:mergeCell ref="A31:H31"/>
    <x:mergeCell ref="A4:P4"/>
    <x:mergeCell ref="J12:R16"/>
    <x:mergeCell ref="A38:R38"/>
    <x:mergeCell ref="J38:R38"/>
    <x:mergeCell ref="A49:R49"/>
    <x:mergeCell ref="J49:R49"/>
    <x:mergeCell ref="A61:R61"/>
    <x:mergeCell ref="A74:H74"/>
    <x:mergeCell ref="J74:R74"/>
  </x:mergeCells>
  <x:conditionalFormatting sqref="R6:R9">
    <x:cfRule type="expression" dxfId="0" priority="1">
      <x:formula>R6="Better"</x:formula>
    </x:cfRule>
    <x:cfRule type="expression" dxfId="1" priority="2">
      <x:formula>R6="No edge"</x:formula>
    </x:cfRule>
  </x:conditionalFormatting>
  <x:conditionalFormatting sqref="M51:M57">
    <x:cfRule type="expression" dxfId="13" priority="3">
      <x:formula>M51="PASS"</x:formula>
    </x:cfRule>
    <x:cfRule type="expression" dxfId="14" priority="4">
      <x:formula>M51="FAIL"</x:formula>
    </x:cfRule>
  </x:conditionalFormatting>
  <x:conditionalFormatting sqref="B67:B69">
    <x:cfRule type="expression" dxfId="22" priority="5">
      <x:formula>B67="PASS"</x:formula>
    </x:cfRule>
  </x:conditionalFormatting>
  <x:conditionalFormatting sqref="K63:K70">
    <x:cfRule type="expression" dxfId="23" priority="6">
      <x:formula>OR(K63="PASS",K63="ACTIVE",K63="READY")</x:formula>
    </x:cfRule>
  </x:conditionalFormatting>
  <x:pageMargins left="0.7" right="0.7" top="0.75" bottom="0.75" header="0.3" footer="0.3"/>
  <x:drawing xmlns:r="http://schemas.openxmlformats.org/officeDocument/2006/relationships" r:id="R5382e11d1be04324"/>
</x:worksheet>
</file>

<file path=xl/worksheets/sheet2.xml><?xml version="1.0" encoding="utf-8"?>
<x:worksheet xmlns:x="http://schemas.openxmlformats.org/spreadsheetml/2006/main">
  <x:sheetFormatPr defaultRowHeight="15"/>
  <x:cols>
    <x:col min="1" max="1" width="34" hidden="0" customWidth="1"/>
    <x:col min="2" max="2" width="24" hidden="0" customWidth="1"/>
    <x:col min="3" max="3" width="100" hidden="0" customWidth="1"/>
  </x:cols>
  <x:sheetData>
    <x:row r="1" ht="30" customHeight="1">
      <x:c r="A1" s="259" t="str">
        <x:v>End-to-End Audit Findings and Corrections</x:v>
      </x:c>
      <x:c r="B1" s="259"/>
      <x:c r="C1" s="259"/>
      <x:c r="D1" s="259"/>
      <x:c r="E1" s="259"/>
      <x:c r="F1" s="259"/>
      <x:c r="G1" s="259"/>
      <x:c r="H1" s="259"/>
      <x:c r="I1" s="260"/>
      <x:c r="J1" s="260"/>
      <x:c r="K1" s="260"/>
      <x:c r="L1" s="260"/>
      <x:c r="M1" s="260"/>
      <x:c r="N1" s="260"/>
      <x:c r="O1" s="260"/>
      <x:c r="P1" s="260"/>
      <x:c r="Q1" s="260"/>
      <x:c r="R1" s="260"/>
      <x:c r="S1" s="260"/>
      <x:c r="T1" s="260"/>
      <x:c r="U1" s="260"/>
      <x:c r="V1" s="260"/>
      <x:c r="W1" s="260"/>
      <x:c r="X1" s="260"/>
      <x:c r="Y1" s="260"/>
      <x:c r="Z1" s="260"/>
    </x:row>
    <x:row r="3">
      <x:c r="A3" s="95" t="str">
        <x:v>Check</x:v>
      </x:c>
      <x:c r="B3" s="96" t="str">
        <x:v>Status</x:v>
      </x:c>
      <x:c r="C3" s="97" t="str">
        <x:v>Finding</x:v>
      </x:c>
    </x:row>
    <x:row r="4">
      <x:c r="A4" s="74" t="str">
        <x:v>CALENDAR_COMPLETENESS</x:v>
      </x:c>
      <x:c r="B4" s="75" t="str">
        <x:v>PASS</x:v>
      </x:c>
      <x:c r="C4" s="54" t="str">
        <x:v>975 of 975 expected draw dates; no duplicates or off-schedule dates</x:v>
      </x:c>
    </x:row>
    <x:row r="5">
      <x:c r="A5" s="74" t="str">
        <x:v>UPLOADED_2024_2026_CROSSCHECK</x:v>
      </x:c>
      <x:c r="B5" s="75" t="str">
        <x:v>PASS</x:v>
      </x:c>
      <x:c r="C5" s="54" t="str">
        <x:v>235 of 235 uploaded draws matched canonical numbers exactly</x:v>
      </x:c>
    </x:row>
    <x:row r="6">
      <x:c r="A6" s="74" t="str">
        <x:v>V2_CALIBRATION_CLAIM</x:v>
      </x:c>
      <x:c r="B6" s="75" t="str">
        <x:v>CORRECTED</x:v>
      </x:c>
      <x:c r="C6" s="54" t="str">
        <x:v>CalibratedClassifierCV was imported but no calibration was applied; v3 uses cross-fitted Platt calibration</x:v>
      </x:c>
    </x:row>
    <x:row r="7">
      <x:c r="A7" s="74" t="str">
        <x:v>V2_NEXT_DATE</x:v>
      </x:c>
      <x:c r="B7" s="75" t="str">
        <x:v>CORRECTED</x:v>
      </x:c>
      <x:c r="C7" s="54" t="str">
        <x:v>Hard-coded date replaced by calendar-derived next Tuesday/Friday</x:v>
      </x:c>
    </x:row>
    <x:row r="8">
      <x:c r="A8" s="74" t="str">
        <x:v>V2_HOLDOUT_REFIT</x:v>
      </x:c>
      <x:c r="B8" s="75" t="str">
        <x:v>CORRECTED</x:v>
      </x:c>
      <x:c r="C8" s="54" t="str">
        <x:v>Added frozen and block-prequential expanding-history holdout evaluations</x:v>
      </x:c>
    </x:row>
    <x:row r="9">
      <x:c r="A9" s="74" t="str">
        <x:v>V2_ENSEMBLE_OPTIMIZER</x:v>
      </x:c>
      <x:c r="B9" s="75" t="str">
        <x:v>CORRECTED</x:v>
      </x:c>
      <x:c r="C9" s="54" t="str">
        <x:v>Previous weights remained at the initial equal allocation; v3 uses fold-consistent robust weighting and can revert to 100% uniform</x:v>
      </x:c>
    </x:row>
    <x:row r="10">
      <x:c r="A10" s="74" t="str">
        <x:v>SOURCE_STATUS</x:v>
      </x:c>
      <x:c r="B10" s="75" t="str">
        <x:v>CORRECTED</x:v>
      </x:c>
      <x:c r="C10" s="54" t="str">
        <x:v>Older rows no longer labeled cross-source unless independently checked</x:v>
      </x:c>
    </x:row>
    <x:row r="11">
      <x:c r="A11" s="74" t="str">
        <x:v>DRAW_PROBABILITY_EDGE</x:v>
      </x:c>
      <x:c r="B11" s="75" t="str">
        <x:v>Uniform mode</x:v>
      </x:c>
      <x:c r="C11" s="54" t="str">
        <x:v>Acceptance requires frozen+prequential gains, three-period consistency, maxT correction and positive block-bootstrap CI</x:v>
      </x:c>
    </x:row>
    <x:row r="12">
      <x:c r="A12" s="74" t="str">
        <x:v>VALUE_EDGE</x:v>
      </x:c>
      <x:c r="B12" s="75" t="str">
        <x:v>PORTFOLIO_ONLY</x:v>
      </x:c>
      <x:c r="C12" s="54" t="str">
        <x:v>Anti-crowd proxies may reduce prize sharing but do not increase draw probability</x:v>
      </x:c>
    </x:row>
    <x:row r="13">
      <x:c r="A13" s="74" t="str">
        <x:v>V2_DRAW_LEVEL_PERMUTATION</x:v>
      </x:c>
      <x:c r="B13" s="75" t="str">
        <x:v>CORRECTED</x:v>
      </x:c>
      <x:c r="C13" s="54" t="str">
        <x:v>Within-draw permutation cannot test features that are constant for every candidate number in a draw; v3.1 adds a separate weekday-number interaction audit.</x:v>
      </x:c>
    </x:row>
    <x:row r="14">
      <x:c r="A14" s="74" t="str">
        <x:v>EURO_WEEKDAY_EFFECT</x:v>
      </x:c>
      <x:c r="B14" s="75" t="str">
        <x:v>REJECTED_AS_EDGE</x:v>
      </x:c>
      <x:c r="C14" s="54" t="str">
        <x:v>Nested-development-selected model holdout improvement 0.000002890228; permutation p=0.594; bootstrap CI crosses zero.</x:v>
      </x:c>
    </x:row>
    <x:row r="15">
      <x:c r="A15" s="74" t="str">
        <x:v>GLOBAL_RANDOMNESS_CORRECTION</x:v>
      </x:c>
      <x:c r="B15" s="75" t="str">
        <x:v>PASS</x:v>
      </x:c>
      <x:c r="C15" s="54" t="str">
        <x:v>Minimum raw audit p=0.026987; Bonferroni across 8 families=0.215892.</x:v>
      </x:c>
    </x:row>
    <x:row r="16">
      <x:c r="A16" s="76" t="str">
        <x:v>DEPLOYMENT_GATE</x:v>
      </x:c>
      <x:c r="B16" s="77" t="str">
        <x:v>CORRECTED</x:v>
      </x:c>
      <x:c r="C16" s="123" t="str">
        <x:v>Uniform-mode pools now deploy exactly uniform probabilities; non-uniform scores remain research-only.</x:v>
      </x:c>
    </x:row>
  </x:sheetData>
  <x:mergeCells>
    <x:mergeCell ref="A1:H1"/>
  </x:mergeCells>
  <x:conditionalFormatting sqref="B4:B16">
    <x:cfRule type="expression" dxfId="2" priority="1">
      <x:formula>OR(B4="PASS",B4="CORRECTED")</x:formula>
    </x:cfRule>
    <x:cfRule type="expression" dxfId="3" priority="2">
      <x:formula>OR(B4="REJECTED_AS_EDGE",B4="Uniform mode")</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2" hidden="0" customWidth="1"/>
    <x:col min="3" max="3" width="28" hidden="0" customWidth="1"/>
    <x:col min="4" max="4" width="13" hidden="0" customWidth="1"/>
    <x:col min="5" max="5" width="13" hidden="0" customWidth="1"/>
    <x:col min="6" max="6" width="13" hidden="0" customWidth="1"/>
    <x:col min="7" max="7" width="12" hidden="0" customWidth="1"/>
    <x:col min="8" max="8" width="13" hidden="0" customWidth="1"/>
    <x:col min="9" max="9" width="18" hidden="0" customWidth="1"/>
    <x:col min="10" max="10" width="18" hidden="0" customWidth="1"/>
    <x:col min="11" max="11" width="18" hidden="0" customWidth="1"/>
  </x:cols>
  <x:sheetData>
    <x:row r="1" ht="30" customHeight="1">
      <x:c r="A1" s="259" t="str">
        <x:v>Frozen and Prequential Holdout Comparison</x:v>
      </x:c>
      <x:c r="B1" s="259"/>
      <x:c r="C1" s="259"/>
      <x:c r="D1" s="259"/>
      <x:c r="E1" s="259"/>
      <x:c r="F1" s="259"/>
      <x:c r="G1" s="259"/>
      <x:c r="H1" s="259"/>
      <x:c r="I1" s="259"/>
      <x:c r="J1" s="259"/>
      <x:c r="K1" s="259"/>
      <x:c r="L1" s="259"/>
      <x:c r="M1" s="259"/>
      <x:c r="N1" s="260"/>
      <x:c r="O1" s="260"/>
      <x:c r="P1" s="260"/>
      <x:c r="Q1" s="260"/>
      <x:c r="R1" s="260"/>
      <x:c r="S1" s="260"/>
      <x:c r="T1" s="260"/>
      <x:c r="U1" s="260"/>
      <x:c r="V1" s="260"/>
      <x:c r="W1" s="260"/>
      <x:c r="X1" s="260"/>
      <x:c r="Y1" s="260"/>
      <x:c r="Z1" s="260"/>
    </x:row>
    <x:row r="3">
      <x:c r="A3" s="95" t="str">
        <x:v>Pool</x:v>
      </x:c>
      <x:c r="B3" s="96" t="str">
        <x:v>Protocol</x:v>
      </x:c>
      <x:c r="C3" s="96" t="str">
        <x:v>Model</x:v>
      </x:c>
      <x:c r="D3" s="96" t="str">
        <x:v>Brier</x:v>
      </x:c>
      <x:c r="E3" s="96" t="str">
        <x:v>Log Loss</x:v>
      </x:c>
      <x:c r="F3" s="96" t="str">
        <x:v>ECE</x:v>
      </x:c>
      <x:c r="G3" s="96" t="str">
        <x:v>Avg Hits</x:v>
      </x:c>
      <x:c r="H3" s="96" t="str">
        <x:v>Precision@K</x:v>
      </x:c>
      <x:c r="I3" s="96" t="str">
        <x:v>Mean Winning Rank</x:v>
      </x:c>
      <x:c r="J3" s="96" t="str">
        <x:v>Brier vs Uniform</x:v>
      </x:c>
      <x:c r="K3" s="97" t="str">
        <x:v>Log Loss vs Uniform</x:v>
      </x:c>
    </x:row>
    <x:row r="4">
      <x:c r="A4" s="74" t="str">
        <x:v>Main</x:v>
      </x:c>
      <x:c r="B4" s="75" t="str">
        <x:v>Development-frozen</x:v>
      </x:c>
      <x:c r="C4" s="75" t="str">
        <x:v>Uniform</x:v>
      </x:c>
      <x:c r="D4" s="113" t="n">
        <x:v>0.09</x:v>
      </x:c>
      <x:c r="E4" s="113" t="n">
        <x:v>0.3250829733914482</x:v>
      </x:c>
      <x:c r="F4" s="113" t="n">
        <x:v>0</x:v>
      </x:c>
      <x:c r="G4" s="125" t="n">
        <x:v>0.5076923076923077</x:v>
      </x:c>
      <x:c r="H4" s="125" t="n">
        <x:v>0.10153846153846154</x:v>
      </x:c>
      <x:c r="I4" s="129" t="n">
        <x:v>25.18769230769231</x:v>
      </x:c>
      <x:c r="J4" s="133" t="n">
        <x:v>0</x:v>
      </x:c>
      <x:c r="K4" s="134" t="n">
        <x:v>0</x:v>
      </x:c>
    </x:row>
    <x:row r="5">
      <x:c r="A5" s="74" t="str">
        <x:v>Main</x:v>
      </x:c>
      <x:c r="B5" s="75" t="str">
        <x:v>Development-frozen</x:v>
      </x:c>
      <x:c r="C5" s="75" t="str">
        <x:v>ProductionEnsemble</x:v>
      </x:c>
      <x:c r="D5" s="113" t="n">
        <x:v>0.09</x:v>
      </x:c>
      <x:c r="E5" s="113" t="n">
        <x:v>0.3250829733914482</x:v>
      </x:c>
      <x:c r="F5" s="113" t="n">
        <x:v>0</x:v>
      </x:c>
      <x:c r="G5" s="125" t="n">
        <x:v>0.5076923076923077</x:v>
      </x:c>
      <x:c r="H5" s="125" t="n">
        <x:v>0.10153846153846154</x:v>
      </x:c>
      <x:c r="I5" s="129" t="n">
        <x:v>25.18769230769231</x:v>
      </x:c>
      <x:c r="J5" s="133" t="n">
        <x:v>0</x:v>
      </x:c>
      <x:c r="K5" s="134" t="n">
        <x:v>0</x:v>
      </x:c>
    </x:row>
    <x:row r="6">
      <x:c r="A6" s="74" t="str">
        <x:v>Main</x:v>
      </x:c>
      <x:c r="B6" s="75" t="str">
        <x:v>Development-frozen</x:v>
      </x:c>
      <x:c r="C6" s="75" t="str">
        <x:v>EWMA</x:v>
      </x:c>
      <x:c r="D6" s="113" t="n">
        <x:v>0.08999327366001844</x:v>
      </x:c>
      <x:c r="E6" s="113" t="n">
        <x:v>0.32504563569520506</x:v>
      </x:c>
      <x:c r="F6" s="113" t="n">
        <x:v>0.004865595496053197</x:v>
      </x:c>
      <x:c r="G6" s="125" t="n">
        <x:v>0.5333333333333333</x:v>
      </x:c>
      <x:c r="H6" s="125" t="n">
        <x:v>0.10666666666666666</x:v>
      </x:c>
      <x:c r="I6" s="129" t="n">
        <x:v>25.013333333333332</x:v>
      </x:c>
      <x:c r="J6" s="133" t="n">
        <x:v>0.000006726339981555363</x:v>
      </x:c>
      <x:c r="K6" s="134" t="n">
        <x:v>0.00003733769624314487</x:v>
      </x:c>
    </x:row>
    <x:row r="7">
      <x:c r="A7" s="74" t="str">
        <x:v>Main</x:v>
      </x:c>
      <x:c r="B7" s="75" t="str">
        <x:v>Block-prequential</x:v>
      </x:c>
      <x:c r="C7" s="75" t="str">
        <x:v>Uniform</x:v>
      </x:c>
      <x:c r="D7" s="113" t="n">
        <x:v>0.09</x:v>
      </x:c>
      <x:c r="E7" s="113" t="n">
        <x:v>0.3250829733914482</x:v>
      </x:c>
      <x:c r="F7" s="113" t="n">
        <x:v>0</x:v>
      </x:c>
      <x:c r="G7" s="125" t="n">
        <x:v>0.5076923076923077</x:v>
      </x:c>
      <x:c r="H7" s="125" t="n">
        <x:v>0.10153846153846154</x:v>
      </x:c>
      <x:c r="I7" s="129" t="n">
        <x:v>25.18769230769231</x:v>
      </x:c>
      <x:c r="J7" s="133" t="n">
        <x:v>0</x:v>
      </x:c>
      <x:c r="K7" s="134" t="n">
        <x:v>0</x:v>
      </x:c>
    </x:row>
    <x:row r="8">
      <x:c r="A8" s="74" t="str">
        <x:v>Main</x:v>
      </x:c>
      <x:c r="B8" s="75" t="str">
        <x:v>Block-prequential</x:v>
      </x:c>
      <x:c r="C8" s="75" t="str">
        <x:v>ProductionEnsemble</x:v>
      </x:c>
      <x:c r="D8" s="113" t="n">
        <x:v>0.09</x:v>
      </x:c>
      <x:c r="E8" s="113" t="n">
        <x:v>0.3250829733914482</x:v>
      </x:c>
      <x:c r="F8" s="113" t="n">
        <x:v>0</x:v>
      </x:c>
      <x:c r="G8" s="125" t="n">
        <x:v>0.5076923076923077</x:v>
      </x:c>
      <x:c r="H8" s="125" t="n">
        <x:v>0.10153846153846154</x:v>
      </x:c>
      <x:c r="I8" s="129" t="n">
        <x:v>25.18769230769231</x:v>
      </x:c>
      <x:c r="J8" s="133" t="n">
        <x:v>0</x:v>
      </x:c>
      <x:c r="K8" s="134" t="n">
        <x:v>0</x:v>
      </x:c>
    </x:row>
    <x:row r="9">
      <x:c r="A9" s="74" t="str">
        <x:v>Main</x:v>
      </x:c>
      <x:c r="B9" s="75" t="str">
        <x:v>Block-prequential</x:v>
      </x:c>
      <x:c r="C9" s="75" t="str">
        <x:v>EWMA</x:v>
      </x:c>
      <x:c r="D9" s="113" t="n">
        <x:v>0.08999327366001844</x:v>
      </x:c>
      <x:c r="E9" s="113" t="n">
        <x:v>0.32504563569520506</x:v>
      </x:c>
      <x:c r="F9" s="113" t="n">
        <x:v>0.004865595496053197</x:v>
      </x:c>
      <x:c r="G9" s="125" t="n">
        <x:v>0.5333333333333333</x:v>
      </x:c>
      <x:c r="H9" s="125" t="n">
        <x:v>0.10666666666666666</x:v>
      </x:c>
      <x:c r="I9" s="129" t="n">
        <x:v>25.013333333333332</x:v>
      </x:c>
      <x:c r="J9" s="133" t="n">
        <x:v>0.000006726339981555363</x:v>
      </x:c>
      <x:c r="K9" s="134" t="n">
        <x:v>0.00003733769624314487</x:v>
      </x:c>
    </x:row>
    <x:row r="10">
      <x:c r="A10" s="74" t="str">
        <x:v>Euro</x:v>
      </x:c>
      <x:c r="B10" s="75" t="str">
        <x:v>Development-frozen</x:v>
      </x:c>
      <x:c r="C10" s="75" t="str">
        <x:v>Uniform</x:v>
      </x:c>
      <x:c r="D10" s="113" t="n">
        <x:v>0.1388888888888889</x:v>
      </x:c>
      <x:c r="E10" s="113" t="n">
        <x:v>0.45056120886630463</x:v>
      </x:c>
      <x:c r="F10" s="113" t="n">
        <x:v>0</x:v>
      </x:c>
      <x:c r="G10" s="125" t="n">
        <x:v>0.3230769230769231</x:v>
      </x:c>
      <x:c r="H10" s="125" t="n">
        <x:v>0.16153846153846155</x:v>
      </x:c>
      <x:c r="I10" s="129" t="n">
        <x:v>6.469230769230769</x:v>
      </x:c>
      <x:c r="J10" s="133" t="n">
        <x:v>0</x:v>
      </x:c>
      <x:c r="K10" s="134" t="n">
        <x:v>0</x:v>
      </x:c>
    </x:row>
    <x:row r="11">
      <x:c r="A11" s="74" t="str">
        <x:v>Euro</x:v>
      </x:c>
      <x:c r="B11" s="75" t="str">
        <x:v>Development-frozen</x:v>
      </x:c>
      <x:c r="C11" s="75" t="str">
        <x:v>ProductionEnsemble</x:v>
      </x:c>
      <x:c r="D11" s="113" t="n">
        <x:v>0.1388920361011362</x:v>
      </x:c>
      <x:c r="E11" s="113" t="n">
        <x:v>0.4505735381029349</x:v>
      </x:c>
      <x:c r="F11" s="113" t="n">
        <x:v>0</x:v>
      </x:c>
      <x:c r="G11" s="125" t="n">
        <x:v>0.3487179487179487</x:v>
      </x:c>
      <x:c r="H11" s="125" t="n">
        <x:v>0.17435897435897435</x:v>
      </x:c>
      <x:c r="I11" s="129" t="n">
        <x:v>6.48974358974359</x:v>
      </x:c>
      <x:c r="J11" s="133" t="n">
        <x:v>-0.000003147212247311959</x:v>
      </x:c>
      <x:c r="K11" s="134" t="n">
        <x:v>-0.000012329236630248541</x:v>
      </x:c>
    </x:row>
    <x:row r="12">
      <x:c r="A12" s="74" t="str">
        <x:v>Euro</x:v>
      </x:c>
      <x:c r="B12" s="75" t="str">
        <x:v>Development-frozen</x:v>
      </x:c>
      <x:c r="C12" s="75" t="str">
        <x:v>ExtraTrees</x:v>
      </x:c>
      <x:c r="D12" s="113" t="n">
        <x:v>0.13883627828454848</x:v>
      </x:c>
      <x:c r="E12" s="113" t="n">
        <x:v>0.450369481600093</x:v>
      </x:c>
      <x:c r="F12" s="113" t="n">
        <x:v>0</x:v>
      </x:c>
      <x:c r="G12" s="125" t="n">
        <x:v>0.3435897435897436</x:v>
      </x:c>
      <x:c r="H12" s="125" t="n">
        <x:v>0.1717948717948718</x:v>
      </x:c>
      <x:c r="I12" s="129" t="n">
        <x:v>6.28974358974359</x:v>
      </x:c>
      <x:c r="J12" s="133" t="n">
        <x:v>0.00005261060434041953</x:v>
      </x:c>
      <x:c r="K12" s="134" t="n">
        <x:v>0.00019172726621163871</x:v>
      </x:c>
    </x:row>
    <x:row r="13">
      <x:c r="A13" s="74" t="str">
        <x:v>Euro</x:v>
      </x:c>
      <x:c r="B13" s="75" t="str">
        <x:v>Block-prequential</x:v>
      </x:c>
      <x:c r="C13" s="75" t="str">
        <x:v>Uniform</x:v>
      </x:c>
      <x:c r="D13" s="113" t="n">
        <x:v>0.1388888888888889</x:v>
      </x:c>
      <x:c r="E13" s="113" t="n">
        <x:v>0.45056120886630463</x:v>
      </x:c>
      <x:c r="F13" s="113" t="n">
        <x:v>0</x:v>
      </x:c>
      <x:c r="G13" s="125" t="n">
        <x:v>0.3230769230769231</x:v>
      </x:c>
      <x:c r="H13" s="125" t="n">
        <x:v>0.16153846153846155</x:v>
      </x:c>
      <x:c r="I13" s="129" t="n">
        <x:v>6.469230769230769</x:v>
      </x:c>
      <x:c r="J13" s="133" t="n">
        <x:v>0</x:v>
      </x:c>
      <x:c r="K13" s="134" t="n">
        <x:v>0</x:v>
      </x:c>
    </x:row>
    <x:row r="14">
      <x:c r="A14" s="74" t="str">
        <x:v>Euro</x:v>
      </x:c>
      <x:c r="B14" s="75" t="str">
        <x:v>Block-prequential</x:v>
      </x:c>
      <x:c r="C14" s="75" t="str">
        <x:v>ProductionEnsemble</x:v>
      </x:c>
      <x:c r="D14" s="113" t="n">
        <x:v>0.1388632519854934</x:v>
      </x:c>
      <x:c r="E14" s="113" t="n">
        <x:v>0.45046972725956863</x:v>
      </x:c>
      <x:c r="F14" s="113" t="n">
        <x:v>0</x:v>
      </x:c>
      <x:c r="G14" s="125" t="n">
        <x:v>0.37948717948717947</x:v>
      </x:c>
      <x:c r="H14" s="125" t="n">
        <x:v>0.18974358974358974</x:v>
      </x:c>
      <x:c r="I14" s="129" t="n">
        <x:v>6.3538461538461535</x:v>
      </x:c>
      <x:c r="J14" s="133" t="n">
        <x:v>0.00002563690339549285</x:v>
      </x:c>
      <x:c r="K14" s="134" t="n">
        <x:v>0.00009148160673599914</x:v>
      </x:c>
    </x:row>
    <x:row r="15">
      <x:c r="A15" s="76" t="str">
        <x:v>Euro</x:v>
      </x:c>
      <x:c r="B15" s="77" t="str">
        <x:v>Block-prequential</x:v>
      </x:c>
      <x:c r="C15" s="77" t="str">
        <x:v>ElasticNet</x:v>
      </x:c>
      <x:c r="D15" s="114" t="n">
        <x:v>0.13880869704778753</x:v>
      </x:c>
      <x:c r="E15" s="114" t="n">
        <x:v>0.4503045378777253</x:v>
      </x:c>
      <x:c r="F15" s="114" t="n">
        <x:v>0.00017106328188712912</x:v>
      </x:c>
      <x:c r="G15" s="126" t="n">
        <x:v>0.4153846153846154</x:v>
      </x:c>
      <x:c r="H15" s="126" t="n">
        <x:v>0.2076923076923077</x:v>
      </x:c>
      <x:c r="I15" s="130" t="n">
        <x:v>6.317948717948718</x:v>
      </x:c>
      <x:c r="J15" s="135" t="n">
        <x:v>0.00008019184110136246</x:v>
      </x:c>
      <x:c r="K15" s="136" t="n">
        <x:v>0.0002566709885793439</x:v>
      </x:c>
    </x:row>
  </x:sheetData>
  <x:mergeCells>
    <x:mergeCell ref="A1:M1"/>
  </x:mergeCells>
  <x:conditionalFormatting sqref="J4:K15">
    <x:cfRule type="colorScale" priority="1">
      <x:colorScale>
        <x:cfvo type="min"/>
        <x:cfvo type="percentile" val="50"/>
        <x:cfvo type="max"/>
        <x:color rgb="FFFDECEC"/>
        <x:color rgb="FFFFFFFF"/>
        <x:color rgb="FFEAF5EA"/>
      </x:colorScale>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28" hidden="0" customWidth="1"/>
    <x:col min="3" max="3" width="18" hidden="0" customWidth="1"/>
    <x:col min="4" max="4" width="18" hidden="0" customWidth="1"/>
    <x:col min="5" max="5" width="18" hidden="0" customWidth="1"/>
    <x:col min="6" max="6" width="18" hidden="0" customWidth="1"/>
    <x:col min="8" max="8" width="10" hidden="0" customWidth="1"/>
    <x:col min="9" max="9" width="28" hidden="0" customWidth="1"/>
    <x:col min="10" max="10" width="17" hidden="0" customWidth="1"/>
    <x:col min="11" max="11" width="17" hidden="0" customWidth="1"/>
    <x:col min="12" max="12" width="17" hidden="0" customWidth="1"/>
  </x:cols>
  <x:sheetData>
    <x:row r="1" ht="30" customHeight="1">
      <x:c r="A1" s="259" t="str">
        <x:v>Cross-Fitted Calibration and Ensemble Weights</x:v>
      </x:c>
      <x:c r="B1" s="259"/>
      <x:c r="C1" s="259"/>
      <x:c r="D1" s="259"/>
      <x:c r="E1" s="259"/>
      <x:c r="F1" s="259"/>
      <x:c r="G1" s="259"/>
      <x:c r="H1" s="259"/>
      <x:c r="I1" s="259"/>
      <x:c r="J1" s="259"/>
      <x:c r="K1" s="259"/>
      <x:c r="L1" s="259"/>
      <x:c r="M1" s="259"/>
      <x:c r="N1" s="259"/>
      <x:c r="O1" s="260"/>
      <x:c r="P1" s="260"/>
      <x:c r="Q1" s="260"/>
      <x:c r="R1" s="260"/>
      <x:c r="S1" s="260"/>
      <x:c r="T1" s="260"/>
      <x:c r="U1" s="260"/>
      <x:c r="V1" s="260"/>
      <x:c r="W1" s="260"/>
      <x:c r="X1" s="260"/>
      <x:c r="Y1" s="260"/>
      <x:c r="Z1" s="260"/>
    </x:row>
    <x:row r="3" ht="22" customHeight="1">
      <x:c r="A3" s="19" t="str">
        <x:v>Candidate, Research and Deployed Weights</x:v>
      </x:c>
      <x:c r="B3" s="19"/>
      <x:c r="C3" s="19"/>
      <x:c r="D3" s="19"/>
      <x:c r="E3" s="19"/>
      <x:c r="F3" s="19"/>
      <x:c r="G3" s="19"/>
      <x:c r="H3" s="19"/>
      <x:c r="I3" s="19"/>
      <x:c r="J3" s="19"/>
      <x:c r="K3" s="19"/>
      <x:c r="L3" s="19"/>
      <x:c r="M3" s="19"/>
      <x:c r="N3" s="19"/>
    </x:row>
    <x:row r="5">
      <x:c r="A5" s="95" t="str">
        <x:v>Pool</x:v>
      </x:c>
      <x:c r="B5" s="96" t="str">
        <x:v>Model</x:v>
      </x:c>
      <x:c r="C5" s="96" t="str">
        <x:v>Platt Coefficient</x:v>
      </x:c>
      <x:c r="D5" s="96" t="str">
        <x:v>Platt Intercept</x:v>
      </x:c>
      <x:c r="E5" s="96" t="str">
        <x:v>Cross-fit Brier</x:v>
      </x:c>
      <x:c r="F5" s="97" t="str">
        <x:v>Cross-fit Log Loss</x:v>
      </x:c>
      <x:c r="H5" s="95" t="str">
        <x:v>Pool</x:v>
      </x:c>
      <x:c r="I5" s="96" t="str">
        <x:v>Model</x:v>
      </x:c>
      <x:c r="J5" s="96" t="str">
        <x:v>Candidate Weight</x:v>
      </x:c>
      <x:c r="K5" s="96" t="str">
        <x:v>Research Weight</x:v>
      </x:c>
      <x:c r="L5" s="97" t="str">
        <x:v>Deployed Weight</x:v>
      </x:c>
    </x:row>
    <x:row r="6">
      <x:c r="A6" s="74" t="str">
        <x:v>Main</x:v>
      </x:c>
      <x:c r="B6" s="75" t="str">
        <x:v>FullFrequency</x:v>
      </x:c>
      <x:c r="C6" s="113" t="n">
        <x:v>-0.24691813226370352</x:v>
      </x:c>
      <x:c r="D6" s="113" t="n">
        <x:v>-2.741117019825854</x:v>
      </x:c>
      <x:c r="E6" s="113" t="n">
        <x:v>0.09007937700484486</x:v>
      </x:c>
      <x:c r="F6" s="141" t="n">
        <x:v>0.32552640132025257</x:v>
      </x:c>
      <x:c r="H6" s="74" t="str">
        <x:v>Main</x:v>
      </x:c>
      <x:c r="I6" s="75" t="str">
        <x:v>Bayesian_GLM_Laplace</x:v>
      </x:c>
      <x:c r="J6" s="143" t="n">
        <x:v>0</x:v>
      </x:c>
      <x:c r="K6" s="143" t="n">
        <x:v>0.09748808165735762</x:v>
      </x:c>
      <x:c r="L6" s="144" t="n">
        <x:v>0</x:v>
      </x:c>
    </x:row>
    <x:row r="7">
      <x:c r="A7" s="74" t="str">
        <x:v>Main</x:v>
      </x:c>
      <x:c r="B7" s="75" t="str">
        <x:v>RollingFrequency</x:v>
      </x:c>
      <x:c r="C7" s="113" t="n">
        <x:v>-0.01817566540378778</x:v>
      </x:c>
      <x:c r="D7" s="113" t="n">
        <x:v>-2.237361624080489</x:v>
      </x:c>
      <x:c r="E7" s="113" t="n">
        <x:v>0.09022072271627608</x:v>
      </x:c>
      <x:c r="F7" s="141" t="n">
        <x:v>0.32632253309224396</x:v>
      </x:c>
      <x:c r="H7" s="74" t="str">
        <x:v>Main</x:v>
      </x:c>
      <x:c r="I7" s="75" t="str">
        <x:v>BetaBinomial</x:v>
      </x:c>
      <x:c r="J7" s="143" t="n">
        <x:v>0</x:v>
      </x:c>
      <x:c r="K7" s="143" t="n">
        <x:v>0.028855242712127874</x:v>
      </x:c>
      <x:c r="L7" s="144" t="n">
        <x:v>0</x:v>
      </x:c>
    </x:row>
    <x:row r="8">
      <x:c r="A8" s="74" t="str">
        <x:v>Main</x:v>
      </x:c>
      <x:c r="B8" s="75" t="str">
        <x:v>EWMA</x:v>
      </x:c>
      <x:c r="C8" s="113" t="n">
        <x:v>-0.06667806260264951</x:v>
      </x:c>
      <x:c r="D8" s="113" t="n">
        <x:v>-2.344842039705754</x:v>
      </x:c>
      <x:c r="E8" s="113" t="n">
        <x:v>0.09017020173347202</x:v>
      </x:c>
      <x:c r="F8" s="141" t="n">
        <x:v>0.32603760611172145</x:v>
      </x:c>
      <x:c r="H8" s="74" t="str">
        <x:v>Main</x:v>
      </x:c>
      <x:c r="I8" s="75" t="str">
        <x:v>DynamicState</x:v>
      </x:c>
      <x:c r="J8" s="143" t="n">
        <x:v>0</x:v>
      </x:c>
      <x:c r="K8" s="143" t="n">
        <x:v>0.05755728974307657</x:v>
      </x:c>
      <x:c r="L8" s="144" t="n">
        <x:v>0</x:v>
      </x:c>
    </x:row>
    <x:row r="9">
      <x:c r="A9" s="74" t="str">
        <x:v>Main</x:v>
      </x:c>
      <x:c r="B9" s="75" t="str">
        <x:v>BetaBinomial</x:v>
      </x:c>
      <x:c r="C9" s="113" t="n">
        <x:v>-0.2532144199717325</x:v>
      </x:c>
      <x:c r="D9" s="113" t="n">
        <x:v>-2.754872912669734</x:v>
      </x:c>
      <x:c r="E9" s="113" t="n">
        <x:v>0.0900746543570789</x:v>
      </x:c>
      <x:c r="F9" s="141" t="n">
        <x:v>0.3254995654728711</x:v>
      </x:c>
      <x:c r="H9" s="74" t="str">
        <x:v>Main</x:v>
      </x:c>
      <x:c r="I9" s="75" t="str">
        <x:v>EWMA</x:v>
      </x:c>
      <x:c r="J9" s="143" t="n">
        <x:v>0</x:v>
      </x:c>
      <x:c r="K9" s="143" t="n">
        <x:v>0.006013552477701679</x:v>
      </x:c>
      <x:c r="L9" s="144" t="n">
        <x:v>0</x:v>
      </x:c>
    </x:row>
    <x:row r="10">
      <x:c r="A10" s="74" t="str">
        <x:v>Main</x:v>
      </x:c>
      <x:c r="B10" s="75" t="str">
        <x:v>HierarchicalBayes</x:v>
      </x:c>
      <x:c r="C10" s="113" t="n">
        <x:v>-0.2327783408040301</x:v>
      </x:c>
      <x:c r="D10" s="113" t="n">
        <x:v>-2.710654542762443</x:v>
      </x:c>
      <x:c r="E10" s="113" t="n">
        <x:v>0.09010087635915201</x:v>
      </x:c>
      <x:c r="F10" s="141" t="n">
        <x:v>0.3256496154551833</x:v>
      </x:c>
      <x:c r="H10" s="74" t="str">
        <x:v>Main</x:v>
      </x:c>
      <x:c r="I10" s="75" t="str">
        <x:v>ElasticNet</x:v>
      </x:c>
      <x:c r="J10" s="143" t="n">
        <x:v>0</x:v>
      </x:c>
      <x:c r="K10" s="143" t="n">
        <x:v>0.09367437013607076</x:v>
      </x:c>
      <x:c r="L10" s="144" t="n">
        <x:v>0</x:v>
      </x:c>
    </x:row>
    <x:row r="11">
      <x:c r="A11" s="74" t="str">
        <x:v>Main</x:v>
      </x:c>
      <x:c r="B11" s="75" t="str">
        <x:v>DynamicState</x:v>
      </x:c>
      <x:c r="C11" s="113" t="n">
        <x:v>0.13564635794108773</x:v>
      </x:c>
      <x:c r="D11" s="113" t="n">
        <x:v>-1.8988701158051626</x:v>
      </x:c>
      <x:c r="E11" s="113" t="n">
        <x:v>0.09003258623884085</x:v>
      </x:c>
      <x:c r="F11" s="141" t="n">
        <x:v>0.32526242020437895</x:v>
      </x:c>
      <x:c r="H11" s="74" t="str">
        <x:v>Main</x:v>
      </x:c>
      <x:c r="I11" s="75" t="str">
        <x:v>ExtraTrees</x:v>
      </x:c>
      <x:c r="J11" s="143" t="n">
        <x:v>0</x:v>
      </x:c>
      <x:c r="K11" s="143" t="n">
        <x:v>0.02756737346241967</x:v>
      </x:c>
      <x:c r="L11" s="144" t="n">
        <x:v>0</x:v>
      </x:c>
    </x:row>
    <x:row r="12">
      <x:c r="A12" s="74" t="str">
        <x:v>Main</x:v>
      </x:c>
      <x:c r="B12" s="75" t="str">
        <x:v>Logistic_L2</x:v>
      </x:c>
      <x:c r="C12" s="113" t="n">
        <x:v>-0.2866316215758232</x:v>
      </x:c>
      <x:c r="D12" s="113" t="n">
        <x:v>-2.8273962128519874</x:v>
      </x:c>
      <x:c r="E12" s="113" t="n">
        <x:v>0.0900255316312282</x:v>
      </x:c>
      <x:c r="F12" s="141" t="n">
        <x:v>0.3252225037746237</x:v>
      </x:c>
      <x:c r="H12" s="74" t="str">
        <x:v>Main</x:v>
      </x:c>
      <x:c r="I12" s="75" t="str">
        <x:v>FullFrequency</x:v>
      </x:c>
      <x:c r="J12" s="143" t="n">
        <x:v>0</x:v>
      </x:c>
      <x:c r="K12" s="143" t="n">
        <x:v>0.02670300396886526</x:v>
      </x:c>
      <x:c r="L12" s="144" t="n">
        <x:v>0</x:v>
      </x:c>
    </x:row>
    <x:row r="13">
      <x:c r="A13" s="74" t="str">
        <x:v>Main</x:v>
      </x:c>
      <x:c r="B13" s="75" t="str">
        <x:v>ElasticNet</x:v>
      </x:c>
      <x:c r="C13" s="113" t="n">
        <x:v>-0.0271961910355484</x:v>
      </x:c>
      <x:c r="D13" s="113" t="n">
        <x:v>-2.257276972537696</x:v>
      </x:c>
      <x:c r="E13" s="113" t="n">
        <x:v>0.09000291304432789</x:v>
      </x:c>
      <x:c r="F13" s="141" t="n">
        <x:v>0.3250992479070353</x:v>
      </x:c>
      <x:c r="H13" s="74" t="str">
        <x:v>Main</x:v>
      </x:c>
      <x:c r="I13" s="75" t="str">
        <x:v>GradientBoosting</x:v>
      </x:c>
      <x:c r="J13" s="143" t="n">
        <x:v>0</x:v>
      </x:c>
      <x:c r="K13" s="143" t="n">
        <x:v>0.026092296632763506</x:v>
      </x:c>
      <x:c r="L13" s="144" t="n">
        <x:v>0</x:v>
      </x:c>
    </x:row>
    <x:row r="14">
      <x:c r="A14" s="74" t="str">
        <x:v>Main</x:v>
      </x:c>
      <x:c r="B14" s="75" t="str">
        <x:v>GradientBoosting</x:v>
      </x:c>
      <x:c r="C14" s="113" t="n">
        <x:v>-0.10795325796451896</x:v>
      </x:c>
      <x:c r="D14" s="113" t="n">
        <x:v>-2.4347967297595496</x:v>
      </x:c>
      <x:c r="E14" s="113" t="n">
        <x:v>0.09008078656462304</x:v>
      </x:c>
      <x:c r="F14" s="141" t="n">
        <x:v>0.32548289481847337</x:v>
      </x:c>
      <x:c r="H14" s="74" t="str">
        <x:v>Main</x:v>
      </x:c>
      <x:c r="I14" s="75" t="str">
        <x:v>HierarchicalBayes</x:v>
      </x:c>
      <x:c r="J14" s="143" t="n">
        <x:v>0</x:v>
      </x:c>
      <x:c r="K14" s="143" t="n">
        <x:v>0.018763140849930682</x:v>
      </x:c>
      <x:c r="L14" s="144" t="n">
        <x:v>0</x:v>
      </x:c>
    </x:row>
    <x:row r="15">
      <x:c r="A15" s="74" t="str">
        <x:v>Main</x:v>
      </x:c>
      <x:c r="B15" s="75" t="str">
        <x:v>RandomForest</x:v>
      </x:c>
      <x:c r="C15" s="113" t="n">
        <x:v>-0.10729227497331817</x:v>
      </x:c>
      <x:c r="D15" s="113" t="n">
        <x:v>-2.433568531497605</x:v>
      </x:c>
      <x:c r="E15" s="113" t="n">
        <x:v>0.0900932529868964</x:v>
      </x:c>
      <x:c r="F15" s="141" t="n">
        <x:v>0.3256235286296265</x:v>
      </x:c>
      <x:c r="H15" s="74" t="str">
        <x:v>Main</x:v>
      </x:c>
      <x:c r="I15" s="75" t="str">
        <x:v>HistGradientBoosting</x:v>
      </x:c>
      <x:c r="J15" s="143" t="n">
        <x:v>0</x:v>
      </x:c>
      <x:c r="K15" s="143" t="n">
        <x:v>0.030512104426337585</x:v>
      </x:c>
      <x:c r="L15" s="144" t="n">
        <x:v>0</x:v>
      </x:c>
    </x:row>
    <x:row r="16">
      <x:c r="A16" s="74" t="str">
        <x:v>Main</x:v>
      </x:c>
      <x:c r="B16" s="75" t="str">
        <x:v>ExtraTrees</x:v>
      </x:c>
      <x:c r="C16" s="113" t="n">
        <x:v>-0.2348796881665958</x:v>
      </x:c>
      <x:c r="D16" s="113" t="n">
        <x:v>-2.714470728821012</x:v>
      </x:c>
      <x:c r="E16" s="113" t="n">
        <x:v>0.09007743612087633</x:v>
      </x:c>
      <x:c r="F16" s="141" t="n">
        <x:v>0.32550932929409865</x:v>
      </x:c>
      <x:c r="H16" s="74" t="str">
        <x:v>Main</x:v>
      </x:c>
      <x:c r="I16" s="75" t="str">
        <x:v>Logistic_L2</x:v>
      </x:c>
      <x:c r="J16" s="143" t="n">
        <x:v>0</x:v>
      </x:c>
      <x:c r="K16" s="143" t="n">
        <x:v>0.06462312211040279</x:v>
      </x:c>
      <x:c r="L16" s="144" t="n">
        <x:v>0</x:v>
      </x:c>
    </x:row>
    <x:row r="17">
      <x:c r="A17" s="74" t="str">
        <x:v>Main</x:v>
      </x:c>
      <x:c r="B17" s="75" t="str">
        <x:v>HistGradientBoosting</x:v>
      </x:c>
      <x:c r="C17" s="113" t="n">
        <x:v>-0.11816221709914487</x:v>
      </x:c>
      <x:c r="D17" s="113" t="n">
        <x:v>-2.457212106701266</x:v>
      </x:c>
      <x:c r="E17" s="113" t="n">
        <x:v>0.09007125280071755</x:v>
      </x:c>
      <x:c r="F17" s="141" t="n">
        <x:v>0.3254469496530924</x:v>
      </x:c>
      <x:c r="H17" s="74" t="str">
        <x:v>Main</x:v>
      </x:c>
      <x:c r="I17" s="75" t="str">
        <x:v>RandomForest</x:v>
      </x:c>
      <x:c r="J17" s="143" t="n">
        <x:v>0</x:v>
      </x:c>
      <x:c r="K17" s="143" t="n">
        <x:v>0.021264123381673727</x:v>
      </x:c>
      <x:c r="L17" s="144" t="n">
        <x:v>0</x:v>
      </x:c>
    </x:row>
    <x:row r="18">
      <x:c r="A18" s="74" t="str">
        <x:v>Main</x:v>
      </x:c>
      <x:c r="B18" s="75" t="str">
        <x:v>Bayesian_GLM_Laplace</x:v>
      </x:c>
      <x:c r="C18" s="113" t="n">
        <x:v>0.8278781548799017</x:v>
      </x:c>
      <x:c r="D18" s="113" t="n">
        <x:v>-0.37744248675039316</x:v>
      </x:c>
      <x:c r="E18" s="113" t="n">
        <x:v>0.0900004817970566</x:v>
      </x:c>
      <x:c r="F18" s="141" t="n">
        <x:v>0.3250856505680599</x:v>
      </x:c>
      <x:c r="H18" s="74" t="str">
        <x:v>Main</x:v>
      </x:c>
      <x:c r="I18" s="75" t="str">
        <x:v>RollingFrequency</x:v>
      </x:c>
      <x:c r="J18" s="143" t="n">
        <x:v>0</x:v>
      </x:c>
      <x:c r="K18" s="143" t="n">
        <x:v>0.002624222519468009</x:v>
      </x:c>
      <x:c r="L18" s="144" t="n">
        <x:v>0</x:v>
      </x:c>
    </x:row>
    <x:row r="19">
      <x:c r="A19" s="74" t="str">
        <x:v>Euro</x:v>
      </x:c>
      <x:c r="B19" s="75" t="str">
        <x:v>FullFrequency</x:v>
      </x:c>
      <x:c r="C19" s="113" t="n">
        <x:v>0.2873542420392208</x:v>
      </x:c>
      <x:c r="D19" s="113" t="n">
        <x:v>-1.0783367300091355</x:v>
      </x:c>
      <x:c r="E19" s="113" t="n">
        <x:v>0.1477759092380332</x:v>
      </x:c>
      <x:c r="F19" s="141" t="n">
        <x:v>0.4718569239230232</x:v>
      </x:c>
      <x:c r="H19" s="74" t="str">
        <x:v>Main</x:v>
      </x:c>
      <x:c r="I19" s="75" t="str">
        <x:v>Uniform</x:v>
      </x:c>
      <x:c r="J19" s="143" t="n">
        <x:v>1</x:v>
      </x:c>
      <x:c r="K19" s="143" t="n">
        <x:v>0.4982620759218043</x:v>
      </x:c>
      <x:c r="L19" s="144" t="n">
        <x:v>1</x:v>
      </x:c>
    </x:row>
    <x:row r="20">
      <x:c r="A20" s="74" t="str">
        <x:v>Euro</x:v>
      </x:c>
      <x:c r="B20" s="75" t="str">
        <x:v>RollingFrequency</x:v>
      </x:c>
      <x:c r="C20" s="113" t="n">
        <x:v>0.10287498869192323</x:v>
      </x:c>
      <x:c r="D20" s="113" t="n">
        <x:v>-1.3582209096560987</x:v>
      </x:c>
      <x:c r="E20" s="113" t="n">
        <x:v>0.147721283257301</x:v>
      </x:c>
      <x:c r="F20" s="141" t="n">
        <x:v>0.4716667342134702</x:v>
      </x:c>
      <x:c r="H20" s="74" t="str">
        <x:v>Euro</x:v>
      </x:c>
      <x:c r="I20" s="75" t="str">
        <x:v>Bayesian_GLM_Laplace</x:v>
      </x:c>
      <x:c r="J20" s="143" t="n">
        <x:v>0.18521522310416602</x:v>
      </x:c>
      <x:c r="K20" s="143" t="n">
        <x:v>0.08084968642345203</x:v>
      </x:c>
      <x:c r="L20" s="144" t="n">
        <x:v>0</x:v>
      </x:c>
    </x:row>
    <x:row r="21">
      <x:c r="A21" s="74" t="str">
        <x:v>Euro</x:v>
      </x:c>
      <x:c r="B21" s="75" t="str">
        <x:v>EWMA</x:v>
      </x:c>
      <x:c r="C21" s="113" t="n">
        <x:v>0.12503775711387413</x:v>
      </x:c>
      <x:c r="D21" s="113" t="n">
        <x:v>-1.3248080737481054</x:v>
      </x:c>
      <x:c r="E21" s="113" t="n">
        <x:v>0.14777306624667025</x:v>
      </x:c>
      <x:c r="F21" s="141" t="n">
        <x:v>0.4718331566859645</x:v>
      </x:c>
      <x:c r="H21" s="74" t="str">
        <x:v>Euro</x:v>
      </x:c>
      <x:c r="I21" s="75" t="str">
        <x:v>BetaBinomial</x:v>
      </x:c>
      <x:c r="J21" s="143" t="n">
        <x:v>0</x:v>
      </x:c>
      <x:c r="K21" s="143" t="n">
        <x:v>0.02143657402098459</x:v>
      </x:c>
      <x:c r="L21" s="144" t="n">
        <x:v>0</x:v>
      </x:c>
    </x:row>
    <x:row r="22">
      <x:c r="A22" s="74" t="str">
        <x:v>Euro</x:v>
      </x:c>
      <x:c r="B22" s="75" t="str">
        <x:v>BetaBinomial</x:v>
      </x:c>
      <x:c r="C22" s="113" t="n">
        <x:v>0.30299067377596944</x:v>
      </x:c>
      <x:c r="D22" s="113" t="n">
        <x:v>-1.0547850661193385</x:v>
      </x:c>
      <x:c r="E22" s="113" t="n">
        <x:v>0.14775764845627365</x:v>
      </x:c>
      <x:c r="F22" s="141" t="n">
        <x:v>0.47179607022401154</x:v>
      </x:c>
      <x:c r="H22" s="74" t="str">
        <x:v>Euro</x:v>
      </x:c>
      <x:c r="I22" s="75" t="str">
        <x:v>DynamicState</x:v>
      </x:c>
      <x:c r="J22" s="143" t="n">
        <x:v>0</x:v>
      </x:c>
      <x:c r="K22" s="143" t="n">
        <x:v>0.05927027543059414</x:v>
      </x:c>
      <x:c r="L22" s="144" t="n">
        <x:v>0</x:v>
      </x:c>
    </x:row>
    <x:row r="23">
      <x:c r="A23" s="74" t="str">
        <x:v>Euro</x:v>
      </x:c>
      <x:c r="B23" s="75" t="str">
        <x:v>HierarchicalBayes</x:v>
      </x:c>
      <x:c r="C23" s="113" t="n">
        <x:v>0.21636558714309348</x:v>
      </x:c>
      <x:c r="D23" s="113" t="n">
        <x:v>-1.1857537041248005</x:v>
      </x:c>
      <x:c r="E23" s="113" t="n">
        <x:v>0.14789789677629223</x:v>
      </x:c>
      <x:c r="F23" s="141" t="n">
        <x:v>0.4722530595928453</x:v>
      </x:c>
      <x:c r="H23" s="74" t="str">
        <x:v>Euro</x:v>
      </x:c>
      <x:c r="I23" s="75" t="str">
        <x:v>EWMA</x:v>
      </x:c>
      <x:c r="J23" s="143" t="n">
        <x:v>0</x:v>
      </x:c>
      <x:c r="K23" s="143" t="n">
        <x:v>0.020182351688411638</x:v>
      </x:c>
      <x:c r="L23" s="144" t="n">
        <x:v>0</x:v>
      </x:c>
    </x:row>
    <x:row r="24">
      <x:c r="A24" s="74" t="str">
        <x:v>Euro</x:v>
      </x:c>
      <x:c r="B24" s="75" t="str">
        <x:v>DynamicState</x:v>
      </x:c>
      <x:c r="C24" s="113" t="n">
        <x:v>0.4917130474845221</x:v>
      </x:c>
      <x:c r="D24" s="113" t="n">
        <x:v>-0.7686866468917668</x:v>
      </x:c>
      <x:c r="E24" s="113" t="n">
        <x:v>0.14749757147298315</x:v>
      </x:c>
      <x:c r="F24" s="141" t="n">
        <x:v>0.47094200592338425</x:v>
      </x:c>
      <x:c r="H24" s="74" t="str">
        <x:v>Euro</x:v>
      </x:c>
      <x:c r="I24" s="75" t="str">
        <x:v>ElasticNet</x:v>
      </x:c>
      <x:c r="J24" s="143" t="n">
        <x:v>0.1563066031154922</x:v>
      </x:c>
      <x:c r="K24" s="143" t="n">
        <x:v>0.13940991284067583</x:v>
      </x:c>
      <x:c r="L24" s="144" t="n">
        <x:v>0</x:v>
      </x:c>
    </x:row>
    <x:row r="25">
      <x:c r="A25" s="74" t="str">
        <x:v>Euro</x:v>
      </x:c>
      <x:c r="B25" s="75" t="str">
        <x:v>Logistic_L2</x:v>
      </x:c>
      <x:c r="C25" s="113" t="n">
        <x:v>0.5868779574249486</x:v>
      </x:c>
      <x:c r="D25" s="113" t="n">
        <x:v>-0.624356221751686</x:v>
      </x:c>
      <x:c r="E25" s="113" t="n">
        <x:v>0.1474160481843143</x:v>
      </x:c>
      <x:c r="F25" s="141" t="n">
        <x:v>0.47067121062557327</x:v>
      </x:c>
      <x:c r="H25" s="74" t="str">
        <x:v>Euro</x:v>
      </x:c>
      <x:c r="I25" s="75" t="str">
        <x:v>ExtraTrees</x:v>
      </x:c>
      <x:c r="J25" s="143" t="n">
        <x:v>0</x:v>
      </x:c>
      <x:c r="K25" s="143" t="n">
        <x:v>0.023630238382598253</x:v>
      </x:c>
      <x:c r="L25" s="144" t="n">
        <x:v>0</x:v>
      </x:c>
    </x:row>
    <x:row r="26">
      <x:c r="A26" s="74" t="str">
        <x:v>Euro</x:v>
      </x:c>
      <x:c r="B26" s="75" t="str">
        <x:v>ElasticNet</x:v>
      </x:c>
      <x:c r="C26" s="113" t="n">
        <x:v>0.633786970770427</x:v>
      </x:c>
      <x:c r="D26" s="113" t="n">
        <x:v>-0.5528482418462521</x:v>
      </x:c>
      <x:c r="E26" s="113" t="n">
        <x:v>0.14727884525089852</x:v>
      </x:c>
      <x:c r="F26" s="141" t="n">
        <x:v>0.4702472815944984</x:v>
      </x:c>
      <x:c r="H26" s="74" t="str">
        <x:v>Euro</x:v>
      </x:c>
      <x:c r="I26" s="75" t="str">
        <x:v>FullFrequency</x:v>
      </x:c>
      <x:c r="J26" s="143" t="n">
        <x:v>0</x:v>
      </x:c>
      <x:c r="K26" s="143" t="n">
        <x:v>0.01995922141133335</x:v>
      </x:c>
      <x:c r="L26" s="144" t="n">
        <x:v>0</x:v>
      </x:c>
    </x:row>
    <x:row r="27">
      <x:c r="A27" s="74" t="str">
        <x:v>Euro</x:v>
      </x:c>
      <x:c r="B27" s="75" t="str">
        <x:v>GradientBoosting</x:v>
      </x:c>
      <x:c r="C27" s="113" t="n">
        <x:v>0.2476326336309513</x:v>
      </x:c>
      <x:c r="D27" s="113" t="n">
        <x:v>-1.138151186147632</x:v>
      </x:c>
      <x:c r="E27" s="113" t="n">
        <x:v>0.14769475068004984</x:v>
      </x:c>
      <x:c r="F27" s="141" t="n">
        <x:v>0.4715994561614574</x:v>
      </x:c>
      <x:c r="H27" s="74" t="str">
        <x:v>Euro</x:v>
      </x:c>
      <x:c r="I27" s="75" t="str">
        <x:v>GradientBoosting</x:v>
      </x:c>
      <x:c r="J27" s="143" t="n">
        <x:v>0</x:v>
      </x:c>
      <x:c r="K27" s="143" t="n">
        <x:v>0.02741403333166876</x:v>
      </x:c>
      <x:c r="L27" s="144" t="n">
        <x:v>0</x:v>
      </x:c>
    </x:row>
    <x:row r="28">
      <x:c r="A28" s="74" t="str">
        <x:v>Euro</x:v>
      </x:c>
      <x:c r="B28" s="75" t="str">
        <x:v>RandomForest</x:v>
      </x:c>
      <x:c r="C28" s="113" t="n">
        <x:v>0.13356671494520544</x:v>
      </x:c>
      <x:c r="D28" s="113" t="n">
        <x:v>-1.3112702874365896</x:v>
      </x:c>
      <x:c r="E28" s="113" t="n">
        <x:v>0.1481712144692399</x:v>
      </x:c>
      <x:c r="F28" s="141" t="n">
        <x:v>0.47322094505966367</x:v>
      </x:c>
      <x:c r="H28" s="74" t="str">
        <x:v>Euro</x:v>
      </x:c>
      <x:c r="I28" s="75" t="str">
        <x:v>HierarchicalBayes</x:v>
      </x:c>
      <x:c r="J28" s="143" t="n">
        <x:v>0</x:v>
      </x:c>
      <x:c r="K28" s="143" t="n">
        <x:v>0.01238726772958466</x:v>
      </x:c>
      <x:c r="L28" s="144" t="n">
        <x:v>0</x:v>
      </x:c>
    </x:row>
    <x:row r="29">
      <x:c r="A29" s="74" t="str">
        <x:v>Euro</x:v>
      </x:c>
      <x:c r="B29" s="75" t="str">
        <x:v>ExtraTrees</x:v>
      </x:c>
      <x:c r="C29" s="113" t="n">
        <x:v>0.27106745627609485</x:v>
      </x:c>
      <x:c r="D29" s="113" t="n">
        <x:v>-1.103508244352468</x:v>
      </x:c>
      <x:c r="E29" s="113" t="n">
        <x:v>0.14773273329869982</x:v>
      </x:c>
      <x:c r="F29" s="141" t="n">
        <x:v>0.4716693019498337</x:v>
      </x:c>
      <x:c r="H29" s="74" t="str">
        <x:v>Euro</x:v>
      </x:c>
      <x:c r="I29" s="75" t="str">
        <x:v>HistGradientBoosting</x:v>
      </x:c>
      <x:c r="J29" s="143" t="n">
        <x:v>0</x:v>
      </x:c>
      <x:c r="K29" s="143" t="n">
        <x:v>0.005038483666530129</x:v>
      </x:c>
      <x:c r="L29" s="144" t="n">
        <x:v>0</x:v>
      </x:c>
    </x:row>
    <x:row r="30">
      <x:c r="A30" s="74" t="str">
        <x:v>Euro</x:v>
      </x:c>
      <x:c r="B30" s="75" t="str">
        <x:v>HistGradientBoosting</x:v>
      </x:c>
      <x:c r="C30" s="113" t="n">
        <x:v>0.14992135017419844</x:v>
      </x:c>
      <x:c r="D30" s="113" t="n">
        <x:v>-1.2844521938461804</x:v>
      </x:c>
      <x:c r="E30" s="113" t="n">
        <x:v>0.14812793976871969</x:v>
      </x:c>
      <x:c r="F30" s="141" t="n">
        <x:v>0.47298227285860556</x:v>
      </x:c>
      <x:c r="H30" s="74" t="str">
        <x:v>Euro</x:v>
      </x:c>
      <x:c r="I30" s="75" t="str">
        <x:v>Logistic_L2</x:v>
      </x:c>
      <x:c r="J30" s="143" t="n">
        <x:v>0.05847817378034179</x:v>
      </x:c>
      <x:c r="K30" s="143" t="n">
        <x:v>0.0815240408757206</x:v>
      </x:c>
      <x:c r="L30" s="144" t="n">
        <x:v>0</x:v>
      </x:c>
    </x:row>
    <x:row r="31">
      <x:c r="A31" s="76" t="str">
        <x:v>Euro</x:v>
      </x:c>
      <x:c r="B31" s="77" t="str">
        <x:v>Bayesian_GLM_Laplace</x:v>
      </x:c>
      <x:c r="C31" s="114" t="n">
        <x:v>0.6972771574814457</x:v>
      </x:c>
      <x:c r="D31" s="114" t="n">
        <x:v>-0.4576302306208956</x:v>
      </x:c>
      <x:c r="E31" s="114" t="n">
        <x:v>0.1474181723183441</x:v>
      </x:c>
      <x:c r="F31" s="56" t="n">
        <x:v>0.47069482969391824</x:v>
      </x:c>
      <x:c r="H31" s="74" t="str">
        <x:v>Euro</x:v>
      </x:c>
      <x:c r="I31" s="75" t="str">
        <x:v>RandomForest</x:v>
      </x:c>
      <x:c r="J31" s="143" t="n">
        <x:v>0</x:v>
      </x:c>
      <x:c r="K31" s="143" t="n">
        <x:v>0.004254099315959037</x:v>
      </x:c>
      <x:c r="L31" s="144" t="n">
        <x:v>0</x:v>
      </x:c>
    </x:row>
    <x:row r="32">
      <x:c r="H32" s="74" t="str">
        <x:v>Euro</x:v>
      </x:c>
      <x:c r="I32" s="75" t="str">
        <x:v>RollingFrequency</x:v>
      </x:c>
      <x:c r="J32" s="143" t="n">
        <x:v>0</x:v>
      </x:c>
      <x:c r="K32" s="143" t="n">
        <x:v>0.0247123127917326</x:v>
      </x:c>
      <x:c r="L32" s="144" t="n">
        <x:v>0</x:v>
      </x:c>
    </x:row>
    <x:row r="33">
      <x:c r="H33" s="76" t="str">
        <x:v>Euro</x:v>
      </x:c>
      <x:c r="I33" s="77" t="str">
        <x:v>Uniform</x:v>
      </x:c>
      <x:c r="J33" s="145" t="n">
        <x:v>0.6</x:v>
      </x:c>
      <x:c r="K33" s="145" t="n">
        <x:v>0.47993150209075436</x:v>
      </x:c>
      <x:c r="L33" s="146" t="n">
        <x:v>1</x:v>
      </x:c>
    </x:row>
    <x:row r="35">
      <x:c r="A35" s="119" t="str">
        <x:v>The previous package stated that calibration was present, but no calibration transform was applied. v3.1 uses cross-fitted Platt calibration. Candidate weights are not deployment weights: because the validation gate failed, the deployed model is exactly 100% uniform for both pools.</x:v>
      </x:c>
      <x:c r="B35" s="119"/>
      <x:c r="C35" s="119"/>
      <x:c r="D35" s="119"/>
      <x:c r="E35" s="119"/>
      <x:c r="F35" s="119"/>
      <x:c r="G35" s="119"/>
      <x:c r="H35" s="119"/>
      <x:c r="I35" s="119"/>
      <x:c r="J35" s="119"/>
      <x:c r="K35" s="119"/>
      <x:c r="L35" s="119"/>
      <x:c r="M35" s="119"/>
      <x:c r="N35" s="119"/>
    </x:row>
    <x:row r="36">
      <x:c r="A36" s="119"/>
      <x:c r="B36" s="119"/>
      <x:c r="C36" s="119"/>
      <x:c r="D36" s="119"/>
      <x:c r="E36" s="119"/>
      <x:c r="F36" s="119"/>
      <x:c r="G36" s="119"/>
      <x:c r="H36" s="119"/>
      <x:c r="I36" s="119"/>
      <x:c r="J36" s="119"/>
      <x:c r="K36" s="119"/>
      <x:c r="L36" s="119"/>
      <x:c r="M36" s="119"/>
      <x:c r="N36" s="119"/>
    </x:row>
    <x:row r="37">
      <x:c r="A37" s="119"/>
      <x:c r="B37" s="119"/>
      <x:c r="C37" s="119"/>
      <x:c r="D37" s="119"/>
      <x:c r="E37" s="119"/>
      <x:c r="F37" s="119"/>
      <x:c r="G37" s="119"/>
      <x:c r="H37" s="119"/>
      <x:c r="I37" s="119"/>
      <x:c r="J37" s="119"/>
      <x:c r="K37" s="119"/>
      <x:c r="L37" s="119"/>
      <x:c r="M37" s="119"/>
      <x:c r="N37" s="119"/>
    </x:row>
    <x:row r="38">
      <x:c r="A38" s="119"/>
      <x:c r="B38" s="119"/>
      <x:c r="C38" s="119"/>
      <x:c r="D38" s="119"/>
      <x:c r="E38" s="119"/>
      <x:c r="F38" s="119"/>
      <x:c r="G38" s="119"/>
      <x:c r="H38" s="119"/>
      <x:c r="I38" s="119"/>
      <x:c r="J38" s="119"/>
      <x:c r="K38" s="119"/>
      <x:c r="L38" s="119"/>
      <x:c r="M38" s="119"/>
      <x:c r="N38" s="119"/>
    </x:row>
  </x:sheetData>
  <x:mergeCells>
    <x:mergeCell ref="A1:N1"/>
    <x:mergeCell ref="A3:G3"/>
    <x:mergeCell ref="A3:N3"/>
    <x:mergeCell ref="A35:N38"/>
  </x:mergeCells>
  <x:conditionalFormatting sqref="L6:L33">
    <x:cfRule type="dataBar" priority="1">
      <x:dataBar>
        <x:cfvo type="min"/>
        <x:cfvo type="max"/>
        <x:color rgb="FF2E7D32"/>
      </x:dataBar>
      <x:extLst>
        <x:ext xmlns:x14="http://schemas.microsoft.com/office/spreadsheetml/2009/9/main" uri="{B025F937-C7B1-47D3-B67F-A62EFF666E3E}">
          <x14:id>{0BF2BF32-B54F-5B0B-FF18-9050CB72FFAC}</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0BF2BF32-B54F-5B0B-FF18-9050CB72FFAC}">
            <x14:dataBar gradient="1">
              <x14:cfvo type="min"/>
              <x14:cfvo type="max"/>
              <x14:fillColor rgb="FF2E7D32"/>
            </x14:dataBar>
          </x14:cfRule>
          <xm:sqref>L6:L33</xm:sqref>
        </x14:conditionalFormatting>
      </x14:conditionalFormattings>
    </x:ext>
  </x:extLst>
</x:worksheet>
</file>

<file path=xl/worksheets/sheet5.xml><?xml version="1.0" encoding="utf-8"?>
<x:worksheet xmlns:x="http://schemas.openxmlformats.org/spreadsheetml/2006/main">
  <x:sheetFormatPr defaultRowHeight="15"/>
  <x:cols>
    <x:col min="1" max="1" width="10" hidden="0" customWidth="1"/>
    <x:col min="2" max="2" width="28" hidden="0" customWidth="1"/>
    <x:col min="3" max="3" width="21" hidden="0" customWidth="1"/>
    <x:col min="4" max="4" width="18" hidden="0" customWidth="1"/>
    <x:col min="5" max="5" width="15" hidden="0" customWidth="1"/>
    <x:col min="6" max="6" width="14" hidden="0" customWidth="1"/>
    <x:col min="7" max="7" width="14" hidden="0" customWidth="1"/>
    <x:col min="8" max="8" width="14" hidden="0" customWidth="1"/>
    <x:col min="9" max="9" width="12" hidden="0" customWidth="1"/>
  </x:cols>
  <x:sheetData>
    <x:row r="1" ht="30" customHeight="1">
      <x:c r="A1" s="259" t="str">
        <x:v>Multiple-Model Reality Check and Bootstrap</x:v>
      </x:c>
      <x:c r="B1" s="259"/>
      <x:c r="C1" s="259"/>
      <x:c r="D1" s="259"/>
      <x:c r="E1" s="259"/>
      <x:c r="F1" s="259"/>
      <x:c r="G1" s="259"/>
      <x:c r="H1" s="259"/>
      <x:c r="I1" s="259"/>
      <x:c r="J1" s="259"/>
      <x:c r="K1" s="259"/>
      <x:c r="L1" s="259"/>
      <x:c r="M1" s="260"/>
      <x:c r="N1" s="260"/>
      <x:c r="O1" s="260"/>
      <x:c r="P1" s="260"/>
      <x:c r="Q1" s="260"/>
      <x:c r="R1" s="260"/>
      <x:c r="S1" s="260"/>
      <x:c r="T1" s="260"/>
      <x:c r="U1" s="260"/>
      <x:c r="V1" s="260"/>
      <x:c r="W1" s="260"/>
      <x:c r="X1" s="260"/>
      <x:c r="Y1" s="260"/>
      <x:c r="Z1" s="260"/>
    </x:row>
    <x:row r="3" ht="22" customHeight="1">
      <x:c r="A3" s="19" t="str">
        <x:v>MaxT Family-Wise Model Tests</x:v>
      </x:c>
      <x:c r="B3" s="19"/>
      <x:c r="C3" s="19"/>
      <x:c r="D3" s="19"/>
      <x:c r="E3" s="19"/>
      <x:c r="F3" s="19"/>
      <x:c r="G3" s="19"/>
      <x:c r="H3" s="19"/>
      <x:c r="I3" s="19"/>
      <x:c r="J3" s="19"/>
      <x:c r="K3" s="19"/>
      <x:c r="L3" s="19"/>
    </x:row>
    <x:row r="5">
      <x:c r="A5" s="95" t="str">
        <x:v>Pool</x:v>
      </x:c>
      <x:c r="B5" s="96" t="str">
        <x:v>Model</x:v>
      </x:c>
      <x:c r="C5" s="96" t="str">
        <x:v>Observed Brier Improvement</x:v>
      </x:c>
      <x:c r="D5" s="96" t="str">
        <x:v>MaxT-adjusted p</x:v>
      </x:c>
      <x:c r="E5" s="97" t="str">
        <x:v>Significant 5%</x:v>
      </x:c>
    </x:row>
    <x:row r="6">
      <x:c r="A6" s="74" t="str">
        <x:v>Main</x:v>
      </x:c>
      <x:c r="B6" s="75" t="str">
        <x:v>FullFrequency</x:v>
      </x:c>
      <x:c r="C6" s="133" t="n">
        <x:v>0.0000023106987744880847</x:v>
      </x:c>
      <x:c r="D6" s="133" t="n">
        <x:v>0.9460215913634547</x:v>
      </x:c>
      <x:c r="E6" s="35" t="str">
        <x:v>NO</x:v>
      </x:c>
    </x:row>
    <x:row r="7">
      <x:c r="A7" s="74" t="str">
        <x:v>Main</x:v>
      </x:c>
      <x:c r="B7" s="75" t="str">
        <x:v>RollingFrequency</x:v>
      </x:c>
      <x:c r="C7" s="133" t="n">
        <x:v>0.0000034489020598466036</x:v>
      </x:c>
      <x:c r="D7" s="133" t="n">
        <x:v>0.9068372650939625</x:v>
      </x:c>
      <x:c r="E7" s="35" t="str">
        <x:v>NO</x:v>
      </x:c>
    </x:row>
    <x:row r="8">
      <x:c r="A8" s="74" t="str">
        <x:v>Main</x:v>
      </x:c>
      <x:c r="B8" s="75" t="str">
        <x:v>EWMA</x:v>
      </x:c>
      <x:c r="C8" s="133" t="n">
        <x:v>0.000006726339981555363</x:v>
      </x:c>
      <x:c r="D8" s="133" t="n">
        <x:v>0.719312275089964</x:v>
      </x:c>
      <x:c r="E8" s="35" t="str">
        <x:v>NO</x:v>
      </x:c>
    </x:row>
    <x:row r="9">
      <x:c r="A9" s="74" t="str">
        <x:v>Main</x:v>
      </x:c>
      <x:c r="B9" s="75" t="str">
        <x:v>BetaBinomial</x:v>
      </x:c>
      <x:c r="C9" s="133" t="n">
        <x:v>0.000002307072320364978</x:v>
      </x:c>
      <x:c r="D9" s="133" t="n">
        <x:v>0.9460215913634547</x:v>
      </x:c>
      <x:c r="E9" s="35" t="str">
        <x:v>NO</x:v>
      </x:c>
    </x:row>
    <x:row r="10">
      <x:c r="A10" s="74" t="str">
        <x:v>Main</x:v>
      </x:c>
      <x:c r="B10" s="75" t="str">
        <x:v>HierarchicalBayes</x:v>
      </x:c>
      <x:c r="C10" s="133" t="n">
        <x:v>0.0000022502559980791537</x:v>
      </x:c>
      <x:c r="D10" s="133" t="n">
        <x:v>0.9464214314274291</x:v>
      </x:c>
      <x:c r="E10" s="35" t="str">
        <x:v>NO</x:v>
      </x:c>
    </x:row>
    <x:row r="11">
      <x:c r="A11" s="74" t="str">
        <x:v>Main</x:v>
      </x:c>
      <x:c r="B11" s="75" t="str">
        <x:v>DynamicState</x:v>
      </x:c>
      <x:c r="C11" s="133" t="n">
        <x:v>-0.000004054323558669304</x:v>
      </x:c>
      <x:c r="D11" s="133" t="n">
        <x:v>1</x:v>
      </x:c>
      <x:c r="E11" s="35" t="str">
        <x:v>NO</x:v>
      </x:c>
    </x:row>
    <x:row r="12">
      <x:c r="A12" s="74" t="str">
        <x:v>Main</x:v>
      </x:c>
      <x:c r="B12" s="75" t="str">
        <x:v>Logistic_L2</x:v>
      </x:c>
      <x:c r="C12" s="133" t="n">
        <x:v>-0.0000022178422066920778</x:v>
      </x:c>
      <x:c r="D12" s="133" t="n">
        <x:v>1</x:v>
      </x:c>
      <x:c r="E12" s="35" t="str">
        <x:v>NO</x:v>
      </x:c>
    </x:row>
    <x:row r="13">
      <x:c r="A13" s="74" t="str">
        <x:v>Main</x:v>
      </x:c>
      <x:c r="B13" s="75" t="str">
        <x:v>ElasticNet</x:v>
      </x:c>
      <x:c r="C13" s="133" t="n">
        <x:v>-2.390169555610555e-7</x:v>
      </x:c>
      <x:c r="D13" s="133" t="n">
        <x:v>1</x:v>
      </x:c>
      <x:c r="E13" s="35" t="str">
        <x:v>NO</x:v>
      </x:c>
    </x:row>
    <x:row r="14">
      <x:c r="A14" s="74" t="str">
        <x:v>Main</x:v>
      </x:c>
      <x:c r="B14" s="75" t="str">
        <x:v>GradientBoosting</x:v>
      </x:c>
      <x:c r="C14" s="133" t="n">
        <x:v>0.000004906816793395774</x:v>
      </x:c>
      <x:c r="D14" s="133" t="n">
        <x:v>0.8344662135145942</x:v>
      </x:c>
      <x:c r="E14" s="35" t="str">
        <x:v>NO</x:v>
      </x:c>
    </x:row>
    <x:row r="15">
      <x:c r="A15" s="74" t="str">
        <x:v>Main</x:v>
      </x:c>
      <x:c r="B15" s="75" t="str">
        <x:v>RandomForest</x:v>
      </x:c>
      <x:c r="C15" s="133" t="n">
        <x:v>5.181592843961358e-7</x:v>
      </x:c>
      <x:c r="D15" s="133" t="n">
        <x:v>0.9976009596161536</x:v>
      </x:c>
      <x:c r="E15" s="35" t="str">
        <x:v>NO</x:v>
      </x:c>
    </x:row>
    <x:row r="16">
      <x:c r="A16" s="74" t="str">
        <x:v>Main</x:v>
      </x:c>
      <x:c r="B16" s="75" t="str">
        <x:v>ExtraTrees</x:v>
      </x:c>
      <x:c r="C16" s="133" t="n">
        <x:v>-0.0000033177283412649805</x:v>
      </x:c>
      <x:c r="D16" s="133" t="n">
        <x:v>1</x:v>
      </x:c>
      <x:c r="E16" s="35" t="str">
        <x:v>NO</x:v>
      </x:c>
    </x:row>
    <x:row r="17">
      <x:c r="A17" s="74" t="str">
        <x:v>Main</x:v>
      </x:c>
      <x:c r="B17" s="75" t="str">
        <x:v>HistGradientBoosting</x:v>
      </x:c>
      <x:c r="C17" s="133" t="n">
        <x:v>0.000004433625690816734</x:v>
      </x:c>
      <x:c r="D17" s="133" t="n">
        <x:v>0.8612554978008796</x:v>
      </x:c>
      <x:c r="E17" s="35" t="str">
        <x:v>NO</x:v>
      </x:c>
    </x:row>
    <x:row r="18">
      <x:c r="A18" s="74" t="str">
        <x:v>Main</x:v>
      </x:c>
      <x:c r="B18" s="75" t="str">
        <x:v>Bayesian_GLM_Laplace</x:v>
      </x:c>
      <x:c r="C18" s="133" t="n">
        <x:v>2.401201303764422e-7</x:v>
      </x:c>
      <x:c r="D18" s="133" t="n">
        <x:v>0.9996001599360256</x:v>
      </x:c>
      <x:c r="E18" s="35" t="str">
        <x:v>NO</x:v>
      </x:c>
    </x:row>
    <x:row r="19">
      <x:c r="A19" s="74" t="str">
        <x:v>Main</x:v>
      </x:c>
      <x:c r="B19" s="75" t="str">
        <x:v>ProductionEnsemble</x:v>
      </x:c>
      <x:c r="C19" s="133" t="n">
        <x:v>0</x:v>
      </x:c>
      <x:c r="D19" s="133" t="n">
        <x:v>1</x:v>
      </x:c>
      <x:c r="E19" s="35" t="str">
        <x:v>NO</x:v>
      </x:c>
    </x:row>
    <x:row r="20">
      <x:c r="A20" s="74" t="str">
        <x:v>Euro</x:v>
      </x:c>
      <x:c r="B20" s="75" t="str">
        <x:v>FullFrequency</x:v>
      </x:c>
      <x:c r="C20" s="133" t="n">
        <x:v>0.00000776786479031455</x:v>
      </x:c>
      <x:c r="D20" s="133" t="n">
        <x:v>1</x:v>
      </x:c>
      <x:c r="E20" s="35" t="str">
        <x:v>NO</x:v>
      </x:c>
    </x:row>
    <x:row r="21">
      <x:c r="A21" s="74" t="str">
        <x:v>Euro</x:v>
      </x:c>
      <x:c r="B21" s="75" t="str">
        <x:v>RollingFrequency</x:v>
      </x:c>
      <x:c r="C21" s="133" t="n">
        <x:v>-0.00005303581494767173</x:v>
      </x:c>
      <x:c r="D21" s="133" t="n">
        <x:v>1</x:v>
      </x:c>
      <x:c r="E21" s="35" t="str">
        <x:v>NO</x:v>
      </x:c>
    </x:row>
    <x:row r="22">
      <x:c r="A22" s="74" t="str">
        <x:v>Euro</x:v>
      </x:c>
      <x:c r="B22" s="75" t="str">
        <x:v>EWMA</x:v>
      </x:c>
      <x:c r="C22" s="133" t="n">
        <x:v>-0.000021114943013239573</x:v>
      </x:c>
      <x:c r="D22" s="133" t="n">
        <x:v>1</x:v>
      </x:c>
      <x:c r="E22" s="35" t="str">
        <x:v>NO</x:v>
      </x:c>
    </x:row>
    <x:row r="23">
      <x:c r="A23" s="74" t="str">
        <x:v>Euro</x:v>
      </x:c>
      <x:c r="B23" s="75" t="str">
        <x:v>BetaBinomial</x:v>
      </x:c>
      <x:c r="C23" s="133" t="n">
        <x:v>0.0000071078216137554495</x:v>
      </x:c>
      <x:c r="D23" s="133" t="n">
        <x:v>1</x:v>
      </x:c>
      <x:c r="E23" s="35" t="str">
        <x:v>NO</x:v>
      </x:c>
    </x:row>
    <x:row r="24">
      <x:c r="A24" s="74" t="str">
        <x:v>Euro</x:v>
      </x:c>
      <x:c r="B24" s="75" t="str">
        <x:v>HierarchicalBayes</x:v>
      </x:c>
      <x:c r="C24" s="133" t="n">
        <x:v>-0.000011129570057277771</x:v>
      </x:c>
      <x:c r="D24" s="133" t="n">
        <x:v>1</x:v>
      </x:c>
      <x:c r="E24" s="35" t="str">
        <x:v>NO</x:v>
      </x:c>
    </x:row>
    <x:row r="25">
      <x:c r="A25" s="74" t="str">
        <x:v>Euro</x:v>
      </x:c>
      <x:c r="B25" s="75" t="str">
        <x:v>DynamicState</x:v>
      </x:c>
      <x:c r="C25" s="133" t="n">
        <x:v>-0.00002528885149324922</x:v>
      </x:c>
      <x:c r="D25" s="133" t="n">
        <x:v>1</x:v>
      </x:c>
      <x:c r="E25" s="35" t="str">
        <x:v>NO</x:v>
      </x:c>
    </x:row>
    <x:row r="26">
      <x:c r="A26" s="74" t="str">
        <x:v>Euro</x:v>
      </x:c>
      <x:c r="B26" s="75" t="str">
        <x:v>Logistic_L2</x:v>
      </x:c>
      <x:c r="C26" s="133" t="n">
        <x:v>-0.00007685720328048928</x:v>
      </x:c>
      <x:c r="D26" s="133" t="n">
        <x:v>1</x:v>
      </x:c>
      <x:c r="E26" s="35" t="str">
        <x:v>NO</x:v>
      </x:c>
    </x:row>
    <x:row r="27">
      <x:c r="A27" s="74" t="str">
        <x:v>Euro</x:v>
      </x:c>
      <x:c r="B27" s="75" t="str">
        <x:v>ElasticNet</x:v>
      </x:c>
      <x:c r="C27" s="133" t="n">
        <x:v>0.00008019184110136246</x:v>
      </x:c>
      <x:c r="D27" s="133" t="n">
        <x:v>0.5237904838064774</x:v>
      </x:c>
      <x:c r="E27" s="35" t="str">
        <x:v>NO</x:v>
      </x:c>
    </x:row>
    <x:row r="28">
      <x:c r="A28" s="74" t="str">
        <x:v>Euro</x:v>
      </x:c>
      <x:c r="B28" s="75" t="str">
        <x:v>GradientBoosting</x:v>
      </x:c>
      <x:c r="C28" s="133" t="n">
        <x:v>-0.000054168692001921315</x:v>
      </x:c>
      <x:c r="D28" s="133" t="n">
        <x:v>1</x:v>
      </x:c>
      <x:c r="E28" s="35" t="str">
        <x:v>NO</x:v>
      </x:c>
    </x:row>
    <x:row r="29">
      <x:c r="A29" s="74" t="str">
        <x:v>Euro</x:v>
      </x:c>
      <x:c r="B29" s="75" t="str">
        <x:v>RandomForest</x:v>
      </x:c>
      <x:c r="C29" s="133" t="n">
        <x:v>-0.00002276240910478733</x:v>
      </x:c>
      <x:c r="D29" s="133" t="n">
        <x:v>1</x:v>
      </x:c>
      <x:c r="E29" s="35" t="str">
        <x:v>NO</x:v>
      </x:c>
    </x:row>
    <x:row r="30">
      <x:c r="A30" s="74" t="str">
        <x:v>Euro</x:v>
      </x:c>
      <x:c r="B30" s="75" t="str">
        <x:v>ExtraTrees</x:v>
      </x:c>
      <x:c r="C30" s="133" t="n">
        <x:v>-0.00000998469070245811</x:v>
      </x:c>
      <x:c r="D30" s="133" t="n">
        <x:v>1</x:v>
      </x:c>
      <x:c r="E30" s="35" t="str">
        <x:v>NO</x:v>
      </x:c>
    </x:row>
    <x:row r="31">
      <x:c r="A31" s="74" t="str">
        <x:v>Euro</x:v>
      </x:c>
      <x:c r="B31" s="75" t="str">
        <x:v>HistGradientBoosting</x:v>
      </x:c>
      <x:c r="C31" s="133" t="n">
        <x:v>-0.000009136320886365956</x:v>
      </x:c>
      <x:c r="D31" s="133" t="n">
        <x:v>1</x:v>
      </x:c>
      <x:c r="E31" s="35" t="str">
        <x:v>NO</x:v>
      </x:c>
    </x:row>
    <x:row r="32">
      <x:c r="A32" s="74" t="str">
        <x:v>Euro</x:v>
      </x:c>
      <x:c r="B32" s="75" t="str">
        <x:v>Bayesian_GLM_Laplace</x:v>
      </x:c>
      <x:c r="C32" s="133" t="n">
        <x:v>-0.000005493476134821318</x:v>
      </x:c>
      <x:c r="D32" s="133" t="n">
        <x:v>1</x:v>
      </x:c>
      <x:c r="E32" s="35" t="str">
        <x:v>NO</x:v>
      </x:c>
    </x:row>
    <x:row r="33">
      <x:c r="A33" s="76" t="str">
        <x:v>Euro</x:v>
      </x:c>
      <x:c r="B33" s="77" t="str">
        <x:v>ProductionEnsemble</x:v>
      </x:c>
      <x:c r="C33" s="135" t="n">
        <x:v>0.00002563690339549285</x:v>
      </x:c>
      <x:c r="D33" s="135" t="n">
        <x:v>0.998000799680128</x:v>
      </x:c>
      <x:c r="E33" s="37" t="str">
        <x:v>NO</x:v>
      </x:c>
    </x:row>
    <x:row r="35" ht="22" customHeight="1">
      <x:c r="A35" s="19" t="str">
        <x:v>Block Bootstrap and Period Stability</x:v>
      </x:c>
      <x:c r="B35" s="19"/>
      <x:c r="C35" s="19"/>
      <x:c r="D35" s="19"/>
      <x:c r="E35" s="19"/>
      <x:c r="F35" s="19"/>
      <x:c r="G35" s="19"/>
      <x:c r="H35" s="19"/>
      <x:c r="I35" s="19"/>
      <x:c r="J35" s="19"/>
      <x:c r="K35" s="19"/>
      <x:c r="L35" s="19"/>
    </x:row>
    <x:row r="37">
      <x:c r="A37" s="95" t="str">
        <x:v>Pool</x:v>
      </x:c>
      <x:c r="B37" s="96" t="str">
        <x:v>Mean Improvement</x:v>
      </x:c>
      <x:c r="C37" s="96" t="str">
        <x:v>CI Low</x:v>
      </x:c>
      <x:c r="D37" s="96" t="str">
        <x:v>CI High</x:v>
      </x:c>
      <x:c r="E37" s="96" t="str">
        <x:v>P(&gt;0)</x:v>
      </x:c>
      <x:c r="F37" s="96" t="str">
        <x:v>Period 1</x:v>
      </x:c>
      <x:c r="G37" s="96" t="str">
        <x:v>Period 2</x:v>
      </x:c>
      <x:c r="H37" s="96" t="str">
        <x:v>Period 3</x:v>
      </x:c>
      <x:c r="I37" s="97" t="str">
        <x:v>Gate</x:v>
      </x:c>
    </x:row>
    <x:row r="38">
      <x:c r="A38" s="74" t="str">
        <x:v>Main</x:v>
      </x:c>
      <x:c r="B38" s="133" t="n">
        <x:v>0</x:v>
      </x:c>
      <x:c r="C38" s="133" t="n">
        <x:v>0</x:v>
      </x:c>
      <x:c r="D38" s="133" t="n">
        <x:v>0</x:v>
      </x:c>
      <x:c r="E38" s="151" t="n">
        <x:v>0</x:v>
      </x:c>
      <x:c r="F38" s="133" t="n">
        <x:v>0</x:v>
      </x:c>
      <x:c r="G38" s="133" t="n">
        <x:v>0</x:v>
      </x:c>
      <x:c r="H38" s="133" t="n">
        <x:v>0</x:v>
      </x:c>
      <x:c r="I38" s="35" t="str">
        <x:v>FAIL</x:v>
      </x:c>
    </x:row>
    <x:row r="39">
      <x:c r="A39" s="76" t="str">
        <x:v>Euro</x:v>
      </x:c>
      <x:c r="B39" s="135" t="n">
        <x:v>0.000025636903395483027</x:v>
      </x:c>
      <x:c r="C39" s="135" t="n">
        <x:v>-0.00003530236185524323</x:v>
      </x:c>
      <x:c r="D39" s="135" t="n">
        <x:v>0.00008734377855967239</x:v>
      </x:c>
      <x:c r="E39" s="152" t="n">
        <x:v>0.7953333333333333</x:v>
      </x:c>
      <x:c r="F39" s="135" t="n">
        <x:v>0.00007773776212296938</x:v>
      </x:c>
      <x:c r="G39" s="135" t="n">
        <x:v>-0.000017853950597795077</x:v>
      </x:c>
      <x:c r="H39" s="135" t="n">
        <x:v>0.000017026898661274782</x:v>
      </x:c>
      <x:c r="I39" s="37" t="str">
        <x:v>FAIL</x:v>
      </x:c>
    </x:row>
  </x:sheetData>
  <x:mergeCells>
    <x:mergeCell ref="A1:L1"/>
    <x:mergeCell ref="A3:L3"/>
    <x:mergeCell ref="A35:L35"/>
  </x:mergeCells>
  <x:conditionalFormatting sqref="E6:E33">
    <x:cfRule type="expression" dxfId="4" priority="1">
      <x:formula>E6="YES"</x:formula>
    </x:cfRule>
    <x:cfRule type="expression" dxfId="5" priority="2">
      <x:formula>E6="NO"</x:formula>
    </x:cfRule>
  </x:conditionalFormatting>
  <x:conditionalFormatting sqref="I38:I39">
    <x:cfRule type="expression" dxfId="6" priority="3">
      <x:formula>I38="FAIL"</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8" hidden="0" customWidth="1"/>
    <x:col min="3" max="3" width="24" hidden="0" customWidth="1"/>
    <x:col min="4" max="4" width="19" hidden="0" customWidth="1"/>
    <x:col min="5" max="5" width="20" hidden="0" customWidth="1"/>
    <x:col min="6" max="6" width="18" hidden="0" customWidth="1"/>
  </x:cols>
  <x:sheetData>
    <x:row r="1" ht="30" customHeight="1">
      <x:c r="A1" s="259" t="str">
        <x:v>Randomness and Structural-Breakpoint Audit</x:v>
      </x:c>
      <x:c r="B1" s="259"/>
      <x:c r="C1" s="259"/>
      <x:c r="D1" s="259"/>
      <x:c r="E1" s="259"/>
      <x:c r="F1" s="259"/>
      <x:c r="G1" s="259"/>
      <x:c r="H1" s="259"/>
      <x:c r="I1" s="259"/>
      <x:c r="J1" s="259"/>
      <x:c r="K1" s="259"/>
      <x:c r="L1" s="260"/>
      <x:c r="M1" s="260"/>
      <x:c r="N1" s="260"/>
      <x:c r="O1" s="260"/>
      <x:c r="P1" s="260"/>
      <x:c r="Q1" s="260"/>
      <x:c r="R1" s="260"/>
      <x:c r="S1" s="260"/>
      <x:c r="T1" s="260"/>
      <x:c r="U1" s="260"/>
      <x:c r="V1" s="260"/>
      <x:c r="W1" s="260"/>
      <x:c r="X1" s="260"/>
      <x:c r="Y1" s="260"/>
      <x:c r="Z1" s="260"/>
    </x:row>
    <x:row r="3">
      <x:c r="A3" s="95" t="str">
        <x:v>Pool</x:v>
      </x:c>
      <x:c r="B3" s="96" t="str">
        <x:v>Test</x:v>
      </x:c>
      <x:c r="C3" s="96" t="str">
        <x:v>Statistic / Observation</x:v>
      </x:c>
      <x:c r="D3" s="96" t="str">
        <x:v>Raw family-wise p</x:v>
      </x:c>
      <x:c r="E3" s="96" t="str">
        <x:v>Global Bonferroni p</x:v>
      </x:c>
      <x:c r="F3" s="97" t="str">
        <x:v>Decision</x:v>
      </x:c>
    </x:row>
    <x:row r="4">
      <x:c r="A4" s="74" t="str">
        <x:v>Main</x:v>
      </x:c>
      <x:c r="B4" s="75" t="str">
        <x:v>Marginal frequency max statistic</x:v>
      </x:c>
      <x:c r="C4" s="113" t="n">
        <x:v>2.081665999466133</x:v>
      </x:c>
      <x:c r="D4" s="113" t="n">
        <x:v>0.8780609695152424</x:v>
      </x:c>
      <x:c r="E4" s="113" t="n">
        <x:v>1</x:v>
      </x:c>
      <x:c r="F4" s="35" t="str">
        <x:v>NO ANOMALY</x:v>
      </x:c>
    </x:row>
    <x:row r="5">
      <x:c r="A5" s="74" t="str">
        <x:v>Main</x:v>
      </x:c>
      <x:c r="B5" s="75" t="str">
        <x:v>Consecutive overlap</x:v>
      </x:c>
      <x:c r="C5" s="113" t="n">
        <x:v>0.5010266940451745</x:v>
      </x:c>
      <x:c r="D5" s="113" t="n">
        <x:v>0.9795102448775612</x:v>
      </x:c>
      <x:c r="E5" s="113" t="n">
        <x:v>1</x:v>
      </x:c>
      <x:c r="F5" s="35" t="str">
        <x:v>NO ANOMALY</x:v>
      </x:c>
    </x:row>
    <x:row r="6">
      <x:c r="A6" s="74" t="str">
        <x:v>Main</x:v>
      </x:c>
      <x:c r="B6" s="75" t="str">
        <x:v>Tuesday vs Friday max statistic</x:v>
      </x:c>
      <x:c r="C6" s="113" t="n">
        <x:v>2.046580088489482</x:v>
      </x:c>
      <x:c r="D6" s="113" t="n">
        <x:v>0.8830584707646177</x:v>
      </x:c>
      <x:c r="E6" s="113" t="n">
        <x:v>1</x:v>
      </x:c>
      <x:c r="F6" s="35" t="str">
        <x:v>NO ANOMALY</x:v>
      </x:c>
    </x:row>
    <x:row r="7">
      <x:c r="A7" s="74" t="str">
        <x:v>Main</x:v>
      </x:c>
      <x:c r="B7" s="75" t="str">
        <x:v>March 2024 sensitivity breakpoint</x:v>
      </x:c>
      <x:c r="C7" s="113" t="n">
        <x:v>2.4920090405167676</x:v>
      </x:c>
      <x:c r="D7" s="113" t="n">
        <x:v>0.4617691154422789</x:v>
      </x:c>
      <x:c r="E7" s="113" t="n">
        <x:v>1</x:v>
      </x:c>
      <x:c r="F7" s="35" t="str">
        <x:v>NO ANOMALY</x:v>
      </x:c>
    </x:row>
    <x:row r="8">
      <x:c r="A8" s="74" t="str">
        <x:v>Euro</x:v>
      </x:c>
      <x:c r="B8" s="75" t="str">
        <x:v>Marginal frequency max statistic</x:v>
      </x:c>
      <x:c r="C8" s="113" t="n">
        <x:v>2.080180837783291</x:v>
      </x:c>
      <x:c r="D8" s="113" t="n">
        <x:v>0.4312843578210895</x:v>
      </x:c>
      <x:c r="E8" s="113" t="n">
        <x:v>1</x:v>
      </x:c>
      <x:c r="F8" s="35" t="str">
        <x:v>NO ANOMALY</x:v>
      </x:c>
    </x:row>
    <x:row r="9">
      <x:c r="A9" s="74" t="str">
        <x:v>Euro</x:v>
      </x:c>
      <x:c r="B9" s="75" t="str">
        <x:v>Consecutive overlap</x:v>
      </x:c>
      <x:c r="C9" s="113" t="n">
        <x:v>0.3407079646017699</x:v>
      </x:c>
      <x:c r="D9" s="113" t="n">
        <x:v>0.792103948025987</x:v>
      </x:c>
      <x:c r="E9" s="113" t="n">
        <x:v>1</x:v>
      </x:c>
      <x:c r="F9" s="35" t="str">
        <x:v>NO ANOMALY</x:v>
      </x:c>
    </x:row>
    <x:row r="10">
      <x:c r="A10" s="74" t="str">
        <x:v>Euro</x:v>
      </x:c>
      <x:c r="B10" s="75" t="str">
        <x:v>Tuesday vs Friday max statistic</x:v>
      </x:c>
      <x:c r="C10" s="113" t="n">
        <x:v>3.101747410498038</x:v>
      </x:c>
      <x:c r="D10" s="113" t="n">
        <x:v>0.026986506746626688</x:v>
      </x:c>
      <x:c r="E10" s="113" t="n">
        <x:v>0.2158920539730135</x:v>
      </x:c>
      <x:c r="F10" s="35" t="str">
        <x:v>NO ANOMALY</x:v>
      </x:c>
    </x:row>
    <x:row r="11">
      <x:c r="A11" s="76" t="str">
        <x:v>Euro</x:v>
      </x:c>
      <x:c r="B11" s="77" t="str">
        <x:v>March 2024 sensitivity breakpoint</x:v>
      </x:c>
      <x:c r="C11" s="114" t="n">
        <x:v>2.2294356687327186</x:v>
      </x:c>
      <x:c r="D11" s="114" t="n">
        <x:v>0.2478760619690155</x:v>
      </x:c>
      <x:c r="E11" s="114" t="n">
        <x:v>1</x:v>
      </x:c>
      <x:c r="F11" s="37" t="str">
        <x:v>NO ANOMALY</x:v>
      </x:c>
    </x:row>
    <x:row r="13">
      <x:c r="A13" s="157" t="str">
        <x:v>The smallest raw audit p-value was 0.026987. After correction across 8 prespecified audit families, the corrected p-value is 0.215892; no structural anomaly remains significant.</x:v>
      </x:c>
      <x:c r="B13" s="157"/>
      <x:c r="C13" s="157"/>
      <x:c r="D13" s="157"/>
      <x:c r="E13" s="157"/>
      <x:c r="F13" s="157"/>
    </x:row>
    <x:row r="14">
      <x:c r="A14" s="157"/>
      <x:c r="B14" s="157"/>
      <x:c r="C14" s="157"/>
      <x:c r="D14" s="157"/>
      <x:c r="E14" s="157"/>
      <x:c r="F14" s="157"/>
    </x:row>
    <x:row r="15">
      <x:c r="A15" s="157"/>
      <x:c r="B15" s="157"/>
      <x:c r="C15" s="157"/>
      <x:c r="D15" s="157"/>
      <x:c r="E15" s="157"/>
      <x:c r="F15" s="157"/>
    </x:row>
    <x:row r="16">
      <x:c r="A16" s="157"/>
      <x:c r="B16" s="157"/>
      <x:c r="C16" s="157"/>
      <x:c r="D16" s="157"/>
      <x:c r="E16" s="157"/>
      <x:c r="F16" s="157"/>
    </x:row>
  </x:sheetData>
  <x:mergeCells>
    <x:mergeCell ref="A1:K1"/>
    <x:mergeCell ref="A13:F16"/>
  </x:mergeCells>
  <x:conditionalFormatting sqref="F4:F11">
    <x:cfRule type="expression" dxfId="7" priority="1">
      <x:formula>F4="NO ANOMALY"</x:formula>
    </x:cfRule>
    <x:cfRule type="expression" dxfId="8" priority="2">
      <x:formula>F4="ANOMALY"</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55" hidden="0" customWidth="1"/>
    <x:col min="5" max="5" width="12" hidden="0" customWidth="1"/>
    <x:col min="6" max="6" width="16" hidden="0" customWidth="1"/>
    <x:col min="7" max="7" width="14" hidden="0" customWidth="1"/>
    <x:col min="8" max="8" width="14" hidden="0" customWidth="1"/>
    <x:col min="9" max="9" width="14" hidden="0" customWidth="1"/>
  </x:cols>
  <x:sheetData>
    <x:row r="1" ht="30" customHeight="1">
      <x:c r="A1" s="259" t="str">
        <x:v>Targeted Euro Weekday-Number Interaction Audit</x:v>
      </x:c>
      <x:c r="B1" s="259"/>
      <x:c r="C1" s="259"/>
      <x:c r="D1" s="259"/>
      <x:c r="E1" s="259"/>
      <x:c r="F1" s="259"/>
      <x:c r="G1" s="259"/>
      <x:c r="H1" s="259"/>
      <x:c r="I1" s="259"/>
      <x:c r="J1" s="259"/>
      <x:c r="K1" s="260"/>
      <x:c r="L1" s="260"/>
      <x:c r="M1" s="260"/>
      <x:c r="N1" s="260"/>
      <x:c r="O1" s="260"/>
      <x:c r="P1" s="260"/>
      <x:c r="Q1" s="260"/>
      <x:c r="R1" s="260"/>
      <x:c r="S1" s="260"/>
      <x:c r="T1" s="260"/>
      <x:c r="U1" s="260"/>
      <x:c r="V1" s="260"/>
      <x:c r="W1" s="260"/>
      <x:c r="X1" s="260"/>
      <x:c r="Y1" s="260"/>
      <x:c r="Z1" s="260"/>
    </x:row>
    <x:row r="3" ht="22" customHeight="1">
      <x:c r="A3" s="19" t="str">
        <x:v>Development Cross-Validation</x:v>
      </x:c>
      <x:c r="B3" s="19"/>
      <x:c r="C3" s="19"/>
      <x:c r="D3" s="19"/>
      <x:c r="E3" s="19"/>
      <x:c r="F3" s="19"/>
      <x:c r="G3" s="19"/>
      <x:c r="H3" s="19"/>
      <x:c r="I3" s="19"/>
      <x:c r="J3" s="19"/>
    </x:row>
    <x:row r="5">
      <x:c r="A5" s="32" t="str">
        <x:v>Euro number</x:v>
      </x:c>
      <x:c r="B5" s="33" t="str">
        <x:v>4</x:v>
      </x:c>
      <x:c r="E5" s="95" t="str">
        <x:v>C</x:v>
      </x:c>
      <x:c r="F5" s="96" t="str">
        <x:v>Mean Brier</x:v>
      </x:c>
      <x:c r="G5" s="96" t="str">
        <x:v>Fold 1</x:v>
      </x:c>
      <x:c r="H5" s="96" t="str">
        <x:v>Fold 2</x:v>
      </x:c>
      <x:c r="I5" s="97" t="str">
        <x:v>Fold 3</x:v>
      </x:c>
    </x:row>
    <x:row r="6">
      <x:c r="A6" s="34" t="str">
        <x:v>Tuesday draws</x:v>
      </x:c>
      <x:c r="B6" s="35" t="n">
        <x:v>226</x:v>
      </x:c>
      <x:c r="E6" s="74" t="n">
        <x:v>0.0003</x:v>
      </x:c>
      <x:c r="F6" s="175" t="n">
        <x:v>0.13888885610453197</x:v>
      </x:c>
      <x:c r="G6" s="175" t="n">
        <x:v>0.138887283685392</x:v>
      </x:c>
      <x:c r="H6" s="175" t="n">
        <x:v>0.13888999532153462</x:v>
      </x:c>
      <x:c r="I6" s="176" t="n">
        <x:v>0.1388892893066693</x:v>
      </x:c>
    </x:row>
    <x:row r="7">
      <x:c r="A7" s="34" t="str">
        <x:v>Friday draws</x:v>
      </x:c>
      <x:c r="B7" s="35" t="n">
        <x:v>227</x:v>
      </x:c>
      <x:c r="E7" s="74" t="n">
        <x:v>0.001</x:v>
      </x:c>
      <x:c r="F7" s="175" t="n">
        <x:v>0.1388891414205732</x:v>
      </x:c>
      <x:c r="G7" s="175" t="n">
        <x:v>0.13888382058809676</x:v>
      </x:c>
      <x:c r="H7" s="175" t="n">
        <x:v>0.13889300650406933</x:v>
      </x:c>
      <x:c r="I7" s="176" t="n">
        <x:v>0.1388905971695535</x:v>
      </x:c>
    </x:row>
    <x:row r="8">
      <x:c r="A8" s="34" t="str">
        <x:v>Tuesday occurrences / rate</x:v>
      </x:c>
      <x:c r="B8" s="35" t="str">
        <x:v>44 / 19.4690%</x:v>
      </x:c>
      <x:c r="E8" s="74" t="n">
        <x:v>0.003</x:v>
      </x:c>
      <x:c r="F8" s="175" t="n">
        <x:v>0.13889241202443042</x:v>
      </x:c>
      <x:c r="G8" s="175" t="n">
        <x:v>0.13887608749553687</x:v>
      </x:c>
      <x:c r="H8" s="175" t="n">
        <x:v>0.1389043169733828</x:v>
      </x:c>
      <x:c r="I8" s="176" t="n">
        <x:v>0.1388968316043716</x:v>
      </x:c>
    </x:row>
    <x:row r="9">
      <x:c r="A9" s="34" t="str">
        <x:v>Friday occurrences / rate</x:v>
      </x:c>
      <x:c r="B9" s="35" t="str">
        <x:v>21 / 9.2511%</x:v>
      </x:c>
      <x:c r="E9" s="74" t="n">
        <x:v>0.01</x:v>
      </x:c>
      <x:c r="F9" s="175" t="n">
        <x:v>0.13892195167876775</x:v>
      </x:c>
      <x:c r="G9" s="175" t="n">
        <x:v>0.13886744583966545</x:v>
      </x:c>
      <x:c r="H9" s="175" t="n">
        <x:v>0.13896498737472254</x:v>
      </x:c>
      <x:c r="I9" s="176" t="n">
        <x:v>0.13893342182191526</x:v>
      </x:c>
    </x:row>
    <x:row r="10">
      <x:c r="A10" s="36" t="str">
        <x:v>Interpretation</x:v>
      </x:c>
      <x:c r="B10" s="123" t="str">
        <x:v>Descriptive anomaly; not sufficient for prediction</x:v>
      </x:c>
      <x:c r="E10" s="74" t="n">
        <x:v>0.03</x:v>
      </x:c>
      <x:c r="F10" s="175" t="n">
        <x:v>0.13904499162237688</x:v>
      </x:c>
      <x:c r="G10" s="175" t="n">
        <x:v>0.13891535773804436</x:v>
      </x:c>
      <x:c r="H10" s="175" t="n">
        <x:v>0.1391684733233318</x:v>
      </x:c>
      <x:c r="I10" s="176" t="n">
        <x:v>0.1390511438057545</x:v>
      </x:c>
    </x:row>
    <x:row r="11">
      <x:c r="E11" s="74" t="n">
        <x:v>0.1</x:v>
      </x:c>
      <x:c r="F11" s="175" t="n">
        <x:v>0.1393498926200891</x:v>
      </x:c>
      <x:c r="G11" s="175" t="n">
        <x:v>0.1391130214951065</x:v>
      </x:c>
      <x:c r="H11" s="175" t="n">
        <x:v>0.13963423727361343</x:v>
      </x:c>
      <x:c r="I11" s="176" t="n">
        <x:v>0.1393024190915473</x:v>
      </x:c>
    </x:row>
    <x:row r="12" ht="22" customHeight="1">
      <x:c r="A12" s="19" t="str">
        <x:v>Nested Model Selection and Untouched Holdout</x:v>
      </x:c>
      <x:c r="B12" s="19"/>
      <x:c r="C12" s="19"/>
      <x:c r="D12" s="19"/>
      <x:c r="E12" s="169" t="n">
        <x:v>0.3</x:v>
      </x:c>
      <x:c r="F12" s="177" t="n">
        <x:v>0.13969194009481986</x:v>
      </x:c>
      <x:c r="G12" s="177" t="n">
        <x:v>0.1393245587683653</x:v>
      </x:c>
      <x:c r="H12" s="177" t="n">
        <x:v>0.14018691642091624</x:v>
      </x:c>
      <x:c r="I12" s="178" t="n">
        <x:v>0.13956434509517804</x:v>
      </x:c>
      <x:c r="J12" s="19"/>
    </x:row>
    <x:row r="14">
      <x:c r="A14" s="32" t="str">
        <x:v>Selected regularization C</x:v>
      </x:c>
      <x:c r="B14" s="33" t="n">
        <x:v>0.0003</x:v>
      </x:c>
    </x:row>
    <x:row r="15">
      <x:c r="A15" s="34" t="str">
        <x:v>Holdout draws</x:v>
      </x:c>
      <x:c r="B15" s="35" t="n">
        <x:v>195</x:v>
      </x:c>
    </x:row>
    <x:row r="16">
      <x:c r="A16" s="34" t="str">
        <x:v>Model Brier</x:v>
      </x:c>
      <x:c r="B16" s="161" t="n">
        <x:v>0.1388859986606943</x:v>
      </x:c>
    </x:row>
    <x:row r="17">
      <x:c r="A17" s="34" t="str">
        <x:v>Uniform Brier</x:v>
      </x:c>
      <x:c r="B17" s="161" t="n">
        <x:v>0.1388888888888889</x:v>
      </x:c>
    </x:row>
    <x:row r="18">
      <x:c r="A18" s="34" t="str">
        <x:v>Brier improvement</x:v>
      </x:c>
      <x:c r="B18" s="161" t="n">
        <x:v>0.0000028902281946074915</x:v>
      </x:c>
    </x:row>
    <x:row r="19">
      <x:c r="A19" s="34" t="str">
        <x:v>Model log loss</x:v>
      </x:c>
      <x:c r="B19" s="161" t="n">
        <x:v>0.45055080152406907</x:v>
      </x:c>
    </x:row>
    <x:row r="20">
      <x:c r="A20" s="34" t="str">
        <x:v>Uniform log loss</x:v>
      </x:c>
      <x:c r="B20" s="161" t="n">
        <x:v>0.45056120886630463</x:v>
      </x:c>
    </x:row>
    <x:row r="21">
      <x:c r="A21" s="34" t="str">
        <x:v>Average top-2 hits</x:v>
      </x:c>
      <x:c r="B21" s="161" t="n">
        <x:v>0.3641025641025641</x:v>
      </x:c>
    </x:row>
    <x:row r="22">
      <x:c r="A22" s="34" t="str">
        <x:v>Permutation p</x:v>
      </x:c>
      <x:c r="B22" s="161" t="n">
        <x:v>0.593940605939406</x:v>
      </x:c>
    </x:row>
    <x:row r="23">
      <x:c r="A23" s="34" t="str">
        <x:v>Block-bootstrap 95% CI</x:v>
      </x:c>
      <x:c r="B23" s="35" t="str">
        <x:v>-0.0000090305 to 0.0000149948</x:v>
      </x:c>
    </x:row>
    <x:row r="24">
      <x:c r="A24" s="36" t="str">
        <x:v>Conclusion</x:v>
      </x:c>
      <x:c r="B24" s="165" t="str">
        <x:v>Not a reliable predictive edge: holdout improvement is negligible, permutation p is not significant, and the block-bootstrap interval crosses zero.</x:v>
      </x:c>
    </x:row>
  </x:sheetData>
  <x:mergeCells>
    <x:mergeCell ref="A1:J1"/>
    <x:mergeCell ref="A3:F3"/>
    <x:mergeCell ref="A12:J12"/>
    <x:mergeCell ref="A3:J3"/>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16" hidden="0" customWidth="1"/>
    <x:col min="4" max="4" width="10" hidden="0" customWidth="1"/>
    <x:col min="5" max="5" width="18" hidden="0" customWidth="1"/>
    <x:col min="6" max="6" width="20" hidden="0" customWidth="1"/>
    <x:col min="7" max="7" width="12" hidden="0" customWidth="1"/>
    <x:col min="8" max="8" width="48" hidden="0" customWidth="1"/>
  </x:cols>
  <x:sheetData>
    <x:row r="1" ht="30" customHeight="1">
      <x:c r="A1" s="259" t="str">
        <x:v>Repeated Permutation Feature Screening</x:v>
      </x:c>
      <x:c r="B1" s="259"/>
      <x:c r="C1" s="259"/>
      <x:c r="D1" s="259"/>
      <x:c r="E1" s="259"/>
      <x:c r="F1" s="259"/>
      <x:c r="G1" s="259"/>
      <x:c r="H1" s="259"/>
      <x:c r="I1" s="259"/>
      <x:c r="J1" s="260"/>
      <x:c r="K1" s="260"/>
      <x:c r="L1" s="260"/>
      <x:c r="M1" s="260"/>
      <x:c r="N1" s="260"/>
      <x:c r="O1" s="260"/>
      <x:c r="P1" s="260"/>
      <x:c r="Q1" s="260"/>
      <x:c r="R1" s="260"/>
      <x:c r="S1" s="260"/>
      <x:c r="T1" s="260"/>
      <x:c r="U1" s="260"/>
      <x:c r="V1" s="260"/>
      <x:c r="W1" s="260"/>
      <x:c r="X1" s="260"/>
      <x:c r="Y1" s="260"/>
      <x:c r="Z1" s="260"/>
    </x:row>
    <x:row r="3">
      <x:c r="A3" s="95" t="str">
        <x:v>Pool</x:v>
      </x:c>
      <x:c r="B3" s="96" t="str">
        <x:v>Feature Group</x:v>
      </x:c>
      <x:c r="C3" s="96" t="str">
        <x:v>Selection Votes</x:v>
      </x:c>
      <x:c r="D3" s="96" t="str">
        <x:v>Runs</x:v>
      </x:c>
      <x:c r="E3" s="96" t="str">
        <x:v>Mean Δ Brier</x:v>
      </x:c>
      <x:c r="F3" s="96" t="str">
        <x:v>Median Permutation p</x:v>
      </x:c>
      <x:c r="G3" s="96" t="str">
        <x:v>Keep</x:v>
      </x:c>
      <x:c r="H3" s="97" t="str">
        <x:v>Notes</x:v>
      </x:c>
    </x:row>
    <x:row r="4">
      <x:c r="A4" s="74" t="str">
        <x:v>Main</x:v>
      </x:c>
      <x:c r="B4" s="75" t="str">
        <x:v>identity</x:v>
      </x:c>
      <x:c r="C4" s="75" t="n">
        <x:v>3</x:v>
      </x:c>
      <x:c r="D4" s="75" t="n">
        <x:v>3</x:v>
      </x:c>
      <x:c r="E4" s="113" t="n">
        <x:v>0</x:v>
      </x:c>
      <x:c r="F4" s="113" t="n">
        <x:v>0</x:v>
      </x:c>
      <x:c r="G4" s="75" t="str">
        <x:v>KEEP</x:v>
      </x:c>
      <x:c r="H4" s="35" t="str">
        <x:v>Retained in ≥2 cutoffs</x:v>
      </x:c>
    </x:row>
    <x:row r="5">
      <x:c r="A5" s="74" t="str">
        <x:v>Main</x:v>
      </x:c>
      <x:c r="B5" s="75" t="str">
        <x:v>frequency</x:v>
      </x:c>
      <x:c r="C5" s="75" t="n">
        <x:v>1</x:v>
      </x:c>
      <x:c r="D5" s="75" t="n">
        <x:v>3</x:v>
      </x:c>
      <x:c r="E5" s="113" t="n">
        <x:v>0.00001564550192773658</x:v>
      </x:c>
      <x:c r="F5" s="113" t="n">
        <x:v>0.4</x:v>
      </x:c>
      <x:c r="G5" s="75" t="str">
        <x:v>REMOVE</x:v>
      </x:c>
      <x:c r="H5" s="35" t="str">
        <x:v>Not reproducible</x:v>
      </x:c>
    </x:row>
    <x:row r="6">
      <x:c r="A6" s="74" t="str">
        <x:v>Main</x:v>
      </x:c>
      <x:c r="B6" s="75" t="str">
        <x:v>ewma</x:v>
      </x:c>
      <x:c r="C6" s="75" t="n">
        <x:v>1</x:v>
      </x:c>
      <x:c r="D6" s="75" t="n">
        <x:v>3</x:v>
      </x:c>
      <x:c r="E6" s="113" t="n">
        <x:v>-0.000005020210387358699</x:v>
      </x:c>
      <x:c r="F6" s="113" t="n">
        <x:v>0.7</x:v>
      </x:c>
      <x:c r="G6" s="75" t="str">
        <x:v>REMOVE</x:v>
      </x:c>
      <x:c r="H6" s="35" t="str">
        <x:v>Not reproducible</x:v>
      </x:c>
    </x:row>
    <x:row r="7">
      <x:c r="A7" s="74" t="str">
        <x:v>Main</x:v>
      </x:c>
      <x:c r="B7" s="75" t="str">
        <x:v>gap</x:v>
      </x:c>
      <x:c r="C7" s="75" t="n">
        <x:v>2</x:v>
      </x:c>
      <x:c r="D7" s="75" t="n">
        <x:v>3</x:v>
      </x:c>
      <x:c r="E7" s="113" t="n">
        <x:v>0.00002736562288392226</x:v>
      </x:c>
      <x:c r="F7" s="113" t="n">
        <x:v>0.1</x:v>
      </x:c>
      <x:c r="G7" s="75" t="str">
        <x:v>KEEP</x:v>
      </x:c>
      <x:c r="H7" s="35" t="str">
        <x:v>Retained in ≥2 cutoffs</x:v>
      </x:c>
    </x:row>
    <x:row r="8">
      <x:c r="A8" s="74" t="str">
        <x:v>Main</x:v>
      </x:c>
      <x:c r="B8" s="75" t="str">
        <x:v>trend</x:v>
      </x:c>
      <x:c r="C8" s="75" t="n">
        <x:v>0</x:v>
      </x:c>
      <x:c r="D8" s="75" t="n">
        <x:v>3</x:v>
      </x:c>
      <x:c r="E8" s="113" t="n">
        <x:v>-0.000011027465913380992</x:v>
      </x:c>
      <x:c r="F8" s="113" t="n">
        <x:v>0.725</x:v>
      </x:c>
      <x:c r="G8" s="75" t="str">
        <x:v>REMOVE</x:v>
      </x:c>
      <x:c r="H8" s="35" t="str">
        <x:v>Not reproducible</x:v>
      </x:c>
    </x:row>
    <x:row r="9">
      <x:c r="A9" s="74" t="str">
        <x:v>Main</x:v>
      </x:c>
      <x:c r="B9" s="75" t="str">
        <x:v>repeat_transition</x:v>
      </x:c>
      <x:c r="C9" s="75" t="n">
        <x:v>0</x:v>
      </x:c>
      <x:c r="D9" s="75" t="n">
        <x:v>3</x:v>
      </x:c>
      <x:c r="E9" s="113" t="n">
        <x:v>0.000004663419431575845</x:v>
      </x:c>
      <x:c r="F9" s="113" t="n">
        <x:v>0.3</x:v>
      </x:c>
      <x:c r="G9" s="75" t="str">
        <x:v>REMOVE</x:v>
      </x:c>
      <x:c r="H9" s="35" t="str">
        <x:v>Not reproducible</x:v>
      </x:c>
    </x:row>
    <x:row r="10">
      <x:c r="A10" s="74" t="str">
        <x:v>Main</x:v>
      </x:c>
      <x:c r="B10" s="75" t="str">
        <x:v>pair_triple</x:v>
      </x:c>
      <x:c r="C10" s="75" t="n">
        <x:v>0</x:v>
      </x:c>
      <x:c r="D10" s="75" t="n">
        <x:v>3</x:v>
      </x:c>
      <x:c r="E10" s="113" t="n">
        <x:v>4.824838172335572e-7</x:v>
      </x:c>
      <x:c r="F10" s="113" t="n">
        <x:v>0.45</x:v>
      </x:c>
      <x:c r="G10" s="75" t="str">
        <x:v>REMOVE</x:v>
      </x:c>
      <x:c r="H10" s="35" t="str">
        <x:v>Not reproducible</x:v>
      </x:c>
    </x:row>
    <x:row r="11">
      <x:c r="A11" s="74" t="str">
        <x:v>Main</x:v>
      </x:c>
      <x:c r="B11" s="75" t="str">
        <x:v>position</x:v>
      </x:c>
      <x:c r="C11" s="75" t="n">
        <x:v>0</x:v>
      </x:c>
      <x:c r="D11" s="75" t="n">
        <x:v>3</x:v>
      </x:c>
      <x:c r="E11" s="113" t="n">
        <x:v>-0.000012079988783909645</x:v>
      </x:c>
      <x:c r="F11" s="113" t="n">
        <x:v>0.725</x:v>
      </x:c>
      <x:c r="G11" s="75" t="str">
        <x:v>REMOVE</x:v>
      </x:c>
      <x:c r="H11" s="35" t="str">
        <x:v>Not reproducible</x:v>
      </x:c>
    </x:row>
    <x:row r="12">
      <x:c r="A12" s="74" t="str">
        <x:v>Main</x:v>
      </x:c>
      <x:c r="B12" s="75" t="str">
        <x:v>draw_composition</x:v>
      </x:c>
      <x:c r="C12" s="75" t="n">
        <x:v>1</x:v>
      </x:c>
      <x:c r="D12" s="75" t="n">
        <x:v>3</x:v>
      </x:c>
      <x:c r="E12" s="113" t="n">
        <x:v>0.00006026477192520755</x:v>
      </x:c>
      <x:c r="F12" s="113" t="n">
        <x:v>0.15</x:v>
      </x:c>
      <x:c r="G12" s="75" t="str">
        <x:v>REMOVE</x:v>
      </x:c>
      <x:c r="H12" s="35" t="str">
        <x:v>Not reproducible</x:v>
      </x:c>
    </x:row>
    <x:row r="13">
      <x:c r="A13" s="74" t="str">
        <x:v>Main</x:v>
      </x:c>
      <x:c r="B13" s="75" t="str">
        <x:v>rule_calendar</x:v>
      </x:c>
      <x:c r="C13" s="75" t="n">
        <x:v>0</x:v>
      </x:c>
      <x:c r="D13" s="75" t="n">
        <x:v>3</x:v>
      </x:c>
      <x:c r="E13" s="113" t="n">
        <x:v>0</x:v>
      </x:c>
      <x:c r="F13" s="113" t="n">
        <x:v>1</x:v>
      </x:c>
      <x:c r="G13" s="75" t="str">
        <x:v>REMOVE</x:v>
      </x:c>
      <x:c r="H13" s="35" t="str">
        <x:v>Draw-level constants require separate block/day audit</x:v>
      </x:c>
    </x:row>
    <x:row r="14">
      <x:c r="A14" s="74" t="str">
        <x:v>Euro</x:v>
      </x:c>
      <x:c r="B14" s="75" t="str">
        <x:v>identity</x:v>
      </x:c>
      <x:c r="C14" s="75" t="n">
        <x:v>3</x:v>
      </x:c>
      <x:c r="D14" s="75" t="n">
        <x:v>3</x:v>
      </x:c>
      <x:c r="E14" s="113" t="n">
        <x:v>0</x:v>
      </x:c>
      <x:c r="F14" s="113" t="n">
        <x:v>0</x:v>
      </x:c>
      <x:c r="G14" s="75" t="str">
        <x:v>KEEP</x:v>
      </x:c>
      <x:c r="H14" s="35" t="str">
        <x:v>Retained in ≥2 cutoffs</x:v>
      </x:c>
    </x:row>
    <x:row r="15">
      <x:c r="A15" s="74" t="str">
        <x:v>Euro</x:v>
      </x:c>
      <x:c r="B15" s="75" t="str">
        <x:v>frequency</x:v>
      </x:c>
      <x:c r="C15" s="75" t="n">
        <x:v>0</x:v>
      </x:c>
      <x:c r="D15" s="75" t="n">
        <x:v>3</x:v>
      </x:c>
      <x:c r="E15" s="113" t="n">
        <x:v>-0.00008883622861005989</x:v>
      </x:c>
      <x:c r="F15" s="113" t="n">
        <x:v>0.7</x:v>
      </x:c>
      <x:c r="G15" s="75" t="str">
        <x:v>REMOVE</x:v>
      </x:c>
      <x:c r="H15" s="35" t="str">
        <x:v>Not reproducible</x:v>
      </x:c>
    </x:row>
    <x:row r="16">
      <x:c r="A16" s="74" t="str">
        <x:v>Euro</x:v>
      </x:c>
      <x:c r="B16" s="75" t="str">
        <x:v>ewma</x:v>
      </x:c>
      <x:c r="C16" s="75" t="n">
        <x:v>0</x:v>
      </x:c>
      <x:c r="D16" s="75" t="n">
        <x:v>3</x:v>
      </x:c>
      <x:c r="E16" s="113" t="n">
        <x:v>-0.0001525624044770086</x:v>
      </x:c>
      <x:c r="F16" s="113" t="n">
        <x:v>0.825</x:v>
      </x:c>
      <x:c r="G16" s="75" t="str">
        <x:v>REMOVE</x:v>
      </x:c>
      <x:c r="H16" s="35" t="str">
        <x:v>Not reproducible</x:v>
      </x:c>
    </x:row>
    <x:row r="17">
      <x:c r="A17" s="74" t="str">
        <x:v>Euro</x:v>
      </x:c>
      <x:c r="B17" s="75" t="str">
        <x:v>gap</x:v>
      </x:c>
      <x:c r="C17" s="75" t="n">
        <x:v>0</x:v>
      </x:c>
      <x:c r="D17" s="75" t="n">
        <x:v>3</x:v>
      </x:c>
      <x:c r="E17" s="113" t="n">
        <x:v>0.0001492094873598017</x:v>
      </x:c>
      <x:c r="F17" s="113" t="n">
        <x:v>0.25</x:v>
      </x:c>
      <x:c r="G17" s="75" t="str">
        <x:v>REMOVE</x:v>
      </x:c>
      <x:c r="H17" s="35" t="str">
        <x:v>Not reproducible</x:v>
      </x:c>
    </x:row>
    <x:row r="18">
      <x:c r="A18" s="74" t="str">
        <x:v>Euro</x:v>
      </x:c>
      <x:c r="B18" s="75" t="str">
        <x:v>trend</x:v>
      </x:c>
      <x:c r="C18" s="75" t="n">
        <x:v>0</x:v>
      </x:c>
      <x:c r="D18" s="75" t="n">
        <x:v>3</x:v>
      </x:c>
      <x:c r="E18" s="113" t="n">
        <x:v>-0.00006226364026275896</x:v>
      </x:c>
      <x:c r="F18" s="113" t="n">
        <x:v>0.675</x:v>
      </x:c>
      <x:c r="G18" s="75" t="str">
        <x:v>REMOVE</x:v>
      </x:c>
      <x:c r="H18" s="35" t="str">
        <x:v>Not reproducible</x:v>
      </x:c>
    </x:row>
    <x:row r="19">
      <x:c r="A19" s="74" t="str">
        <x:v>Euro</x:v>
      </x:c>
      <x:c r="B19" s="75" t="str">
        <x:v>repeat_transition</x:v>
      </x:c>
      <x:c r="C19" s="75" t="n">
        <x:v>0</x:v>
      </x:c>
      <x:c r="D19" s="75" t="n">
        <x:v>3</x:v>
      </x:c>
      <x:c r="E19" s="113" t="n">
        <x:v>-0.000060809967952055145</x:v>
      </x:c>
      <x:c r="F19" s="113" t="n">
        <x:v>0.65</x:v>
      </x:c>
      <x:c r="G19" s="75" t="str">
        <x:v>REMOVE</x:v>
      </x:c>
      <x:c r="H19" s="35" t="str">
        <x:v>Not reproducible</x:v>
      </x:c>
    </x:row>
    <x:row r="20">
      <x:c r="A20" s="74" t="str">
        <x:v>Euro</x:v>
      </x:c>
      <x:c r="B20" s="75" t="str">
        <x:v>pair_triple</x:v>
      </x:c>
      <x:c r="C20" s="75" t="n">
        <x:v>3</x:v>
      </x:c>
      <x:c r="D20" s="75" t="n">
        <x:v>3</x:v>
      </x:c>
      <x:c r="E20" s="113" t="n">
        <x:v>0.0005962583096905589</x:v>
      </x:c>
      <x:c r="F20" s="113" t="n">
        <x:v>0.05</x:v>
      </x:c>
      <x:c r="G20" s="75" t="str">
        <x:v>KEEP</x:v>
      </x:c>
      <x:c r="H20" s="35" t="str">
        <x:v>Retained in ≥2 cutoffs</x:v>
      </x:c>
    </x:row>
    <x:row r="21">
      <x:c r="A21" s="74" t="str">
        <x:v>Euro</x:v>
      </x:c>
      <x:c r="B21" s="75" t="str">
        <x:v>position</x:v>
      </x:c>
      <x:c r="C21" s="75" t="n">
        <x:v>0</x:v>
      </x:c>
      <x:c r="D21" s="75" t="n">
        <x:v>3</x:v>
      </x:c>
      <x:c r="E21" s="113" t="n">
        <x:v>0.000027328038536915842</x:v>
      </x:c>
      <x:c r="F21" s="113" t="n">
        <x:v>0.2</x:v>
      </x:c>
      <x:c r="G21" s="75" t="str">
        <x:v>REMOVE</x:v>
      </x:c>
      <x:c r="H21" s="35" t="str">
        <x:v>Not reproducible</x:v>
      </x:c>
    </x:row>
    <x:row r="22">
      <x:c r="A22" s="74" t="str">
        <x:v>Euro</x:v>
      </x:c>
      <x:c r="B22" s="75" t="str">
        <x:v>draw_composition</x:v>
      </x:c>
      <x:c r="C22" s="75" t="n">
        <x:v>1</x:v>
      </x:c>
      <x:c r="D22" s="75" t="n">
        <x:v>3</x:v>
      </x:c>
      <x:c r="E22" s="113" t="n">
        <x:v>0.0002461728605005797</x:v>
      </x:c>
      <x:c r="F22" s="113" t="n">
        <x:v>0.225</x:v>
      </x:c>
      <x:c r="G22" s="75" t="str">
        <x:v>REMOVE</x:v>
      </x:c>
      <x:c r="H22" s="35" t="str">
        <x:v>Not reproducible</x:v>
      </x:c>
    </x:row>
    <x:row r="23">
      <x:c r="A23" s="76" t="str">
        <x:v>Euro</x:v>
      </x:c>
      <x:c r="B23" s="77" t="str">
        <x:v>rule_calendar</x:v>
      </x:c>
      <x:c r="C23" s="77" t="n">
        <x:v>0</x:v>
      </x:c>
      <x:c r="D23" s="77" t="n">
        <x:v>3</x:v>
      </x:c>
      <x:c r="E23" s="114" t="n">
        <x:v>0</x:v>
      </x:c>
      <x:c r="F23" s="114" t="n">
        <x:v>1</x:v>
      </x:c>
      <x:c r="G23" s="77" t="str">
        <x:v>REMOVE</x:v>
      </x:c>
      <x:c r="H23" s="37" t="str">
        <x:v>Draw-level constants require separate block/day audit</x:v>
      </x:c>
    </x:row>
  </x:sheetData>
  <x:mergeCells>
    <x:mergeCell ref="A1:I1"/>
  </x:mergeCells>
  <x:conditionalFormatting sqref="G4:G23">
    <x:cfRule type="expression" dxfId="9" priority="1">
      <x:formula>G4="KEEP"</x:formula>
    </x:cfRule>
    <x:cfRule type="expression" dxfId="10" priority="2">
      <x:formula>G4="REMOVE"</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0" hidden="0" customWidth="1"/>
    <x:col min="3" max="3" width="21" hidden="0" customWidth="1"/>
    <x:col min="4" max="4" width="20" hidden="0" customWidth="1"/>
    <x:col min="5" max="5" width="18" hidden="0" customWidth="1"/>
    <x:col min="6" max="6" width="14" hidden="0" customWidth="1"/>
    <x:col min="7" max="7" width="16" hidden="0" customWidth="1"/>
    <x:col min="8" max="8" width="18" hidden="0" customWidth="1"/>
  </x:cols>
  <x:sheetData>
    <x:row r="1" ht="30" customHeight="1">
      <x:c r="A1" s="259" t="str">
        <x:v>Next Draw: 2026-07-28 — Deployed vs Research</x:v>
      </x:c>
      <x:c r="B1" s="259"/>
      <x:c r="C1" s="259"/>
      <x:c r="D1" s="259"/>
      <x:c r="E1" s="259"/>
      <x:c r="F1" s="259"/>
      <x:c r="G1" s="259"/>
      <x:c r="H1" s="259"/>
      <x:c r="I1" s="259"/>
      <x:c r="J1" s="260"/>
      <x:c r="K1" s="260"/>
      <x:c r="L1" s="260"/>
      <x:c r="M1" s="260"/>
      <x:c r="N1" s="260"/>
      <x:c r="O1" s="260"/>
      <x:c r="P1" s="260"/>
      <x:c r="Q1" s="260"/>
      <x:c r="R1" s="260"/>
      <x:c r="S1" s="260"/>
      <x:c r="T1" s="260"/>
      <x:c r="U1" s="260"/>
      <x:c r="V1" s="260"/>
      <x:c r="W1" s="260"/>
      <x:c r="X1" s="260"/>
      <x:c r="Y1" s="260"/>
      <x:c r="Z1" s="260"/>
    </x:row>
    <x:row r="3">
      <x:c r="A3" s="95" t="str">
        <x:v>Pool</x:v>
      </x:c>
      <x:c r="B3" s="96" t="str">
        <x:v>Number</x:v>
      </x:c>
      <x:c r="C3" s="96" t="str">
        <x:v>Deployed Probability</x:v>
      </x:c>
      <x:c r="D3" s="96" t="str">
        <x:v>Research Probability</x:v>
      </x:c>
      <x:c r="E3" s="96" t="str">
        <x:v>Uniform Probability</x:v>
      </x:c>
      <x:c r="F3" s="96" t="str">
        <x:v>Research Rank</x:v>
      </x:c>
      <x:c r="G3" s="96" t="str">
        <x:v>Status</x:v>
      </x:c>
      <x:c r="H3" s="97" t="str">
        <x:v>Delta vs Uniform</x:v>
      </x:c>
    </x:row>
    <x:row r="4">
      <x:c r="A4" s="74" t="str">
        <x:v>Main</x:v>
      </x:c>
      <x:c r="B4" s="75" t="n">
        <x:v>1</x:v>
      </x:c>
      <x:c r="C4" s="143" t="n">
        <x:v>0.1</x:v>
      </x:c>
      <x:c r="D4" s="143" t="n">
        <x:v>0.09987678976149147</x:v>
      </x:c>
      <x:c r="E4" s="143" t="n">
        <x:v>0.1</x:v>
      </x:c>
      <x:c r="F4" s="75" t="n">
        <x:v>33</x:v>
      </x:c>
      <x:c r="G4" s="75" t="str">
        <x:v>Uniform mode</x:v>
      </x:c>
      <x:c r="H4" s="183" t="n">
        <x:v>-0.00012321023850853097</x:v>
      </x:c>
    </x:row>
    <x:row r="5">
      <x:c r="A5" s="74" t="str">
        <x:v>Main</x:v>
      </x:c>
      <x:c r="B5" s="75" t="n">
        <x:v>2</x:v>
      </x:c>
      <x:c r="C5" s="143" t="n">
        <x:v>0.1</x:v>
      </x:c>
      <x:c r="D5" s="143" t="n">
        <x:v>0.1001495319395483</x:v>
      </x:c>
      <x:c r="E5" s="143" t="n">
        <x:v>0.1</x:v>
      </x:c>
      <x:c r="F5" s="75" t="n">
        <x:v>15</x:v>
      </x:c>
      <x:c r="G5" s="75" t="str">
        <x:v>Uniform mode</x:v>
      </x:c>
      <x:c r="H5" s="183" t="n">
        <x:v>0.0001495319395482947</x:v>
      </x:c>
    </x:row>
    <x:row r="6">
      <x:c r="A6" s="74" t="str">
        <x:v>Main</x:v>
      </x:c>
      <x:c r="B6" s="75" t="n">
        <x:v>3</x:v>
      </x:c>
      <x:c r="C6" s="143" t="n">
        <x:v>0.1</x:v>
      </x:c>
      <x:c r="D6" s="143" t="n">
        <x:v>0.10015154311951638</x:v>
      </x:c>
      <x:c r="E6" s="143" t="n">
        <x:v>0.1</x:v>
      </x:c>
      <x:c r="F6" s="75" t="n">
        <x:v>14</x:v>
      </x:c>
      <x:c r="G6" s="75" t="str">
        <x:v>Uniform mode</x:v>
      </x:c>
      <x:c r="H6" s="183" t="n">
        <x:v>0.000151543119516373</x:v>
      </x:c>
    </x:row>
    <x:row r="7">
      <x:c r="A7" s="74" t="str">
        <x:v>Main</x:v>
      </x:c>
      <x:c r="B7" s="75" t="n">
        <x:v>4</x:v>
      </x:c>
      <x:c r="C7" s="143" t="n">
        <x:v>0.1</x:v>
      </x:c>
      <x:c r="D7" s="143" t="n">
        <x:v>0.09968174730503979</x:v>
      </x:c>
      <x:c r="E7" s="143" t="n">
        <x:v>0.1</x:v>
      </x:c>
      <x:c r="F7" s="75" t="n">
        <x:v>44</x:v>
      </x:c>
      <x:c r="G7" s="75" t="str">
        <x:v>Uniform mode</x:v>
      </x:c>
      <x:c r="H7" s="183" t="n">
        <x:v>-0.00031825269496021935</x:v>
      </x:c>
    </x:row>
    <x:row r="8">
      <x:c r="A8" s="74" t="str">
        <x:v>Main</x:v>
      </x:c>
      <x:c r="B8" s="75" t="n">
        <x:v>5</x:v>
      </x:c>
      <x:c r="C8" s="143" t="n">
        <x:v>0.1</x:v>
      </x:c>
      <x:c r="D8" s="143" t="n">
        <x:v>0.10025384424694125</x:v>
      </x:c>
      <x:c r="E8" s="143" t="n">
        <x:v>0.1</x:v>
      </x:c>
      <x:c r="F8" s="75" t="n">
        <x:v>9</x:v>
      </x:c>
      <x:c r="G8" s="75" t="str">
        <x:v>Uniform mode</x:v>
      </x:c>
      <x:c r="H8" s="183" t="n">
        <x:v>0.0002538442469412483</x:v>
      </x:c>
    </x:row>
    <x:row r="9">
      <x:c r="A9" s="74" t="str">
        <x:v>Main</x:v>
      </x:c>
      <x:c r="B9" s="75" t="n">
        <x:v>6</x:v>
      </x:c>
      <x:c r="C9" s="143" t="n">
        <x:v>0.1</x:v>
      </x:c>
      <x:c r="D9" s="143" t="n">
        <x:v>0.09961815292492085</x:v>
      </x:c>
      <x:c r="E9" s="143" t="n">
        <x:v>0.1</x:v>
      </x:c>
      <x:c r="F9" s="75" t="n">
        <x:v>47</x:v>
      </x:c>
      <x:c r="G9" s="75" t="str">
        <x:v>Uniform mode</x:v>
      </x:c>
      <x:c r="H9" s="183" t="n">
        <x:v>-0.00038184707507915583</x:v>
      </x:c>
    </x:row>
    <x:row r="10">
      <x:c r="A10" s="74" t="str">
        <x:v>Main</x:v>
      </x:c>
      <x:c r="B10" s="75" t="n">
        <x:v>7</x:v>
      </x:c>
      <x:c r="C10" s="143" t="n">
        <x:v>0.1</x:v>
      </x:c>
      <x:c r="D10" s="143" t="n">
        <x:v>0.09987406395526058</x:v>
      </x:c>
      <x:c r="E10" s="143" t="n">
        <x:v>0.1</x:v>
      </x:c>
      <x:c r="F10" s="75" t="n">
        <x:v>34</x:v>
      </x:c>
      <x:c r="G10" s="75" t="str">
        <x:v>Uniform mode</x:v>
      </x:c>
      <x:c r="H10" s="183" t="n">
        <x:v>-0.00012593604473942754</x:v>
      </x:c>
    </x:row>
    <x:row r="11">
      <x:c r="A11" s="74" t="str">
        <x:v>Main</x:v>
      </x:c>
      <x:c r="B11" s="75" t="n">
        <x:v>8</x:v>
      </x:c>
      <x:c r="C11" s="143" t="n">
        <x:v>0.1</x:v>
      </x:c>
      <x:c r="D11" s="143" t="n">
        <x:v>0.0994093874403769</x:v>
      </x:c>
      <x:c r="E11" s="143" t="n">
        <x:v>0.1</x:v>
      </x:c>
      <x:c r="F11" s="75" t="n">
        <x:v>49</x:v>
      </x:c>
      <x:c r="G11" s="75" t="str">
        <x:v>Uniform mode</x:v>
      </x:c>
      <x:c r="H11" s="183" t="n">
        <x:v>-0.0005906125596231021</x:v>
      </x:c>
    </x:row>
    <x:row r="12">
      <x:c r="A12" s="74" t="str">
        <x:v>Main</x:v>
      </x:c>
      <x:c r="B12" s="75" t="n">
        <x:v>9</x:v>
      </x:c>
      <x:c r="C12" s="143" t="n">
        <x:v>0.1</x:v>
      </x:c>
      <x:c r="D12" s="143" t="n">
        <x:v>0.09992771416701675</x:v>
      </x:c>
      <x:c r="E12" s="143" t="n">
        <x:v>0.1</x:v>
      </x:c>
      <x:c r="F12" s="75" t="n">
        <x:v>30</x:v>
      </x:c>
      <x:c r="G12" s="75" t="str">
        <x:v>Uniform mode</x:v>
      </x:c>
      <x:c r="H12" s="183" t="n">
        <x:v>-0.00007228583298325708</x:v>
      </x:c>
    </x:row>
    <x:row r="13">
      <x:c r="A13" s="74" t="str">
        <x:v>Main</x:v>
      </x:c>
      <x:c r="B13" s="75" t="n">
        <x:v>10</x:v>
      </x:c>
      <x:c r="C13" s="143" t="n">
        <x:v>0.1</x:v>
      </x:c>
      <x:c r="D13" s="143" t="n">
        <x:v>0.10013134603873602</x:v>
      </x:c>
      <x:c r="E13" s="143" t="n">
        <x:v>0.1</x:v>
      </x:c>
      <x:c r="F13" s="75" t="n">
        <x:v>16</x:v>
      </x:c>
      <x:c r="G13" s="75" t="str">
        <x:v>Uniform mode</x:v>
      </x:c>
      <x:c r="H13" s="183" t="n">
        <x:v>0.0001313460387360188</x:v>
      </x:c>
    </x:row>
    <x:row r="14">
      <x:c r="A14" s="74" t="str">
        <x:v>Main</x:v>
      </x:c>
      <x:c r="B14" s="75" t="n">
        <x:v>11</x:v>
      </x:c>
      <x:c r="C14" s="143" t="n">
        <x:v>0.1</x:v>
      </x:c>
      <x:c r="D14" s="143" t="n">
        <x:v>0.09966156914686326</x:v>
      </x:c>
      <x:c r="E14" s="143" t="n">
        <x:v>0.1</x:v>
      </x:c>
      <x:c r="F14" s="75" t="n">
        <x:v>45</x:v>
      </x:c>
      <x:c r="G14" s="75" t="str">
        <x:v>Uniform mode</x:v>
      </x:c>
      <x:c r="H14" s="183" t="n">
        <x:v>-0.0003384308531367425</x:v>
      </x:c>
    </x:row>
    <x:row r="15">
      <x:c r="A15" s="74" t="str">
        <x:v>Main</x:v>
      </x:c>
      <x:c r="B15" s="75" t="n">
        <x:v>12</x:v>
      </x:c>
      <x:c r="C15" s="143" t="n">
        <x:v>0.1</x:v>
      </x:c>
      <x:c r="D15" s="143" t="n">
        <x:v>0.09998885615953719</x:v>
      </x:c>
      <x:c r="E15" s="143" t="n">
        <x:v>0.1</x:v>
      </x:c>
      <x:c r="F15" s="75" t="n">
        <x:v>27</x:v>
      </x:c>
      <x:c r="G15" s="75" t="str">
        <x:v>Uniform mode</x:v>
      </x:c>
      <x:c r="H15" s="183" t="n">
        <x:v>-0.00001114384046281558</x:v>
      </x:c>
    </x:row>
    <x:row r="16">
      <x:c r="A16" s="74" t="str">
        <x:v>Main</x:v>
      </x:c>
      <x:c r="B16" s="75" t="n">
        <x:v>13</x:v>
      </x:c>
      <x:c r="C16" s="143" t="n">
        <x:v>0.1</x:v>
      </x:c>
      <x:c r="D16" s="143" t="n">
        <x:v>0.09986061916218658</x:v>
      </x:c>
      <x:c r="E16" s="143" t="n">
        <x:v>0.1</x:v>
      </x:c>
      <x:c r="F16" s="75" t="n">
        <x:v>35</x:v>
      </x:c>
      <x:c r="G16" s="75" t="str">
        <x:v>Uniform mode</x:v>
      </x:c>
      <x:c r="H16" s="183" t="n">
        <x:v>-0.00013938083781342425</x:v>
      </x:c>
    </x:row>
    <x:row r="17">
      <x:c r="A17" s="74" t="str">
        <x:v>Main</x:v>
      </x:c>
      <x:c r="B17" s="75" t="n">
        <x:v>14</x:v>
      </x:c>
      <x:c r="C17" s="143" t="n">
        <x:v>0.1</x:v>
      </x:c>
      <x:c r="D17" s="143" t="n">
        <x:v>0.09993273737582714</x:v>
      </x:c>
      <x:c r="E17" s="143" t="n">
        <x:v>0.1</x:v>
      </x:c>
      <x:c r="F17" s="75" t="n">
        <x:v>29</x:v>
      </x:c>
      <x:c r="G17" s="75" t="str">
        <x:v>Uniform mode</x:v>
      </x:c>
      <x:c r="H17" s="183" t="n">
        <x:v>-0.00006726262417286466</x:v>
      </x:c>
    </x:row>
    <x:row r="18">
      <x:c r="A18" s="74" t="str">
        <x:v>Main</x:v>
      </x:c>
      <x:c r="B18" s="75" t="n">
        <x:v>15</x:v>
      </x:c>
      <x:c r="C18" s="143" t="n">
        <x:v>0.1</x:v>
      </x:c>
      <x:c r="D18" s="143" t="n">
        <x:v>0.09985948641527317</x:v>
      </x:c>
      <x:c r="E18" s="143" t="n">
        <x:v>0.1</x:v>
      </x:c>
      <x:c r="F18" s="75" t="n">
        <x:v>36</x:v>
      </x:c>
      <x:c r="G18" s="75" t="str">
        <x:v>Uniform mode</x:v>
      </x:c>
      <x:c r="H18" s="183" t="n">
        <x:v>-0.0001405135847268313</x:v>
      </x:c>
    </x:row>
    <x:row r="19">
      <x:c r="A19" s="74" t="str">
        <x:v>Main</x:v>
      </x:c>
      <x:c r="B19" s="75" t="n">
        <x:v>16</x:v>
      </x:c>
      <x:c r="C19" s="143" t="n">
        <x:v>0.1</x:v>
      </x:c>
      <x:c r="D19" s="143" t="n">
        <x:v>0.09977994815559194</x:v>
      </x:c>
      <x:c r="E19" s="143" t="n">
        <x:v>0.1</x:v>
      </x:c>
      <x:c r="F19" s="75" t="n">
        <x:v>39</x:v>
      </x:c>
      <x:c r="G19" s="75" t="str">
        <x:v>Uniform mode</x:v>
      </x:c>
      <x:c r="H19" s="183" t="n">
        <x:v>-0.00022005184440807013</x:v>
      </x:c>
    </x:row>
    <x:row r="20">
      <x:c r="A20" s="74" t="str">
        <x:v>Main</x:v>
      </x:c>
      <x:c r="B20" s="75" t="n">
        <x:v>17</x:v>
      </x:c>
      <x:c r="C20" s="143" t="n">
        <x:v>0.1</x:v>
      </x:c>
      <x:c r="D20" s="143" t="n">
        <x:v>0.09939353447381845</x:v>
      </x:c>
      <x:c r="E20" s="143" t="n">
        <x:v>0.1</x:v>
      </x:c>
      <x:c r="F20" s="75" t="n">
        <x:v>50</x:v>
      </x:c>
      <x:c r="G20" s="75" t="str">
        <x:v>Uniform mode</x:v>
      </x:c>
      <x:c r="H20" s="183" t="n">
        <x:v>-0.0006064655261815571</x:v>
      </x:c>
    </x:row>
    <x:row r="21">
      <x:c r="A21" s="74" t="str">
        <x:v>Main</x:v>
      </x:c>
      <x:c r="B21" s="75" t="n">
        <x:v>18</x:v>
      </x:c>
      <x:c r="C21" s="143" t="n">
        <x:v>0.1</x:v>
      </x:c>
      <x:c r="D21" s="143" t="n">
        <x:v>0.09974751055103448</x:v>
      </x:c>
      <x:c r="E21" s="143" t="n">
        <x:v>0.1</x:v>
      </x:c>
      <x:c r="F21" s="75" t="n">
        <x:v>41</x:v>
      </x:c>
      <x:c r="G21" s="75" t="str">
        <x:v>Uniform mode</x:v>
      </x:c>
      <x:c r="H21" s="183" t="n">
        <x:v>-0.00025248944896552605</x:v>
      </x:c>
    </x:row>
    <x:row r="22">
      <x:c r="A22" s="74" t="str">
        <x:v>Main</x:v>
      </x:c>
      <x:c r="B22" s="75" t="n">
        <x:v>19</x:v>
      </x:c>
      <x:c r="C22" s="143" t="n">
        <x:v>0.1</x:v>
      </x:c>
      <x:c r="D22" s="143" t="n">
        <x:v>0.09985190143758807</x:v>
      </x:c>
      <x:c r="E22" s="143" t="n">
        <x:v>0.1</x:v>
      </x:c>
      <x:c r="F22" s="75" t="n">
        <x:v>37</x:v>
      </x:c>
      <x:c r="G22" s="75" t="str">
        <x:v>Uniform mode</x:v>
      </x:c>
      <x:c r="H22" s="183" t="n">
        <x:v>-0.00014809856241193575</x:v>
      </x:c>
    </x:row>
    <x:row r="23">
      <x:c r="A23" s="74" t="str">
        <x:v>Main</x:v>
      </x:c>
      <x:c r="B23" s="75" t="n">
        <x:v>20</x:v>
      </x:c>
      <x:c r="C23" s="143" t="n">
        <x:v>0.1</x:v>
      </x:c>
      <x:c r="D23" s="143" t="n">
        <x:v>0.09963826691331765</x:v>
      </x:c>
      <x:c r="E23" s="143" t="n">
        <x:v>0.1</x:v>
      </x:c>
      <x:c r="F23" s="75" t="n">
        <x:v>46</x:v>
      </x:c>
      <x:c r="G23" s="75" t="str">
        <x:v>Uniform mode</x:v>
      </x:c>
      <x:c r="H23" s="183" t="n">
        <x:v>-0.0003617330866823587</x:v>
      </x:c>
    </x:row>
    <x:row r="24">
      <x:c r="A24" s="74" t="str">
        <x:v>Main</x:v>
      </x:c>
      <x:c r="B24" s="75" t="n">
        <x:v>21</x:v>
      </x:c>
      <x:c r="C24" s="143" t="n">
        <x:v>0.1</x:v>
      </x:c>
      <x:c r="D24" s="143" t="n">
        <x:v>0.09968763118608891</x:v>
      </x:c>
      <x:c r="E24" s="143" t="n">
        <x:v>0.1</x:v>
      </x:c>
      <x:c r="F24" s="75" t="n">
        <x:v>43</x:v>
      </x:c>
      <x:c r="G24" s="75" t="str">
        <x:v>Uniform mode</x:v>
      </x:c>
      <x:c r="H24" s="183" t="n">
        <x:v>-0.0003123688139110986</x:v>
      </x:c>
    </x:row>
    <x:row r="25">
      <x:c r="A25" s="74" t="str">
        <x:v>Main</x:v>
      </x:c>
      <x:c r="B25" s="75" t="n">
        <x:v>22</x:v>
      </x:c>
      <x:c r="C25" s="143" t="n">
        <x:v>0.1</x:v>
      </x:c>
      <x:c r="D25" s="143" t="n">
        <x:v>0.09957835647145549</x:v>
      </x:c>
      <x:c r="E25" s="143" t="n">
        <x:v>0.1</x:v>
      </x:c>
      <x:c r="F25" s="75" t="n">
        <x:v>48</x:v>
      </x:c>
      <x:c r="G25" s="75" t="str">
        <x:v>Uniform mode</x:v>
      </x:c>
      <x:c r="H25" s="183" t="n">
        <x:v>-0.00042164352854451304</x:v>
      </x:c>
    </x:row>
    <x:row r="26">
      <x:c r="A26" s="74" t="str">
        <x:v>Main</x:v>
      </x:c>
      <x:c r="B26" s="75" t="n">
        <x:v>23</x:v>
      </x:c>
      <x:c r="C26" s="143" t="n">
        <x:v>0.1</x:v>
      </x:c>
      <x:c r="D26" s="143" t="n">
        <x:v>0.09974441831929293</x:v>
      </x:c>
      <x:c r="E26" s="143" t="n">
        <x:v>0.1</x:v>
      </x:c>
      <x:c r="F26" s="75" t="n">
        <x:v>42</x:v>
      </x:c>
      <x:c r="G26" s="75" t="str">
        <x:v>Uniform mode</x:v>
      </x:c>
      <x:c r="H26" s="183" t="n">
        <x:v>-0.00025558168070707876</x:v>
      </x:c>
    </x:row>
    <x:row r="27">
      <x:c r="A27" s="74" t="str">
        <x:v>Main</x:v>
      </x:c>
      <x:c r="B27" s="75" t="n">
        <x:v>24</x:v>
      </x:c>
      <x:c r="C27" s="143" t="n">
        <x:v>0.1</x:v>
      </x:c>
      <x:c r="D27" s="143" t="n">
        <x:v>0.10018133599019044</x:v>
      </x:c>
      <x:c r="E27" s="143" t="n">
        <x:v>0.1</x:v>
      </x:c>
      <x:c r="F27" s="75" t="n">
        <x:v>12</x:v>
      </x:c>
      <x:c r="G27" s="75" t="str">
        <x:v>Uniform mode</x:v>
      </x:c>
      <x:c r="H27" s="183" t="n">
        <x:v>0.00018133599019043434</x:v>
      </x:c>
    </x:row>
    <x:row r="28">
      <x:c r="A28" s="74" t="str">
        <x:v>Main</x:v>
      </x:c>
      <x:c r="B28" s="75" t="n">
        <x:v>25</x:v>
      </x:c>
      <x:c r="C28" s="143" t="n">
        <x:v>0.1</x:v>
      </x:c>
      <x:c r="D28" s="143" t="n">
        <x:v>0.1003729741093097</x:v>
      </x:c>
      <x:c r="E28" s="143" t="n">
        <x:v>0.1</x:v>
      </x:c>
      <x:c r="F28" s="75" t="n">
        <x:v>5</x:v>
      </x:c>
      <x:c r="G28" s="75" t="str">
        <x:v>Uniform mode</x:v>
      </x:c>
      <x:c r="H28" s="183" t="n">
        <x:v>0.0003729741093096983</x:v>
      </x:c>
    </x:row>
    <x:row r="29">
      <x:c r="A29" s="74" t="str">
        <x:v>Main</x:v>
      </x:c>
      <x:c r="B29" s="75" t="n">
        <x:v>26</x:v>
      </x:c>
      <x:c r="C29" s="143" t="n">
        <x:v>0.1</x:v>
      </x:c>
      <x:c r="D29" s="143" t="n">
        <x:v>0.10026515412719167</x:v>
      </x:c>
      <x:c r="E29" s="143" t="n">
        <x:v>0.1</x:v>
      </x:c>
      <x:c r="F29" s="75" t="n">
        <x:v>8</x:v>
      </x:c>
      <x:c r="G29" s="75" t="str">
        <x:v>Uniform mode</x:v>
      </x:c>
      <x:c r="H29" s="183" t="n">
        <x:v>0.00026515412719166354</x:v>
      </x:c>
    </x:row>
    <x:row r="30">
      <x:c r="A30" s="74" t="str">
        <x:v>Main</x:v>
      </x:c>
      <x:c r="B30" s="75" t="n">
        <x:v>27</x:v>
      </x:c>
      <x:c r="C30" s="143" t="n">
        <x:v>0.1</x:v>
      </x:c>
      <x:c r="D30" s="143" t="n">
        <x:v>0.10030226585461251</x:v>
      </x:c>
      <x:c r="E30" s="143" t="n">
        <x:v>0.1</x:v>
      </x:c>
      <x:c r="F30" s="75" t="n">
        <x:v>7</x:v>
      </x:c>
      <x:c r="G30" s="75" t="str">
        <x:v>Uniform mode</x:v>
      </x:c>
      <x:c r="H30" s="183" t="n">
        <x:v>0.00030226585461250177</x:v>
      </x:c>
    </x:row>
    <x:row r="31">
      <x:c r="A31" s="74" t="str">
        <x:v>Main</x:v>
      </x:c>
      <x:c r="B31" s="75" t="n">
        <x:v>28</x:v>
      </x:c>
      <x:c r="C31" s="143" t="n">
        <x:v>0.1</x:v>
      </x:c>
      <x:c r="D31" s="143" t="n">
        <x:v>0.10047492781414348</x:v>
      </x:c>
      <x:c r="E31" s="143" t="n">
        <x:v>0.1</x:v>
      </x:c>
      <x:c r="F31" s="75" t="n">
        <x:v>3</x:v>
      </x:c>
      <x:c r="G31" s="75" t="str">
        <x:v>Uniform mode</x:v>
      </x:c>
      <x:c r="H31" s="183" t="n">
        <x:v>0.00047492781414347485</x:v>
      </x:c>
    </x:row>
    <x:row r="32">
      <x:c r="A32" s="74" t="str">
        <x:v>Main</x:v>
      </x:c>
      <x:c r="B32" s="75" t="n">
        <x:v>29</x:v>
      </x:c>
      <x:c r="C32" s="143" t="n">
        <x:v>0.1</x:v>
      </x:c>
      <x:c r="D32" s="143" t="n">
        <x:v>0.10005390527327881</x:v>
      </x:c>
      <x:c r="E32" s="143" t="n">
        <x:v>0.1</x:v>
      </x:c>
      <x:c r="F32" s="75" t="n">
        <x:v>23</x:v>
      </x:c>
      <x:c r="G32" s="75" t="str">
        <x:v>Uniform mode</x:v>
      </x:c>
      <x:c r="H32" s="183" t="n">
        <x:v>0.00005390527327880923</x:v>
      </x:c>
    </x:row>
    <x:row r="33">
      <x:c r="A33" s="74" t="str">
        <x:v>Main</x:v>
      </x:c>
      <x:c r="B33" s="75" t="n">
        <x:v>30</x:v>
      </x:c>
      <x:c r="C33" s="143" t="n">
        <x:v>0.1</x:v>
      </x:c>
      <x:c r="D33" s="143" t="n">
        <x:v>0.10000114676649094</x:v>
      </x:c>
      <x:c r="E33" s="143" t="n">
        <x:v>0.1</x:v>
      </x:c>
      <x:c r="F33" s="75" t="n">
        <x:v>26</x:v>
      </x:c>
      <x:c r="G33" s="75" t="str">
        <x:v>Uniform mode</x:v>
      </x:c>
      <x:c r="H33" s="183" t="n">
        <x:v>0.0000011467664909337039</x:v>
      </x:c>
    </x:row>
    <x:row r="34">
      <x:c r="A34" s="74" t="str">
        <x:v>Main</x:v>
      </x:c>
      <x:c r="B34" s="75" t="n">
        <x:v>31</x:v>
      </x:c>
      <x:c r="C34" s="143" t="n">
        <x:v>0.1</x:v>
      </x:c>
      <x:c r="D34" s="143" t="n">
        <x:v>0.10012584001421021</x:v>
      </x:c>
      <x:c r="E34" s="143" t="n">
        <x:v>0.1</x:v>
      </x:c>
      <x:c r="F34" s="75" t="n">
        <x:v>17</x:v>
      </x:c>
      <x:c r="G34" s="75" t="str">
        <x:v>Uniform mode</x:v>
      </x:c>
      <x:c r="H34" s="183" t="n">
        <x:v>0.00012584001421020452</x:v>
      </x:c>
    </x:row>
    <x:row r="35">
      <x:c r="A35" s="74" t="str">
        <x:v>Main</x:v>
      </x:c>
      <x:c r="B35" s="75" t="n">
        <x:v>32</x:v>
      </x:c>
      <x:c r="C35" s="143" t="n">
        <x:v>0.1</x:v>
      </x:c>
      <x:c r="D35" s="143" t="n">
        <x:v>0.10017612840034419</x:v>
      </x:c>
      <x:c r="E35" s="143" t="n">
        <x:v>0.1</x:v>
      </x:c>
      <x:c r="F35" s="75" t="n">
        <x:v>13</x:v>
      </x:c>
      <x:c r="G35" s="75" t="str">
        <x:v>Uniform mode</x:v>
      </x:c>
      <x:c r="H35" s="183" t="n">
        <x:v>0.00017612840034418598</x:v>
      </x:c>
    </x:row>
    <x:row r="36">
      <x:c r="A36" s="74" t="str">
        <x:v>Main</x:v>
      </x:c>
      <x:c r="B36" s="75" t="n">
        <x:v>33</x:v>
      </x:c>
      <x:c r="C36" s="143" t="n">
        <x:v>0.1</x:v>
      </x:c>
      <x:c r="D36" s="143" t="n">
        <x:v>0.10019539335650926</x:v>
      </x:c>
      <x:c r="E36" s="143" t="n">
        <x:v>0.1</x:v>
      </x:c>
      <x:c r="F36" s="75" t="n">
        <x:v>11</x:v>
      </x:c>
      <x:c r="G36" s="75" t="str">
        <x:v>Uniform mode</x:v>
      </x:c>
      <x:c r="H36" s="183" t="n">
        <x:v>0.0001953933565092547</x:v>
      </x:c>
    </x:row>
    <x:row r="37">
      <x:c r="A37" s="74" t="str">
        <x:v>Main</x:v>
      </x:c>
      <x:c r="B37" s="75" t="n">
        <x:v>34</x:v>
      </x:c>
      <x:c r="C37" s="143" t="n">
        <x:v>0.1</x:v>
      </x:c>
      <x:c r="D37" s="143" t="n">
        <x:v>0.09994635119309754</x:v>
      </x:c>
      <x:c r="E37" s="143" t="n">
        <x:v>0.1</x:v>
      </x:c>
      <x:c r="F37" s="75" t="n">
        <x:v>28</x:v>
      </x:c>
      <x:c r="G37" s="75" t="str">
        <x:v>Uniform mode</x:v>
      </x:c>
      <x:c r="H37" s="183" t="n">
        <x:v>-0.000053648806902464874</x:v>
      </x:c>
    </x:row>
    <x:row r="38">
      <x:c r="A38" s="74" t="str">
        <x:v>Main</x:v>
      </x:c>
      <x:c r="B38" s="75" t="n">
        <x:v>35</x:v>
      </x:c>
      <x:c r="C38" s="143" t="n">
        <x:v>0.1</x:v>
      </x:c>
      <x:c r="D38" s="143" t="n">
        <x:v>0.09976739480531059</x:v>
      </x:c>
      <x:c r="E38" s="143" t="n">
        <x:v>0.1</x:v>
      </x:c>
      <x:c r="F38" s="75" t="n">
        <x:v>40</x:v>
      </x:c>
      <x:c r="G38" s="75" t="str">
        <x:v>Uniform mode</x:v>
      </x:c>
      <x:c r="H38" s="183" t="n">
        <x:v>-0.0002326051946894142</x:v>
      </x:c>
    </x:row>
    <x:row r="39">
      <x:c r="A39" s="74" t="str">
        <x:v>Main</x:v>
      </x:c>
      <x:c r="B39" s="75" t="n">
        <x:v>36</x:v>
      </x:c>
      <x:c r="C39" s="143" t="n">
        <x:v>0.1</x:v>
      </x:c>
      <x:c r="D39" s="143" t="n">
        <x:v>0.10048828487402145</x:v>
      </x:c>
      <x:c r="E39" s="143" t="n">
        <x:v>0.1</x:v>
      </x:c>
      <x:c r="F39" s="75" t="n">
        <x:v>2</x:v>
      </x:c>
      <x:c r="G39" s="75" t="str">
        <x:v>Uniform mode</x:v>
      </x:c>
      <x:c r="H39" s="183" t="n">
        <x:v>0.000488284874021444</x:v>
      </x:c>
    </x:row>
    <x:row r="40">
      <x:c r="A40" s="74" t="str">
        <x:v>Main</x:v>
      </x:c>
      <x:c r="B40" s="75" t="n">
        <x:v>37</x:v>
      </x:c>
      <x:c r="C40" s="143" t="n">
        <x:v>0.1</x:v>
      </x:c>
      <x:c r="D40" s="143" t="n">
        <x:v>0.10005224527374809</x:v>
      </x:c>
      <x:c r="E40" s="143" t="n">
        <x:v>0.1</x:v>
      </x:c>
      <x:c r="F40" s="75" t="n">
        <x:v>24</x:v>
      </x:c>
      <x:c r="G40" s="75" t="str">
        <x:v>Uniform mode</x:v>
      </x:c>
      <x:c r="H40" s="183" t="n">
        <x:v>0.000052245273748086074</x:v>
      </x:c>
    </x:row>
    <x:row r="41">
      <x:c r="A41" s="74" t="str">
        <x:v>Main</x:v>
      </x:c>
      <x:c r="B41" s="75" t="n">
        <x:v>38</x:v>
      </x:c>
      <x:c r="C41" s="143" t="n">
        <x:v>0.1</x:v>
      </x:c>
      <x:c r="D41" s="143" t="n">
        <x:v>0.10003353130248406</x:v>
      </x:c>
      <x:c r="E41" s="143" t="n">
        <x:v>0.1</x:v>
      </x:c>
      <x:c r="F41" s="75" t="n">
        <x:v>25</x:v>
      </x:c>
      <x:c r="G41" s="75" t="str">
        <x:v>Uniform mode</x:v>
      </x:c>
      <x:c r="H41" s="183" t="n">
        <x:v>0.000033531302484055</x:v>
      </x:c>
    </x:row>
    <x:row r="42">
      <x:c r="A42" s="74" t="str">
        <x:v>Main</x:v>
      </x:c>
      <x:c r="B42" s="75" t="n">
        <x:v>39</x:v>
      </x:c>
      <x:c r="C42" s="143" t="n">
        <x:v>0.1</x:v>
      </x:c>
      <x:c r="D42" s="143" t="n">
        <x:v>0.09991756078064833</x:v>
      </x:c>
      <x:c r="E42" s="143" t="n">
        <x:v>0.1</x:v>
      </x:c>
      <x:c r="F42" s="75" t="n">
        <x:v>31</x:v>
      </x:c>
      <x:c r="G42" s="75" t="str">
        <x:v>Uniform mode</x:v>
      </x:c>
      <x:c r="H42" s="183" t="n">
        <x:v>-0.0000824392193516793</x:v>
      </x:c>
    </x:row>
    <x:row r="43">
      <x:c r="A43" s="74" t="str">
        <x:v>Main</x:v>
      </x:c>
      <x:c r="B43" s="75" t="n">
        <x:v>40</x:v>
      </x:c>
      <x:c r="C43" s="143" t="n">
        <x:v>0.1</x:v>
      </x:c>
      <x:c r="D43" s="143" t="n">
        <x:v>0.10012080949746457</x:v>
      </x:c>
      <x:c r="E43" s="143" t="n">
        <x:v>0.1</x:v>
      </x:c>
      <x:c r="F43" s="75" t="n">
        <x:v>19</x:v>
      </x:c>
      <x:c r="G43" s="75" t="str">
        <x:v>Uniform mode</x:v>
      </x:c>
      <x:c r="H43" s="183" t="n">
        <x:v>0.00012080949746456904</x:v>
      </x:c>
    </x:row>
    <x:row r="44">
      <x:c r="A44" s="74" t="str">
        <x:v>Main</x:v>
      </x:c>
      <x:c r="B44" s="75" t="n">
        <x:v>41</x:v>
      </x:c>
      <x:c r="C44" s="143" t="n">
        <x:v>0.1</x:v>
      </x:c>
      <x:c r="D44" s="143" t="n">
        <x:v>0.09987749390052224</x:v>
      </x:c>
      <x:c r="E44" s="143" t="n">
        <x:v>0.1</x:v>
      </x:c>
      <x:c r="F44" s="75" t="n">
        <x:v>32</x:v>
      </x:c>
      <x:c r="G44" s="75" t="str">
        <x:v>Uniform mode</x:v>
      </x:c>
      <x:c r="H44" s="183" t="n">
        <x:v>-0.0001225060994777677</x:v>
      </x:c>
    </x:row>
    <x:row r="45">
      <x:c r="A45" s="74" t="str">
        <x:v>Main</x:v>
      </x:c>
      <x:c r="B45" s="75" t="n">
        <x:v>42</x:v>
      </x:c>
      <x:c r="C45" s="143" t="n">
        <x:v>0.1</x:v>
      </x:c>
      <x:c r="D45" s="143" t="n">
        <x:v>0.10034352320504869</x:v>
      </x:c>
      <x:c r="E45" s="143" t="n">
        <x:v>0.1</x:v>
      </x:c>
      <x:c r="F45" s="75" t="n">
        <x:v>6</x:v>
      </x:c>
      <x:c r="G45" s="75" t="str">
        <x:v>Uniform mode</x:v>
      </x:c>
      <x:c r="H45" s="183" t="n">
        <x:v>0.0003435232050486847</x:v>
      </x:c>
    </x:row>
    <x:row r="46">
      <x:c r="A46" s="74" t="str">
        <x:v>Main</x:v>
      </x:c>
      <x:c r="B46" s="75" t="n">
        <x:v>43</x:v>
      </x:c>
      <x:c r="C46" s="143" t="n">
        <x:v>0.1</x:v>
      </x:c>
      <x:c r="D46" s="143" t="n">
        <x:v>0.10010048201427241</x:v>
      </x:c>
      <x:c r="E46" s="143" t="n">
        <x:v>0.1</x:v>
      </x:c>
      <x:c r="F46" s="75" t="n">
        <x:v>20</x:v>
      </x:c>
      <x:c r="G46" s="75" t="str">
        <x:v>Uniform mode</x:v>
      </x:c>
      <x:c r="H46" s="183" t="n">
        <x:v>0.00010048201427240167</x:v>
      </x:c>
    </x:row>
    <x:row r="47">
      <x:c r="A47" s="74" t="str">
        <x:v>Main</x:v>
      </x:c>
      <x:c r="B47" s="75" t="n">
        <x:v>44</x:v>
      </x:c>
      <x:c r="C47" s="143" t="n">
        <x:v>0.1</x:v>
      </x:c>
      <x:c r="D47" s="143" t="n">
        <x:v>0.10020582628233678</x:v>
      </x:c>
      <x:c r="E47" s="143" t="n">
        <x:v>0.1</x:v>
      </x:c>
      <x:c r="F47" s="75" t="n">
        <x:v>10</x:v>
      </x:c>
      <x:c r="G47" s="75" t="str">
        <x:v>Uniform mode</x:v>
      </x:c>
      <x:c r="H47" s="183" t="n">
        <x:v>0.00020582628233677125</x:v>
      </x:c>
    </x:row>
    <x:row r="48">
      <x:c r="A48" s="74" t="str">
        <x:v>Main</x:v>
      </x:c>
      <x:c r="B48" s="75" t="n">
        <x:v>45</x:v>
      </x:c>
      <x:c r="C48" s="143" t="n">
        <x:v>0.1</x:v>
      </x:c>
      <x:c r="D48" s="143" t="n">
        <x:v>0.10006293001495176</x:v>
      </x:c>
      <x:c r="E48" s="143" t="n">
        <x:v>0.1</x:v>
      </x:c>
      <x:c r="F48" s="75" t="n">
        <x:v>22</x:v>
      </x:c>
      <x:c r="G48" s="75" t="str">
        <x:v>Uniform mode</x:v>
      </x:c>
      <x:c r="H48" s="183" t="n">
        <x:v>0.00006293001495175088</x:v>
      </x:c>
    </x:row>
    <x:row r="49">
      <x:c r="A49" s="74" t="str">
        <x:v>Main</x:v>
      </x:c>
      <x:c r="B49" s="75" t="n">
        <x:v>46</x:v>
      </x:c>
      <x:c r="C49" s="143" t="n">
        <x:v>0.1</x:v>
      </x:c>
      <x:c r="D49" s="143" t="n">
        <x:v>0.10007155392477922</x:v>
      </x:c>
      <x:c r="E49" s="143" t="n">
        <x:v>0.1</x:v>
      </x:c>
      <x:c r="F49" s="75" t="n">
        <x:v>21</x:v>
      </x:c>
      <x:c r="G49" s="75" t="str">
        <x:v>Uniform mode</x:v>
      </x:c>
      <x:c r="H49" s="183" t="n">
        <x:v>0.00007155392477921352</x:v>
      </x:c>
    </x:row>
    <x:row r="50">
      <x:c r="A50" s="74" t="str">
        <x:v>Main</x:v>
      </x:c>
      <x:c r="B50" s="75" t="n">
        <x:v>47</x:v>
      </x:c>
      <x:c r="C50" s="143" t="n">
        <x:v>0.1</x:v>
      </x:c>
      <x:c r="D50" s="143" t="n">
        <x:v>0.10012484275260847</x:v>
      </x:c>
      <x:c r="E50" s="143" t="n">
        <x:v>0.1</x:v>
      </x:c>
      <x:c r="F50" s="75" t="n">
        <x:v>18</x:v>
      </x:c>
      <x:c r="G50" s="75" t="str">
        <x:v>Uniform mode</x:v>
      </x:c>
      <x:c r="H50" s="183" t="n">
        <x:v>0.00012484275260846167</x:v>
      </x:c>
    </x:row>
    <x:row r="51">
      <x:c r="A51" s="74" t="str">
        <x:v>Main</x:v>
      </x:c>
      <x:c r="B51" s="75" t="n">
        <x:v>48</x:v>
      </x:c>
      <x:c r="C51" s="143" t="n">
        <x:v>0.1</x:v>
      </x:c>
      <x:c r="D51" s="143" t="n">
        <x:v>0.10068598460313188</x:v>
      </x:c>
      <x:c r="E51" s="143" t="n">
        <x:v>0.1</x:v>
      </x:c>
      <x:c r="F51" s="75" t="n">
        <x:v>1</x:v>
      </x:c>
      <x:c r="G51" s="75" t="str">
        <x:v>Uniform mode</x:v>
      </x:c>
      <x:c r="H51" s="183" t="n">
        <x:v>0.0006859846031318784</x:v>
      </x:c>
    </x:row>
    <x:row r="52">
      <x:c r="A52" s="74" t="str">
        <x:v>Main</x:v>
      </x:c>
      <x:c r="B52" s="75" t="n">
        <x:v>49</x:v>
      </x:c>
      <x:c r="C52" s="143" t="n">
        <x:v>0.1</x:v>
      </x:c>
      <x:c r="D52" s="143" t="n">
        <x:v>0.09984820184655188</x:v>
      </x:c>
      <x:c r="E52" s="143" t="n">
        <x:v>0.1</x:v>
      </x:c>
      <x:c r="F52" s="75" t="n">
        <x:v>38</x:v>
      </x:c>
      <x:c r="G52" s="75" t="str">
        <x:v>Uniform mode</x:v>
      </x:c>
      <x:c r="H52" s="183" t="n">
        <x:v>-0.00015179815344812386</x:v>
      </x:c>
    </x:row>
    <x:row r="53">
      <x:c r="A53" s="74" t="str">
        <x:v>Main</x:v>
      </x:c>
      <x:c r="B53" s="75" t="n">
        <x:v>50</x:v>
      </x:c>
      <x:c r="C53" s="143" t="n">
        <x:v>0.1</x:v>
      </x:c>
      <x:c r="D53" s="143" t="n">
        <x:v>0.10040495535601776</x:v>
      </x:c>
      <x:c r="E53" s="143" t="n">
        <x:v>0.1</x:v>
      </x:c>
      <x:c r="F53" s="75" t="n">
        <x:v>4</x:v>
      </x:c>
      <x:c r="G53" s="75" t="str">
        <x:v>Uniform mode</x:v>
      </x:c>
      <x:c r="H53" s="183" t="n">
        <x:v>0.00040495535601775545</x:v>
      </x:c>
    </x:row>
    <x:row r="54">
      <x:c r="A54" s="74" t="str">
        <x:v>Euro</x:v>
      </x:c>
      <x:c r="B54" s="75" t="n">
        <x:v>1</x:v>
      </x:c>
      <x:c r="C54" s="143" t="n">
        <x:v>0.16666666666666666</x:v>
      </x:c>
      <x:c r="D54" s="143" t="n">
        <x:v>0.16441687714829242</x:v>
      </x:c>
      <x:c r="E54" s="143" t="n">
        <x:v>0.16666666666666666</x:v>
      </x:c>
      <x:c r="F54" s="75" t="n">
        <x:v>11</x:v>
      </x:c>
      <x:c r="G54" s="75" t="str">
        <x:v>Uniform mode</x:v>
      </x:c>
      <x:c r="H54" s="183" t="n">
        <x:v>-0.0022497895183742345</x:v>
      </x:c>
    </x:row>
    <x:row r="55">
      <x:c r="A55" s="74" t="str">
        <x:v>Euro</x:v>
      </x:c>
      <x:c r="B55" s="75" t="n">
        <x:v>2</x:v>
      </x:c>
      <x:c r="C55" s="143" t="n">
        <x:v>0.16666666666666666</x:v>
      </x:c>
      <x:c r="D55" s="143" t="n">
        <x:v>0.1649471333416093</x:v>
      </x:c>
      <x:c r="E55" s="143" t="n">
        <x:v>0.16666666666666666</x:v>
      </x:c>
      <x:c r="F55" s="75" t="n">
        <x:v>10</x:v>
      </x:c>
      <x:c r="G55" s="75" t="str">
        <x:v>Uniform mode</x:v>
      </x:c>
      <x:c r="H55" s="183" t="n">
        <x:v>-0.0017195333250573652</x:v>
      </x:c>
    </x:row>
    <x:row r="56">
      <x:c r="A56" s="74" t="str">
        <x:v>Euro</x:v>
      </x:c>
      <x:c r="B56" s="75" t="n">
        <x:v>3</x:v>
      </x:c>
      <x:c r="C56" s="143" t="n">
        <x:v>0.16666666666666666</x:v>
      </x:c>
      <x:c r="D56" s="143" t="n">
        <x:v>0.1687776783750218</x:v>
      </x:c>
      <x:c r="E56" s="143" t="n">
        <x:v>0.16666666666666666</x:v>
      </x:c>
      <x:c r="F56" s="75" t="n">
        <x:v>2</x:v>
      </x:c>
      <x:c r="G56" s="75" t="str">
        <x:v>Uniform mode</x:v>
      </x:c>
      <x:c r="H56" s="183" t="n">
        <x:v>0.0021110117083551483</x:v>
      </x:c>
    </x:row>
    <x:row r="57">
      <x:c r="A57" s="74" t="str">
        <x:v>Euro</x:v>
      </x:c>
      <x:c r="B57" s="75" t="n">
        <x:v>4</x:v>
      </x:c>
      <x:c r="C57" s="143" t="n">
        <x:v>0.16666666666666666</x:v>
      </x:c>
      <x:c r="D57" s="143" t="n">
        <x:v>0.1667843923962404</x:v>
      </x:c>
      <x:c r="E57" s="143" t="n">
        <x:v>0.16666666666666666</x:v>
      </x:c>
      <x:c r="F57" s="75" t="n">
        <x:v>5</x:v>
      </x:c>
      <x:c r="G57" s="75" t="str">
        <x:v>Uniform mode</x:v>
      </x:c>
      <x:c r="H57" s="183" t="n">
        <x:v>0.00011772572957374772</x:v>
      </x:c>
    </x:row>
    <x:row r="58">
      <x:c r="A58" s="74" t="str">
        <x:v>Euro</x:v>
      </x:c>
      <x:c r="B58" s="75" t="n">
        <x:v>5</x:v>
      </x:c>
      <x:c r="C58" s="143" t="n">
        <x:v>0.16666666666666666</x:v>
      </x:c>
      <x:c r="D58" s="143" t="n">
        <x:v>0.17150680151168632</x:v>
      </x:c>
      <x:c r="E58" s="143" t="n">
        <x:v>0.16666666666666666</x:v>
      </x:c>
      <x:c r="F58" s="75" t="n">
        <x:v>1</x:v>
      </x:c>
      <x:c r="G58" s="75" t="str">
        <x:v>Uniform mode</x:v>
      </x:c>
      <x:c r="H58" s="183" t="n">
        <x:v>0.004840134845019661</x:v>
      </x:c>
    </x:row>
    <x:row r="59">
      <x:c r="A59" s="74" t="str">
        <x:v>Euro</x:v>
      </x:c>
      <x:c r="B59" s="75" t="n">
        <x:v>6</x:v>
      </x:c>
      <x:c r="C59" s="143" t="n">
        <x:v>0.16666666666666666</x:v>
      </x:c>
      <x:c r="D59" s="143" t="n">
        <x:v>0.1665141144704443</x:v>
      </x:c>
      <x:c r="E59" s="143" t="n">
        <x:v>0.16666666666666666</x:v>
      </x:c>
      <x:c r="F59" s="75" t="n">
        <x:v>7</x:v>
      </x:c>
      <x:c r="G59" s="75" t="str">
        <x:v>Uniform mode</x:v>
      </x:c>
      <x:c r="H59" s="183" t="n">
        <x:v>-0.00015255219622234417</x:v>
      </x:c>
    </x:row>
    <x:row r="60">
      <x:c r="A60" s="74" t="str">
        <x:v>Euro</x:v>
      </x:c>
      <x:c r="B60" s="75" t="n">
        <x:v>7</x:v>
      </x:c>
      <x:c r="C60" s="143" t="n">
        <x:v>0.16666666666666666</x:v>
      </x:c>
      <x:c r="D60" s="143" t="n">
        <x:v>0.1664286771190058</x:v>
      </x:c>
      <x:c r="E60" s="143" t="n">
        <x:v>0.16666666666666666</x:v>
      </x:c>
      <x:c r="F60" s="75" t="n">
        <x:v>8</x:v>
      </x:c>
      <x:c r="G60" s="75" t="str">
        <x:v>Uniform mode</x:v>
      </x:c>
      <x:c r="H60" s="183" t="n">
        <x:v>-0.00023798954766085512</x:v>
      </x:c>
    </x:row>
    <x:row r="61">
      <x:c r="A61" s="74" t="str">
        <x:v>Euro</x:v>
      </x:c>
      <x:c r="B61" s="75" t="n">
        <x:v>8</x:v>
      </x:c>
      <x:c r="C61" s="143" t="n">
        <x:v>0.16666666666666666</x:v>
      </x:c>
      <x:c r="D61" s="143" t="n">
        <x:v>0.16850694682152564</x:v>
      </x:c>
      <x:c r="E61" s="143" t="n">
        <x:v>0.16666666666666666</x:v>
      </x:c>
      <x:c r="F61" s="75" t="n">
        <x:v>4</x:v>
      </x:c>
      <x:c r="G61" s="75" t="str">
        <x:v>Uniform mode</x:v>
      </x:c>
      <x:c r="H61" s="183" t="n">
        <x:v>0.0018402801548589864</x:v>
      </x:c>
    </x:row>
    <x:row r="62">
      <x:c r="A62" s="74" t="str">
        <x:v>Euro</x:v>
      </x:c>
      <x:c r="B62" s="75" t="n">
        <x:v>9</x:v>
      </x:c>
      <x:c r="C62" s="143" t="n">
        <x:v>0.16666666666666666</x:v>
      </x:c>
      <x:c r="D62" s="143" t="n">
        <x:v>0.16850975970959128</x:v>
      </x:c>
      <x:c r="E62" s="143" t="n">
        <x:v>0.16666666666666666</x:v>
      </x:c>
      <x:c r="F62" s="75" t="n">
        <x:v>3</x:v>
      </x:c>
      <x:c r="G62" s="75" t="str">
        <x:v>Uniform mode</x:v>
      </x:c>
      <x:c r="H62" s="183" t="n">
        <x:v>0.0018430930429246262</x:v>
      </x:c>
    </x:row>
    <x:row r="63">
      <x:c r="A63" s="74" t="str">
        <x:v>Euro</x:v>
      </x:c>
      <x:c r="B63" s="75" t="n">
        <x:v>10</x:v>
      </x:c>
      <x:c r="C63" s="143" t="n">
        <x:v>0.16666666666666666</x:v>
      </x:c>
      <x:c r="D63" s="143" t="n">
        <x:v>0.16655839597658395</x:v>
      </x:c>
      <x:c r="E63" s="143" t="n">
        <x:v>0.16666666666666666</x:v>
      </x:c>
      <x:c r="F63" s="75" t="n">
        <x:v>6</x:v>
      </x:c>
      <x:c r="G63" s="75" t="str">
        <x:v>Uniform mode</x:v>
      </x:c>
      <x:c r="H63" s="183" t="n">
        <x:v>-0.00010827069008270684</x:v>
      </x:c>
    </x:row>
    <x:row r="64">
      <x:c r="A64" s="74" t="str">
        <x:v>Euro</x:v>
      </x:c>
      <x:c r="B64" s="75" t="n">
        <x:v>11</x:v>
      </x:c>
      <x:c r="C64" s="143" t="n">
        <x:v>0.16666666666666666</x:v>
      </x:c>
      <x:c r="D64" s="143" t="n">
        <x:v>0.16200630891693188</x:v>
      </x:c>
      <x:c r="E64" s="143" t="n">
        <x:v>0.16666666666666666</x:v>
      </x:c>
      <x:c r="F64" s="75" t="n">
        <x:v>12</x:v>
      </x:c>
      <x:c r="G64" s="75" t="str">
        <x:v>Uniform mode</x:v>
      </x:c>
      <x:c r="H64" s="183" t="n">
        <x:v>-0.004660357749734778</x:v>
      </x:c>
    </x:row>
    <x:row r="65">
      <x:c r="A65" s="76" t="str">
        <x:v>Euro</x:v>
      </x:c>
      <x:c r="B65" s="77" t="n">
        <x:v>12</x:v>
      </x:c>
      <x:c r="C65" s="145" t="n">
        <x:v>0.16666666666666666</x:v>
      </x:c>
      <x:c r="D65" s="145" t="n">
        <x:v>0.16504291421306702</x:v>
      </x:c>
      <x:c r="E65" s="145" t="n">
        <x:v>0.16666666666666666</x:v>
      </x:c>
      <x:c r="F65" s="77" t="n">
        <x:v>9</x:v>
      </x:c>
      <x:c r="G65" s="77" t="str">
        <x:v>Uniform mode</x:v>
      </x:c>
      <x:c r="H65" s="184" t="n">
        <x:v>-0.0016237524535996362</x:v>
      </x:c>
    </x:row>
  </x:sheetData>
  <x:mergeCells>
    <x:mergeCell ref="A1:I1"/>
  </x:mergeCells>
  <x:conditionalFormatting sqref="D4:D65">
    <x:cfRule type="dataBar" priority="1">
      <x:dataBar>
        <x:cfvo type="min"/>
        <x:cfvo type="max"/>
        <x:color rgb="FF6B4F8A"/>
      </x:dataBar>
      <x:extLst>
        <x:ext xmlns:x14="http://schemas.microsoft.com/office/spreadsheetml/2009/9/main" uri="{B025F937-C7B1-47D3-B67F-A62EFF666E3E}">
          <x14:id>{D3730937-826C-818A-9606-7B90A8224D2A}</x14:id>
        </x:ext>
      </x:extLst>
    </x:cfRule>
  </x:conditionalFormatting>
  <x:conditionalFormatting sqref="H4:H65">
    <x:cfRule type="colorScale" priority="2">
      <x:colorScale>
        <x:cfvo type="min"/>
        <x:cfvo type="percentile" val="50"/>
        <x:cfvo type="max"/>
        <x:color rgb="FFFDECEC"/>
        <x:color rgb="FFFFFFFF"/>
        <x:color rgb="FFEAF5EA"/>
      </x:colorScale>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3730937-826C-818A-9606-7B90A8224D2A}">
            <x14:dataBar gradient="1">
              <x14:cfvo type="min"/>
              <x14:cfvo type="max"/>
              <x14:fillColor rgb="FF6B4F8A"/>
            </x14:dataBar>
          </x14:cfRule>
          <xm:sqref>D4:D65</xm:sqref>
        </x14:conditionalFormatting>
      </x14:conditionalFormattings>
    </x:ext>
  </x:extLst>
</x:worksheet>
</file>

<file path=xl/worksheets/sheet10.xml><?xml version="1.0" encoding="utf-8"?>
<x:worksheet xmlns:x="http://schemas.openxmlformats.org/spreadsheetml/2006/main">
  <x:sheetFormatPr defaultRowHeight="15"/>
  <x:cols>
    <x:col min="1" max="1" width="8" hidden="0" customWidth="1"/>
    <x:col min="2" max="2" width="9" hidden="0" customWidth="1"/>
    <x:col min="3" max="3" width="9" hidden="0" customWidth="1"/>
    <x:col min="4" max="4" width="9" hidden="0" customWidth="1"/>
    <x:col min="5" max="5" width="9" hidden="0" customWidth="1"/>
    <x:col min="6" max="6" width="9" hidden="0" customWidth="1"/>
    <x:col min="7" max="7" width="9" hidden="0" customWidth="1"/>
    <x:col min="8" max="8" width="9" hidden="0" customWidth="1"/>
    <x:col min="9" max="9" width="16" hidden="0" customWidth="1"/>
    <x:col min="10" max="10" width="17" hidden="0" customWidth="1"/>
    <x:col min="11" max="11" width="11" hidden="0" customWidth="1"/>
    <x:col min="12" max="12" width="11" hidden="0" customWidth="1"/>
    <x:col min="13" max="13" width="11" hidden="0" customWidth="1"/>
    <x:col min="14" max="14" width="20" hidden="0" customWidth="1"/>
    <x:col min="15" max="15" width="16" hidden="0" customWidth="1"/>
  </x:cols>
  <x:sheetData>
    <x:row r="1" ht="30" customHeight="1">
      <x:c r="A1" s="259" t="str">
        <x:v>Experimental Diversified Anti-Crowd Portfolio</x:v>
      </x:c>
      <x:c r="B1" s="259"/>
      <x:c r="C1" s="259"/>
      <x:c r="D1" s="259"/>
      <x:c r="E1" s="259"/>
      <x:c r="F1" s="259"/>
      <x:c r="G1" s="259"/>
      <x:c r="H1" s="259"/>
      <x:c r="I1" s="259"/>
      <x:c r="J1" s="259"/>
      <x:c r="K1" s="259"/>
      <x:c r="L1" s="259"/>
      <x:c r="M1" s="259"/>
      <x:c r="N1" s="259"/>
      <x:c r="O1" s="259"/>
      <x:c r="P1" s="260"/>
      <x:c r="Q1" s="260"/>
      <x:c r="R1" s="260"/>
      <x:c r="S1" s="260"/>
      <x:c r="T1" s="260"/>
      <x:c r="U1" s="260"/>
      <x:c r="V1" s="260"/>
      <x:c r="W1" s="260"/>
      <x:c r="X1" s="260"/>
      <x:c r="Y1" s="260"/>
      <x:c r="Z1" s="260"/>
    </x:row>
    <x:row r="3">
      <x:c r="A3" s="95" t="str">
        <x:v>Line</x:v>
      </x:c>
      <x:c r="B3" s="96" t="str">
        <x:v>Main 1</x:v>
      </x:c>
      <x:c r="C3" s="96" t="str">
        <x:v>Main 2</x:v>
      </x:c>
      <x:c r="D3" s="96" t="str">
        <x:v>Main 3</x:v>
      </x:c>
      <x:c r="E3" s="96" t="str">
        <x:v>Main 4</x:v>
      </x:c>
      <x:c r="F3" s="96" t="str">
        <x:v>Main 5</x:v>
      </x:c>
      <x:c r="G3" s="96" t="str">
        <x:v>Euro 1</x:v>
      </x:c>
      <x:c r="H3" s="96" t="str">
        <x:v>Euro 2</x:v>
      </x:c>
      <x:c r="I3" s="96" t="str">
        <x:v>Portfolio Score</x:v>
      </x:c>
      <x:c r="J3" s="96" t="str">
        <x:v>Anti-Crowd Score</x:v>
      </x:c>
      <x:c r="K3" s="96" t="str">
        <x:v>Main Sum</x:v>
      </x:c>
      <x:c r="L3" s="96" t="str">
        <x:v>Odd Count</x:v>
      </x:c>
      <x:c r="M3" s="96" t="str">
        <x:v>Above 31</x:v>
      </x:c>
      <x:c r="N3" s="96" t="str">
        <x:v>Jackpot Probability</x:v>
      </x:c>
      <x:c r="O3" s="97" t="str">
        <x:v>Classification</x:v>
      </x:c>
    </x:row>
    <x:row r="4">
      <x:c r="A4" s="195" t="n">
        <x:v>1</x:v>
      </x:c>
      <x:c r="B4" s="196" t="n">
        <x:v>4</x:v>
      </x:c>
      <x:c r="C4" s="196" t="n">
        <x:v>32</x:v>
      </x:c>
      <x:c r="D4" s="196" t="n">
        <x:v>36</x:v>
      </x:c>
      <x:c r="E4" s="196" t="n">
        <x:v>41</x:v>
      </x:c>
      <x:c r="F4" s="196" t="n">
        <x:v>47</x:v>
      </x:c>
      <x:c r="G4" s="196" t="n">
        <x:v>5</x:v>
      </x:c>
      <x:c r="H4" s="196" t="n">
        <x:v>9</x:v>
      </x:c>
      <x:c r="I4" s="197" t="n">
        <x:v>-1.2714025391503996</x:v>
      </x:c>
      <x:c r="J4" s="197" t="n">
        <x:v>0.8</x:v>
      </x:c>
      <x:c r="K4" s="196" t="n">
        <x:f>SUM(B4:F4)</x:f>
        <x:v>160</x:v>
      </x:c>
      <x:c r="L4" s="196" t="n">
        <x:f>MOD(B4,2)+MOD(C4,2)+MOD(D4,2)+MOD(E4,2)+MOD(F4,2)</x:f>
        <x:v>2</x:v>
      </x:c>
      <x:c r="M4" s="196" t="n">
        <x:f>COUNTIF(B4:F4,"&gt;31")</x:f>
        <x:v>4</x:v>
      </x:c>
      <x:c r="N4" s="198" t="n">
        <x:f>1/'Executive Summary'!$B$24</x:f>
        <x:v>7.1511238420185165e-9</x:v>
      </x:c>
      <x:c r="O4" s="199" t="str">
        <x:v>Experimental</x:v>
      </x:c>
    </x:row>
    <x:row r="5">
      <x:c r="A5" s="74" t="n">
        <x:v>2</x:v>
      </x:c>
      <x:c r="B5" s="75" t="n">
        <x:v>4</x:v>
      </x:c>
      <x:c r="C5" s="75" t="n">
        <x:v>32</x:v>
      </x:c>
      <x:c r="D5" s="75" t="n">
        <x:v>37</x:v>
      </x:c>
      <x:c r="E5" s="75" t="n">
        <x:v>41</x:v>
      </x:c>
      <x:c r="F5" s="75" t="n">
        <x:v>45</x:v>
      </x:c>
      <x:c r="G5" s="75" t="n">
        <x:v>2</x:v>
      </x:c>
      <x:c r="H5" s="75" t="n">
        <x:v>3</x:v>
      </x:c>
      <x:c r="I5" s="125" t="n">
        <x:v>-4.273987711446938</x:v>
      </x:c>
      <x:c r="J5" s="125" t="n">
        <x:v>0.8</x:v>
      </x:c>
      <x:c r="K5" s="75" t="n">
        <x:f>SUM(B5:F5)</x:f>
        <x:v>159</x:v>
      </x:c>
      <x:c r="L5" s="75" t="n">
        <x:f>MOD(B5,2)+MOD(C5,2)+MOD(D5,2)+MOD(E5,2)+MOD(F5,2)</x:f>
        <x:v>3</x:v>
      </x:c>
      <x:c r="M5" s="75" t="n">
        <x:f>COUNTIF(B5:F5,"&gt;31")</x:f>
        <x:v>4</x:v>
      </x:c>
      <x:c r="N5" s="187" t="n">
        <x:f>1/'Executive Summary'!$B$24</x:f>
        <x:v>7.1511238420185165e-9</x:v>
      </x:c>
      <x:c r="O5" s="35" t="str">
        <x:v>Experimental</x:v>
      </x:c>
    </x:row>
    <x:row r="6">
      <x:c r="A6" s="74" t="n">
        <x:v>3</x:v>
      </x:c>
      <x:c r="B6" s="75" t="n">
        <x:v>1</x:v>
      </x:c>
      <x:c r="C6" s="75" t="n">
        <x:v>32</x:v>
      </x:c>
      <x:c r="D6" s="75" t="n">
        <x:v>37</x:v>
      </x:c>
      <x:c r="E6" s="75" t="n">
        <x:v>44</x:v>
      </x:c>
      <x:c r="F6" s="75" t="n">
        <x:v>48</x:v>
      </x:c>
      <x:c r="G6" s="75" t="n">
        <x:v>3</x:v>
      </x:c>
      <x:c r="H6" s="75" t="n">
        <x:v>7</x:v>
      </x:c>
      <x:c r="I6" s="125" t="n">
        <x:v>-4.979041408852963</x:v>
      </x:c>
      <x:c r="J6" s="125" t="n">
        <x:v>0.8</x:v>
      </x:c>
      <x:c r="K6" s="75" t="n">
        <x:f>SUM(B6:F6)</x:f>
        <x:v>162</x:v>
      </x:c>
      <x:c r="L6" s="75" t="n">
        <x:f>MOD(B6,2)+MOD(C6,2)+MOD(D6,2)+MOD(E6,2)+MOD(F6,2)</x:f>
        <x:v>2</x:v>
      </x:c>
      <x:c r="M6" s="75" t="n">
        <x:f>COUNTIF(B6:F6,"&gt;31")</x:f>
        <x:v>4</x:v>
      </x:c>
      <x:c r="N6" s="187" t="n">
        <x:f>1/'Executive Summary'!$B$24</x:f>
        <x:v>7.1511238420185165e-9</x:v>
      </x:c>
      <x:c r="O6" s="35" t="str">
        <x:v>Experimental</x:v>
      </x:c>
    </x:row>
    <x:row r="7">
      <x:c r="A7" s="74" t="n">
        <x:v>4</x:v>
      </x:c>
      <x:c r="B7" s="75" t="n">
        <x:v>6</x:v>
      </x:c>
      <x:c r="C7" s="75" t="n">
        <x:v>32</x:v>
      </x:c>
      <x:c r="D7" s="75" t="n">
        <x:v>39</x:v>
      </x:c>
      <x:c r="E7" s="75" t="n">
        <x:v>41</x:v>
      </x:c>
      <x:c r="F7" s="75" t="n">
        <x:v>43</x:v>
      </x:c>
      <x:c r="G7" s="75" t="n">
        <x:v>1</x:v>
      </x:c>
      <x:c r="H7" s="75" t="n">
        <x:v>8</x:v>
      </x:c>
      <x:c r="I7" s="125" t="n">
        <x:v>-5.679759942038884</x:v>
      </x:c>
      <x:c r="J7" s="125" t="n">
        <x:v>0.8</x:v>
      </x:c>
      <x:c r="K7" s="75" t="n">
        <x:f>SUM(B7:F7)</x:f>
        <x:v>161</x:v>
      </x:c>
      <x:c r="L7" s="75" t="n">
        <x:f>MOD(B7,2)+MOD(C7,2)+MOD(D7,2)+MOD(E7,2)+MOD(F7,2)</x:f>
        <x:v>3</x:v>
      </x:c>
      <x:c r="M7" s="75" t="n">
        <x:f>COUNTIF(B7:F7,"&gt;31")</x:f>
        <x:v>4</x:v>
      </x:c>
      <x:c r="N7" s="187" t="n">
        <x:f>1/'Executive Summary'!$B$24</x:f>
        <x:v>7.1511238420185165e-9</x:v>
      </x:c>
      <x:c r="O7" s="35" t="str">
        <x:v>Experimental</x:v>
      </x:c>
    </x:row>
    <x:row r="8">
      <x:c r="A8" s="74" t="n">
        <x:v>5</x:v>
      </x:c>
      <x:c r="B8" s="75" t="n">
        <x:v>2</x:v>
      </x:c>
      <x:c r="C8" s="75" t="n">
        <x:v>35</x:v>
      </x:c>
      <x:c r="D8" s="75" t="n">
        <x:v>37</x:v>
      </x:c>
      <x:c r="E8" s="75" t="n">
        <x:v>44</x:v>
      </x:c>
      <x:c r="F8" s="75" t="n">
        <x:v>46</x:v>
      </x:c>
      <x:c r="G8" s="75" t="n">
        <x:v>4</x:v>
      </x:c>
      <x:c r="H8" s="75" t="n">
        <x:v>10</x:v>
      </x:c>
      <x:c r="I8" s="125" t="n">
        <x:v>-3.8862714734415316</x:v>
      </x:c>
      <x:c r="J8" s="125" t="n">
        <x:v>0.8</x:v>
      </x:c>
      <x:c r="K8" s="75" t="n">
        <x:f>SUM(B8:F8)</x:f>
        <x:v>164</x:v>
      </x:c>
      <x:c r="L8" s="75" t="n">
        <x:f>MOD(B8,2)+MOD(C8,2)+MOD(D8,2)+MOD(E8,2)+MOD(F8,2)</x:f>
        <x:v>2</x:v>
      </x:c>
      <x:c r="M8" s="75" t="n">
        <x:f>COUNTIF(B8:F8,"&gt;31")</x:f>
        <x:v>4</x:v>
      </x:c>
      <x:c r="N8" s="187" t="n">
        <x:f>1/'Executive Summary'!$B$24</x:f>
        <x:v>7.1511238420185165e-9</x:v>
      </x:c>
      <x:c r="O8" s="35" t="str">
        <x:v>Experimental</x:v>
      </x:c>
    </x:row>
    <x:row r="9">
      <x:c r="A9" s="74" t="n">
        <x:v>6</x:v>
      </x:c>
      <x:c r="B9" s="75" t="n">
        <x:v>2</x:v>
      </x:c>
      <x:c r="C9" s="75" t="n">
        <x:v>34</x:v>
      </x:c>
      <x:c r="D9" s="75" t="n">
        <x:v>36</x:v>
      </x:c>
      <x:c r="E9" s="75" t="n">
        <x:v>43</x:v>
      </x:c>
      <x:c r="F9" s="75" t="n">
        <x:v>49</x:v>
      </x:c>
      <x:c r="G9" s="75" t="n">
        <x:v>7</x:v>
      </x:c>
      <x:c r="H9" s="75" t="n">
        <x:v>12</x:v>
      </x:c>
      <x:c r="I9" s="125" t="n">
        <x:v>-4.7872819912539475</x:v>
      </x:c>
      <x:c r="J9" s="125" t="n">
        <x:v>0.8</x:v>
      </x:c>
      <x:c r="K9" s="75" t="n">
        <x:f>SUM(B9:F9)</x:f>
        <x:v>164</x:v>
      </x:c>
      <x:c r="L9" s="75" t="n">
        <x:f>MOD(B9,2)+MOD(C9,2)+MOD(D9,2)+MOD(E9,2)+MOD(F9,2)</x:f>
        <x:v>2</x:v>
      </x:c>
      <x:c r="M9" s="75" t="n">
        <x:f>COUNTIF(B9:F9,"&gt;31")</x:f>
        <x:v>4</x:v>
      </x:c>
      <x:c r="N9" s="187" t="n">
        <x:f>1/'Executive Summary'!$B$24</x:f>
        <x:v>7.1511238420185165e-9</x:v>
      </x:c>
      <x:c r="O9" s="35" t="str">
        <x:v>Experimental</x:v>
      </x:c>
    </x:row>
    <x:row r="10">
      <x:c r="A10" s="74" t="n">
        <x:v>7</x:v>
      </x:c>
      <x:c r="B10" s="75" t="n">
        <x:v>8</x:v>
      </x:c>
      <x:c r="C10" s="75" t="n">
        <x:v>33</x:v>
      </x:c>
      <x:c r="D10" s="75" t="n">
        <x:v>39</x:v>
      </x:c>
      <x:c r="E10" s="75" t="n">
        <x:v>42</x:v>
      </x:c>
      <x:c r="F10" s="75" t="n">
        <x:v>45</x:v>
      </x:c>
      <x:c r="G10" s="75" t="n">
        <x:v>8</x:v>
      </x:c>
      <x:c r="H10" s="75" t="n">
        <x:v>9</x:v>
      </x:c>
      <x:c r="I10" s="125" t="n">
        <x:v>-5.091524392494627</x:v>
      </x:c>
      <x:c r="J10" s="125" t="n">
        <x:v>0.8</x:v>
      </x:c>
      <x:c r="K10" s="75" t="n">
        <x:f>SUM(B10:F10)</x:f>
        <x:v>167</x:v>
      </x:c>
      <x:c r="L10" s="75" t="n">
        <x:f>MOD(B10,2)+MOD(C10,2)+MOD(D10,2)+MOD(E10,2)+MOD(F10,2)</x:f>
        <x:v>3</x:v>
      </x:c>
      <x:c r="M10" s="75" t="n">
        <x:f>COUNTIF(B10:F10,"&gt;31")</x:f>
        <x:v>4</x:v>
      </x:c>
      <x:c r="N10" s="187" t="n">
        <x:f>1/'Executive Summary'!$B$24</x:f>
        <x:v>7.1511238420185165e-9</x:v>
      </x:c>
      <x:c r="O10" s="35" t="str">
        <x:v>Experimental</x:v>
      </x:c>
    </x:row>
    <x:row r="11">
      <x:c r="A11" s="74" t="n">
        <x:v>8</x:v>
      </x:c>
      <x:c r="B11" s="75" t="n">
        <x:v>1</x:v>
      </x:c>
      <x:c r="C11" s="75" t="n">
        <x:v>35</x:v>
      </x:c>
      <x:c r="D11" s="75" t="n">
        <x:v>38</x:v>
      </x:c>
      <x:c r="E11" s="75" t="n">
        <x:v>42</x:v>
      </x:c>
      <x:c r="F11" s="75" t="n">
        <x:v>50</x:v>
      </x:c>
      <x:c r="G11" s="75" t="n">
        <x:v>10</x:v>
      </x:c>
      <x:c r="H11" s="75" t="n">
        <x:v>12</x:v>
      </x:c>
      <x:c r="I11" s="125" t="n">
        <x:v>-5.892316820102814</x:v>
      </x:c>
      <x:c r="J11" s="125" t="n">
        <x:v>0.8</x:v>
      </x:c>
      <x:c r="K11" s="75" t="n">
        <x:f>SUM(B11:F11)</x:f>
        <x:v>166</x:v>
      </x:c>
      <x:c r="L11" s="75" t="n">
        <x:f>MOD(B11,2)+MOD(C11,2)+MOD(D11,2)+MOD(E11,2)+MOD(F11,2)</x:f>
        <x:v>2</x:v>
      </x:c>
      <x:c r="M11" s="75" t="n">
        <x:f>COUNTIF(B11:F11,"&gt;31")</x:f>
        <x:v>4</x:v>
      </x:c>
      <x:c r="N11" s="187" t="n">
        <x:f>1/'Executive Summary'!$B$24</x:f>
        <x:v>7.1511238420185165e-9</x:v>
      </x:c>
      <x:c r="O11" s="35" t="str">
        <x:v>Experimental</x:v>
      </x:c>
    </x:row>
    <x:row r="12">
      <x:c r="A12" s="74" t="n">
        <x:v>9</x:v>
      </x:c>
      <x:c r="B12" s="75" t="n">
        <x:v>4</x:v>
      </x:c>
      <x:c r="C12" s="75" t="n">
        <x:v>6</x:v>
      </x:c>
      <x:c r="D12" s="75" t="n">
        <x:v>35</x:v>
      </x:c>
      <x:c r="E12" s="75" t="n">
        <x:v>40</x:v>
      </x:c>
      <x:c r="F12" s="75" t="n">
        <x:v>47</x:v>
      </x:c>
      <x:c r="G12" s="75" t="n">
        <x:v>6</x:v>
      </x:c>
      <x:c r="H12" s="75" t="n">
        <x:v>11</x:v>
      </x:c>
      <x:c r="I12" s="125" t="n">
        <x:v>-6.330912935459112</x:v>
      </x:c>
      <x:c r="J12" s="125" t="n">
        <x:v>0.6000000000000001</x:v>
      </x:c>
      <x:c r="K12" s="75" t="n">
        <x:f>SUM(B12:F12)</x:f>
        <x:v>132</x:v>
      </x:c>
      <x:c r="L12" s="75" t="n">
        <x:f>MOD(B12,2)+MOD(C12,2)+MOD(D12,2)+MOD(E12,2)+MOD(F12,2)</x:f>
        <x:v>2</x:v>
      </x:c>
      <x:c r="M12" s="75" t="n">
        <x:f>COUNTIF(B12:F12,"&gt;31")</x:f>
        <x:v>3</x:v>
      </x:c>
      <x:c r="N12" s="187" t="n">
        <x:f>1/'Executive Summary'!$B$24</x:f>
        <x:v>7.1511238420185165e-9</x:v>
      </x:c>
      <x:c r="O12" s="35" t="str">
        <x:v>Experimental</x:v>
      </x:c>
    </x:row>
    <x:row r="13">
      <x:c r="A13" s="76" t="n">
        <x:v>10</x:v>
      </x:c>
      <x:c r="B13" s="77" t="n">
        <x:v>3</x:v>
      </x:c>
      <x:c r="C13" s="77" t="n">
        <x:v>17</x:v>
      </x:c>
      <x:c r="D13" s="77" t="n">
        <x:v>34</x:v>
      </x:c>
      <x:c r="E13" s="77" t="n">
        <x:v>40</x:v>
      </x:c>
      <x:c r="F13" s="77" t="n">
        <x:v>49</x:v>
      </x:c>
      <x:c r="G13" s="77" t="n">
        <x:v>5</x:v>
      </x:c>
      <x:c r="H13" s="77" t="n">
        <x:v>6</x:v>
      </x:c>
      <x:c r="I13" s="126" t="n">
        <x:v>-6.151398030920604</x:v>
      </x:c>
      <x:c r="J13" s="126" t="n">
        <x:v>0.6000000000000001</x:v>
      </x:c>
      <x:c r="K13" s="77" t="n">
        <x:f>SUM(B13:F13)</x:f>
        <x:v>143</x:v>
      </x:c>
      <x:c r="L13" s="77" t="n">
        <x:f>MOD(B13,2)+MOD(C13,2)+MOD(D13,2)+MOD(E13,2)+MOD(F13,2)</x:f>
        <x:v>3</x:v>
      </x:c>
      <x:c r="M13" s="77" t="n">
        <x:f>COUNTIF(B13:F13,"&gt;31")</x:f>
        <x:v>3</x:v>
      </x:c>
      <x:c r="N13" s="188" t="n">
        <x:f>1/'Executive Summary'!$B$24</x:f>
        <x:v>7.1511238420185165e-9</x:v>
      </x:c>
      <x:c r="O13" s="37" t="str">
        <x:v>Experimental</x:v>
      </x:c>
    </x:row>
    <x:row r="15">
      <x:c r="A15" s="119" t="str">
        <x:v>Anti-crowd scoring avoids birthday-heavy, consecutive, same-ending, multiples-of-five and concentrated-decade patterns. This may reduce the chance of sharing a prize with many other players, but it does not make the line more likely to be drawn.</x:v>
      </x:c>
      <x:c r="B15" s="119"/>
      <x:c r="C15" s="119"/>
      <x:c r="D15" s="119"/>
      <x:c r="E15" s="119"/>
      <x:c r="F15" s="119"/>
      <x:c r="G15" s="119"/>
      <x:c r="H15" s="119"/>
      <x:c r="I15" s="119"/>
      <x:c r="J15" s="119"/>
      <x:c r="K15" s="119"/>
      <x:c r="L15" s="119"/>
      <x:c r="M15" s="119"/>
      <x:c r="N15" s="119"/>
      <x:c r="O15" s="119"/>
    </x:row>
    <x:row r="16">
      <x:c r="A16" s="119"/>
      <x:c r="B16" s="119"/>
      <x:c r="C16" s="119"/>
      <x:c r="D16" s="119"/>
      <x:c r="E16" s="119"/>
      <x:c r="F16" s="119"/>
      <x:c r="G16" s="119"/>
      <x:c r="H16" s="119"/>
      <x:c r="I16" s="119"/>
      <x:c r="J16" s="119"/>
      <x:c r="K16" s="119"/>
      <x:c r="L16" s="119"/>
      <x:c r="M16" s="119"/>
      <x:c r="N16" s="119"/>
      <x:c r="O16" s="119"/>
    </x:row>
    <x:row r="17">
      <x:c r="A17" s="119"/>
      <x:c r="B17" s="119"/>
      <x:c r="C17" s="119"/>
      <x:c r="D17" s="119"/>
      <x:c r="E17" s="119"/>
      <x:c r="F17" s="119"/>
      <x:c r="G17" s="119"/>
      <x:c r="H17" s="119"/>
      <x:c r="I17" s="119"/>
      <x:c r="J17" s="119"/>
      <x:c r="K17" s="119"/>
      <x:c r="L17" s="119"/>
      <x:c r="M17" s="119"/>
      <x:c r="N17" s="119"/>
      <x:c r="O17" s="119"/>
    </x:row>
    <x:row r="18">
      <x:c r="A18" s="119"/>
      <x:c r="B18" s="119"/>
      <x:c r="C18" s="119"/>
      <x:c r="D18" s="119"/>
      <x:c r="E18" s="119"/>
      <x:c r="F18" s="119"/>
      <x:c r="G18" s="119"/>
      <x:c r="H18" s="119"/>
      <x:c r="I18" s="119"/>
      <x:c r="J18" s="119"/>
      <x:c r="K18" s="119"/>
      <x:c r="L18" s="119"/>
      <x:c r="M18" s="119"/>
      <x:c r="N18" s="119"/>
      <x:c r="O18" s="119"/>
    </x:row>
  </x:sheetData>
  <x:mergeCells>
    <x:mergeCell ref="A1:O1"/>
    <x:mergeCell ref="A15:O18"/>
  </x:mergeCells>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50" hidden="0" customWidth="1"/>
    <x:col min="3" max="3" width="48" hidden="0" customWidth="1"/>
    <x:col min="8" max="8" width="30" hidden="0" customWidth="1"/>
    <x:col min="9" max="9" width="34" hidden="0" customWidth="1"/>
    <x:col min="10" max="10" width="78" hidden="0" customWidth="1"/>
  </x:cols>
  <x:sheetData>
    <x:row r="1" ht="30" customHeight="1">
      <x:c r="A1" s="259" t="str">
        <x:v>Data Verification, Rule Eras and Sources</x:v>
      </x:c>
      <x:c r="B1" s="259"/>
      <x:c r="C1" s="259"/>
      <x:c r="D1" s="259"/>
      <x:c r="E1" s="259"/>
      <x:c r="F1" s="259"/>
      <x:c r="G1" s="259"/>
      <x:c r="H1" s="259"/>
      <x:c r="I1" s="259"/>
      <x:c r="J1" s="259"/>
      <x:c r="K1" s="259"/>
      <x:c r="L1" s="259"/>
      <x:c r="M1" s="259"/>
      <x:c r="N1" s="260"/>
      <x:c r="O1" s="260"/>
      <x:c r="P1" s="260"/>
      <x:c r="Q1" s="260"/>
      <x:c r="R1" s="260"/>
      <x:c r="S1" s="260"/>
      <x:c r="T1" s="260"/>
      <x:c r="U1" s="260"/>
      <x:c r="V1" s="260"/>
      <x:c r="W1" s="260"/>
      <x:c r="X1" s="260"/>
      <x:c r="Y1" s="260"/>
      <x:c r="Z1" s="260"/>
    </x:row>
    <x:row r="3" ht="22" customHeight="1">
      <x:c r="A3" s="19" t="str">
        <x:v>Source Register</x:v>
      </x:c>
      <x:c r="B3" s="19"/>
      <x:c r="C3" s="19"/>
      <x:c r="D3" s="19"/>
      <x:c r="E3" s="19"/>
      <x:c r="F3" s="19"/>
      <x:c r="G3" s="19"/>
      <x:c r="H3" s="19"/>
      <x:c r="I3" s="19"/>
      <x:c r="J3" s="19"/>
      <x:c r="K3" s="19"/>
      <x:c r="L3" s="19"/>
      <x:c r="M3" s="19"/>
    </x:row>
    <x:row r="5">
      <x:c r="A5" s="32" t="str">
        <x:v>Calendar completeness</x:v>
      </x:c>
      <x:c r="B5" s="33" t="str">
        <x:v>975/975</x:v>
      </x:c>
      <x:c r="H5" s="95" t="str">
        <x:v>Purpose</x:v>
      </x:c>
      <x:c r="I5" s="96" t="str">
        <x:v>Source</x:v>
      </x:c>
      <x:c r="J5" s="97" t="str">
        <x:v>URL</x:v>
      </x:c>
    </x:row>
    <x:row r="6">
      <x:c r="A6" s="34" t="str">
        <x:v>Duplicate dates</x:v>
      </x:c>
      <x:c r="B6" s="35" t="n">
        <x:v>0</x:v>
      </x:c>
      <x:c r="H6" s="74" t="str">
        <x:v>Official current results</x:v>
      </x:c>
      <x:c r="I6" s="75" t="str">
        <x:v>EuroJackpot official</x:v>
      </x:c>
      <x:c r="J6" s="54" t="str">
        <x:v>https://www.eurojackpot.com/</x:v>
      </x:c>
    </x:row>
    <x:row r="7">
      <x:c r="A7" s="34" t="str">
        <x:v>Missing dates</x:v>
      </x:c>
      <x:c r="B7" s="35" t="n">
        <x:v>0</x:v>
      </x:c>
      <x:c r="H7" s="74" t="str">
        <x:v>Official-state historical archive</x:v>
      </x:c>
      <x:c r="I7" s="75" t="str">
        <x:v>Sachsenlotto</x:v>
      </x:c>
      <x:c r="J7" s="54" t="str">
        <x:v>https://www.sachsenlotto.de/portal/zahlen-quoten/gewinnzahlen/download-archiv/gewinnzahlen_download.jsp</x:v>
      </x:c>
    </x:row>
    <x:row r="8">
      <x:c r="A8" s="34" t="str">
        <x:v>Off-schedule dates</x:v>
      </x:c>
      <x:c r="B8" s="35" t="n">
        <x:v>0</x:v>
      </x:c>
      <x:c r="H8" s="74" t="str">
        <x:v>Public year archives / cross-check</x:v>
      </x:c>
      <x:c r="I8" s="75" t="str">
        <x:v>Euro-Jackpot.net</x:v>
      </x:c>
      <x:c r="J8" s="54" t="str">
        <x:v>https://www.euro-jackpot.net/results-archive-2026</x:v>
      </x:c>
    </x:row>
    <x:row r="9">
      <x:c r="A9" s="34" t="str">
        <x:v>Uploaded draws tested</x:v>
      </x:c>
      <x:c r="B9" s="35" t="n">
        <x:v>235</x:v>
      </x:c>
      <x:c r="H9" s="74" t="str">
        <x:v>Uploaded 2024–2026 records</x:v>
      </x:c>
      <x:c r="I9" s="75" t="str">
        <x:v>OPAP spreadsheets supplied by user</x:v>
      </x:c>
      <x:c r="J9" s="54" t="str">
        <x:v>Local uploaded files</x:v>
      </x:c>
    </x:row>
    <x:row r="10">
      <x:c r="A10" s="34" t="str">
        <x:v>Uploaded exact matches</x:v>
      </x:c>
      <x:c r="B10" s="35" t="n">
        <x:v>235</x:v>
      </x:c>
      <x:c r="H10" s="76" t="str">
        <x:v>Original full-history import</x:v>
      </x:c>
      <x:c r="I10" s="77" t="str">
        <x:v>LottoMetrics export</x:v>
      </x:c>
      <x:c r="J10" s="123" t="str">
        <x:v>https://www.lottometrics.app/api/export/draws/eurojackpot/all/txt</x:v>
      </x:c>
    </x:row>
    <x:row r="11">
      <x:c r="A11" s="34" t="str">
        <x:v>Uploaded mismatches</x:v>
      </x:c>
      <x:c r="B11" s="35" t="n">
        <x:v>0</x:v>
      </x:c>
    </x:row>
    <x:row r="12">
      <x:c r="A12" s="34" t="str">
        <x:v>Range/uniqueness validation</x:v>
      </x:c>
      <x:c r="B12" s="35" t="str">
        <x:v>PASS</x:v>
      </x:c>
    </x:row>
    <x:row r="13">
      <x:c r="A13" s="36" t="str">
        <x:v>Older-source disclosure</x:v>
      </x:c>
      <x:c r="B13" s="123" t="str">
        <x:v>Archive-sourced; not falsely labeled fully cross-verified</x:v>
      </x:c>
    </x:row>
    <x:row r="15" ht="22" customHeight="1">
      <x:c r="A15" s="19" t="str">
        <x:v>Rule and Sensitivity Eras</x:v>
      </x:c>
      <x:c r="B15" s="19"/>
      <x:c r="C15" s="19"/>
      <x:c r="D15" s="19"/>
      <x:c r="E15" s="19"/>
      <x:c r="F15" s="19"/>
      <x:c r="G15" s="19"/>
      <x:c r="H15" s="19"/>
      <x:c r="I15" s="19"/>
      <x:c r="J15" s="19"/>
      <x:c r="K15" s="19"/>
      <x:c r="L15" s="19"/>
      <x:c r="M15" s="19"/>
    </x:row>
    <x:row r="17">
      <x:c r="A17" s="95" t="str">
        <x:v>Breakpoint</x:v>
      </x:c>
      <x:c r="B17" s="96" t="str">
        <x:v>Change</x:v>
      </x:c>
      <x:c r="C17" s="97" t="str">
        <x:v>Treatment</x:v>
      </x:c>
    </x:row>
    <x:row r="18">
      <x:c r="A18" s="209" t="n">
        <x:v>41922</x:v>
      </x:c>
      <x:c r="B18" s="213" t="str">
        <x:v>Euro pool 8 to 10</x:v>
      </x:c>
      <x:c r="C18" s="54" t="str">
        <x:v>Separate rule-compatible era</x:v>
      </x:c>
    </x:row>
    <x:row r="19">
      <x:c r="A19" s="209" t="n">
        <x:v>44645</x:v>
      </x:c>
      <x:c r="B19" s="213" t="str">
        <x:v>Euro pool 10 to 12; Tuesday draw introduced</x:v>
      </x:c>
      <x:c r="C19" s="54" t="str">
        <x:v>Separate rule-compatible era</x:v>
      </x:c>
    </x:row>
    <x:row r="20">
      <x:c r="A20" s="210" t="n">
        <x:v>45359</x:v>
      </x:c>
      <x:c r="B20" s="214" t="str">
        <x:v>Studio/set sensitivity breakpoint only; no verified draw-machine change assumed</x:v>
      </x:c>
      <x:c r="C20" s="123" t="str">
        <x:v>Sensitivity test only; no verified machine change assumed</x:v>
      </x:c>
    </x:row>
  </x:sheetData>
  <x:mergeCells>
    <x:mergeCell ref="A1:M1"/>
    <x:mergeCell ref="A3:F3"/>
    <x:mergeCell ref="A15:M15"/>
    <x:mergeCell ref="A3:M3"/>
  </x:mergeCells>
  <x:pageMargins left="0.7" right="0.7" top="0.75" bottom="0.75" header="0.3" footer="0.3"/>
</x:worksheet>
</file>

<file path=xl/worksheets/sheet12.xml><?xml version="1.0" encoding="utf-8"?>
<x:worksheet xmlns:x="http://schemas.openxmlformats.org/spreadsheetml/2006/main">
  <x:sheetFormatPr defaultRowHeight="15"/>
  <x:cols>
    <x:col min="1" max="1" width="10" hidden="0" customWidth="1"/>
    <x:col min="2" max="2" width="13" hidden="0" customWidth="1"/>
    <x:col min="3" max="3" width="8" hidden="0" customWidth="1"/>
    <x:col min="4" max="4" width="8" hidden="0" customWidth="1"/>
    <x:col min="5" max="5" width="8" hidden="0" customWidth="1"/>
    <x:col min="6" max="6" width="8" hidden="0" customWidth="1"/>
    <x:col min="7" max="7" width="8" hidden="0" customWidth="1"/>
    <x:col min="8" max="8" width="8" hidden="0" customWidth="1"/>
    <x:col min="9" max="9" width="8" hidden="0" customWidth="1"/>
    <x:col min="10" max="10" width="10" hidden="0" customWidth="1"/>
    <x:col min="11" max="11" width="10" hidden="0" customWidth="1"/>
    <x:col min="12" max="12" width="21" hidden="0" customWidth="1"/>
    <x:col min="13" max="13" width="40" hidden="0" customWidth="1"/>
    <x:col min="14" max="14" width="11" hidden="0" customWidth="1"/>
    <x:col min="15" max="15" width="33" hidden="0" customWidth="1"/>
    <x:col min="16" max="16" width="48" hidden="0" customWidth="1"/>
    <x:col min="17" max="17" width="28" hidden="0" customWidth="1"/>
  </x:cols>
  <x:sheetData>
    <x:row r="1" ht="30" customHeight="1">
      <x:c r="A1" s="259" t="str">
        <x:v>Canonical EuroJackpot History with Verification Status</x:v>
      </x:c>
      <x:c r="B1" s="259"/>
      <x:c r="C1" s="259"/>
      <x:c r="D1" s="259"/>
      <x:c r="E1" s="259"/>
      <x:c r="F1" s="259"/>
      <x:c r="G1" s="259"/>
      <x:c r="H1" s="259"/>
      <x:c r="I1" s="259"/>
      <x:c r="J1" s="259"/>
      <x:c r="K1" s="259"/>
      <x:c r="L1" s="259"/>
      <x:c r="M1" s="259"/>
      <x:c r="N1" s="259"/>
      <x:c r="O1" s="259"/>
      <x:c r="P1" s="259"/>
      <x:c r="Q1" s="259"/>
      <x:c r="R1" s="260"/>
      <x:c r="S1" s="260"/>
      <x:c r="T1" s="260"/>
      <x:c r="U1" s="260"/>
      <x:c r="V1" s="260"/>
      <x:c r="W1" s="260"/>
      <x:c r="X1" s="260"/>
      <x:c r="Y1" s="260"/>
      <x:c r="Z1" s="260"/>
    </x:row>
    <x:row r="3">
      <x:c r="A3" s="95" t="str">
        <x:v>draw_id</x:v>
      </x:c>
      <x:c r="B3" s="96" t="str">
        <x:v>draw_date</x:v>
      </x:c>
      <x:c r="C3" s="96" t="str">
        <x:v>main_1</x:v>
      </x:c>
      <x:c r="D3" s="96" t="str">
        <x:v>main_2</x:v>
      </x:c>
      <x:c r="E3" s="96" t="str">
        <x:v>main_3</x:v>
      </x:c>
      <x:c r="F3" s="96" t="str">
        <x:v>main_4</x:v>
      </x:c>
      <x:c r="G3" s="96" t="str">
        <x:v>main_5</x:v>
      </x:c>
      <x:c r="H3" s="96" t="str">
        <x:v>euro_1</x:v>
      </x:c>
      <x:c r="I3" s="96" t="str">
        <x:v>euro_2</x:v>
      </x:c>
      <x:c r="J3" s="96" t="str">
        <x:v>main_pool</x:v>
      </x:c>
      <x:c r="K3" s="96" t="str">
        <x:v>euro_pool</x:v>
      </x:c>
      <x:c r="L3" s="96" t="str">
        <x:v>rule_version</x:v>
      </x:c>
      <x:c r="M3" s="96" t="str">
        <x:v>operational_sensitivity_era</x:v>
      </x:c>
      <x:c r="N3" s="96" t="str">
        <x:v>draw_day</x:v>
      </x:c>
      <x:c r="O3" s="96" t="str">
        <x:v>source</x:v>
      </x:c>
      <x:c r="P3" s="96" t="str">
        <x:v>verification_status</x:v>
      </x:c>
      <x:c r="Q3" s="97" t="str">
        <x:v>correction_note</x:v>
      </x:c>
    </x:row>
    <x:row r="4">
      <x:c r="A4" s="74" t="n">
        <x:v>1</x:v>
      </x:c>
      <x:c r="B4" s="217" t="n">
        <x:v>40991</x:v>
      </x:c>
      <x:c r="C4" s="75" t="n">
        <x:v>5</x:v>
      </x:c>
      <x:c r="D4" s="75" t="n">
        <x:v>8</x:v>
      </x:c>
      <x:c r="E4" s="75" t="n">
        <x:v>21</x:v>
      </x:c>
      <x:c r="F4" s="75" t="n">
        <x:v>37</x:v>
      </x:c>
      <x:c r="G4" s="75" t="n">
        <x:v>46</x:v>
      </x:c>
      <x:c r="H4" s="75" t="n">
        <x:v>6</x:v>
      </x:c>
      <x:c r="I4" s="75" t="n">
        <x:v>8</x:v>
      </x:c>
      <x:c r="J4" s="75" t="n">
        <x:v>50</x:v>
      </x:c>
      <x:c r="K4" s="75" t="n">
        <x:v>8</x:v>
      </x:c>
      <x:c r="L4" s="75" t="str">
        <x:v>R1_5of50_2of8</x:v>
      </x:c>
      <x:c r="M4" s="213" t="str">
        <x:v>S1_pre_2024_studio_change_sensitivity_only</x:v>
      </x:c>
      <x:c r="N4" s="213" t="str">
        <x:v>Friday</x:v>
      </x:c>
      <x:c r="O4" s="213" t="str">
        <x:v>LottoMetrics full-history export</x:v>
      </x:c>
      <x:c r="P4" s="213" t="str">
        <x:v>Archive-sourced; calendar/range/uniqueness validated</x:v>
      </x:c>
      <x:c r="Q4" s="54" t="str"/>
    </x:row>
    <x:row r="5">
      <x:c r="A5" s="74" t="n">
        <x:v>2</x:v>
      </x:c>
      <x:c r="B5" s="217" t="n">
        <x:v>40998</x:v>
      </x:c>
      <x:c r="C5" s="75" t="n">
        <x:v>5</x:v>
      </x:c>
      <x:c r="D5" s="75" t="n">
        <x:v>7</x:v>
      </x:c>
      <x:c r="E5" s="75" t="n">
        <x:v>12</x:v>
      </x:c>
      <x:c r="F5" s="75" t="n">
        <x:v>19</x:v>
      </x:c>
      <x:c r="G5" s="75" t="n">
        <x:v>26</x:v>
      </x:c>
      <x:c r="H5" s="75" t="n">
        <x:v>1</x:v>
      </x:c>
      <x:c r="I5" s="75" t="n">
        <x:v>5</x:v>
      </x:c>
      <x:c r="J5" s="75" t="n">
        <x:v>50</x:v>
      </x:c>
      <x:c r="K5" s="75" t="n">
        <x:v>8</x:v>
      </x:c>
      <x:c r="L5" s="75" t="str">
        <x:v>R1_5of50_2of8</x:v>
      </x:c>
      <x:c r="M5" s="213" t="str">
        <x:v>S1_pre_2024_studio_change_sensitivity_only</x:v>
      </x:c>
      <x:c r="N5" s="213" t="str">
        <x:v>Friday</x:v>
      </x:c>
      <x:c r="O5" s="213" t="str">
        <x:v>LottoMetrics full-history export</x:v>
      </x:c>
      <x:c r="P5" s="213" t="str">
        <x:v>Archive-sourced; calendar/range/uniqueness validated</x:v>
      </x:c>
      <x:c r="Q5" s="54" t="str"/>
    </x:row>
    <x:row r="6">
      <x:c r="A6" s="74" t="n">
        <x:v>3</x:v>
      </x:c>
      <x:c r="B6" s="217" t="n">
        <x:v>41005</x:v>
      </x:c>
      <x:c r="C6" s="75" t="n">
        <x:v>7</x:v>
      </x:c>
      <x:c r="D6" s="75" t="n">
        <x:v>8</x:v>
      </x:c>
      <x:c r="E6" s="75" t="n">
        <x:v>34</x:v>
      </x:c>
      <x:c r="F6" s="75" t="n">
        <x:v>36</x:v>
      </x:c>
      <x:c r="G6" s="75" t="n">
        <x:v>38</x:v>
      </x:c>
      <x:c r="H6" s="75" t="n">
        <x:v>4</x:v>
      </x:c>
      <x:c r="I6" s="75" t="n">
        <x:v>5</x:v>
      </x:c>
      <x:c r="J6" s="75" t="n">
        <x:v>50</x:v>
      </x:c>
      <x:c r="K6" s="75" t="n">
        <x:v>8</x:v>
      </x:c>
      <x:c r="L6" s="75" t="str">
        <x:v>R1_5of50_2of8</x:v>
      </x:c>
      <x:c r="M6" s="213" t="str">
        <x:v>S1_pre_2024_studio_change_sensitivity_only</x:v>
      </x:c>
      <x:c r="N6" s="213" t="str">
        <x:v>Friday</x:v>
      </x:c>
      <x:c r="O6" s="213" t="str">
        <x:v>LottoMetrics full-history export</x:v>
      </x:c>
      <x:c r="P6" s="213" t="str">
        <x:v>Archive-sourced; calendar/range/uniqueness validated</x:v>
      </x:c>
      <x:c r="Q6" s="54" t="str"/>
    </x:row>
    <x:row r="7">
      <x:c r="A7" s="74" t="n">
        <x:v>4</x:v>
      </x:c>
      <x:c r="B7" s="217" t="n">
        <x:v>41012</x:v>
      </x:c>
      <x:c r="C7" s="75" t="n">
        <x:v>5</x:v>
      </x:c>
      <x:c r="D7" s="75" t="n">
        <x:v>11</x:v>
      </x:c>
      <x:c r="E7" s="75" t="n">
        <x:v>12</x:v>
      </x:c>
      <x:c r="F7" s="75" t="n">
        <x:v>27</x:v>
      </x:c>
      <x:c r="G7" s="75" t="n">
        <x:v>32</x:v>
      </x:c>
      <x:c r="H7" s="75" t="n">
        <x:v>1</x:v>
      </x:c>
      <x:c r="I7" s="75" t="n">
        <x:v>3</x:v>
      </x:c>
      <x:c r="J7" s="75" t="n">
        <x:v>50</x:v>
      </x:c>
      <x:c r="K7" s="75" t="n">
        <x:v>8</x:v>
      </x:c>
      <x:c r="L7" s="75" t="str">
        <x:v>R1_5of50_2of8</x:v>
      </x:c>
      <x:c r="M7" s="213" t="str">
        <x:v>S1_pre_2024_studio_change_sensitivity_only</x:v>
      </x:c>
      <x:c r="N7" s="213" t="str">
        <x:v>Friday</x:v>
      </x:c>
      <x:c r="O7" s="213" t="str">
        <x:v>LottoMetrics full-history export</x:v>
      </x:c>
      <x:c r="P7" s="213" t="str">
        <x:v>Archive-sourced; calendar/range/uniqueness validated</x:v>
      </x:c>
      <x:c r="Q7" s="54" t="str"/>
    </x:row>
    <x:row r="8">
      <x:c r="A8" s="74" t="n">
        <x:v>5</x:v>
      </x:c>
      <x:c r="B8" s="217" t="n">
        <x:v>41019</x:v>
      </x:c>
      <x:c r="C8" s="75" t="n">
        <x:v>10</x:v>
      </x:c>
      <x:c r="D8" s="75" t="n">
        <x:v>16</x:v>
      </x:c>
      <x:c r="E8" s="75" t="n">
        <x:v>30</x:v>
      </x:c>
      <x:c r="F8" s="75" t="n">
        <x:v>41</x:v>
      </x:c>
      <x:c r="G8" s="75" t="n">
        <x:v>45</x:v>
      </x:c>
      <x:c r="H8" s="75" t="n">
        <x:v>2</x:v>
      </x:c>
      <x:c r="I8" s="75" t="n">
        <x:v>8</x:v>
      </x:c>
      <x:c r="J8" s="75" t="n">
        <x:v>50</x:v>
      </x:c>
      <x:c r="K8" s="75" t="n">
        <x:v>8</x:v>
      </x:c>
      <x:c r="L8" s="75" t="str">
        <x:v>R1_5of50_2of8</x:v>
      </x:c>
      <x:c r="M8" s="213" t="str">
        <x:v>S1_pre_2024_studio_change_sensitivity_only</x:v>
      </x:c>
      <x:c r="N8" s="213" t="str">
        <x:v>Friday</x:v>
      </x:c>
      <x:c r="O8" s="213" t="str">
        <x:v>LottoMetrics full-history export</x:v>
      </x:c>
      <x:c r="P8" s="213" t="str">
        <x:v>Archive-sourced; calendar/range/uniqueness validated</x:v>
      </x:c>
      <x:c r="Q8" s="54" t="str"/>
    </x:row>
    <x:row r="9">
      <x:c r="A9" s="74" t="n">
        <x:v>6</x:v>
      </x:c>
      <x:c r="B9" s="217" t="n">
        <x:v>41026</x:v>
      </x:c>
      <x:c r="C9" s="75" t="n">
        <x:v>10</x:v>
      </x:c>
      <x:c r="D9" s="75" t="n">
        <x:v>13</x:v>
      </x:c>
      <x:c r="E9" s="75" t="n">
        <x:v>19</x:v>
      </x:c>
      <x:c r="F9" s="75" t="n">
        <x:v>40</x:v>
      </x:c>
      <x:c r="G9" s="75" t="n">
        <x:v>45</x:v>
      </x:c>
      <x:c r="H9" s="75" t="n">
        <x:v>3</x:v>
      </x:c>
      <x:c r="I9" s="75" t="n">
        <x:v>5</x:v>
      </x:c>
      <x:c r="J9" s="75" t="n">
        <x:v>50</x:v>
      </x:c>
      <x:c r="K9" s="75" t="n">
        <x:v>8</x:v>
      </x:c>
      <x:c r="L9" s="75" t="str">
        <x:v>R1_5of50_2of8</x:v>
      </x:c>
      <x:c r="M9" s="213" t="str">
        <x:v>S1_pre_2024_studio_change_sensitivity_only</x:v>
      </x:c>
      <x:c r="N9" s="213" t="str">
        <x:v>Friday</x:v>
      </x:c>
      <x:c r="O9" s="213" t="str">
        <x:v>LottoMetrics full-history export</x:v>
      </x:c>
      <x:c r="P9" s="213" t="str">
        <x:v>Archive-sourced; calendar/range/uniqueness validated</x:v>
      </x:c>
      <x:c r="Q9" s="54" t="str"/>
    </x:row>
    <x:row r="10">
      <x:c r="A10" s="74" t="n">
        <x:v>7</x:v>
      </x:c>
      <x:c r="B10" s="217" t="n">
        <x:v>41033</x:v>
      </x:c>
      <x:c r="C10" s="75" t="n">
        <x:v>29</x:v>
      </x:c>
      <x:c r="D10" s="75" t="n">
        <x:v>30</x:v>
      </x:c>
      <x:c r="E10" s="75" t="n">
        <x:v>35</x:v>
      </x:c>
      <x:c r="F10" s="75" t="n">
        <x:v>41</x:v>
      </x:c>
      <x:c r="G10" s="75" t="n">
        <x:v>45</x:v>
      </x:c>
      <x:c r="H10" s="75" t="n">
        <x:v>3</x:v>
      </x:c>
      <x:c r="I10" s="75" t="n">
        <x:v>5</x:v>
      </x:c>
      <x:c r="J10" s="75" t="n">
        <x:v>50</x:v>
      </x:c>
      <x:c r="K10" s="75" t="n">
        <x:v>8</x:v>
      </x:c>
      <x:c r="L10" s="75" t="str">
        <x:v>R1_5of50_2of8</x:v>
      </x:c>
      <x:c r="M10" s="213" t="str">
        <x:v>S1_pre_2024_studio_change_sensitivity_only</x:v>
      </x:c>
      <x:c r="N10" s="213" t="str">
        <x:v>Friday</x:v>
      </x:c>
      <x:c r="O10" s="213" t="str">
        <x:v>LottoMetrics full-history export</x:v>
      </x:c>
      <x:c r="P10" s="213" t="str">
        <x:v>Archive-sourced; calendar/range/uniqueness validated</x:v>
      </x:c>
      <x:c r="Q10" s="54" t="str"/>
    </x:row>
    <x:row r="11">
      <x:c r="A11" s="74" t="n">
        <x:v>8</x:v>
      </x:c>
      <x:c r="B11" s="217" t="n">
        <x:v>41040</x:v>
      </x:c>
      <x:c r="C11" s="75" t="n">
        <x:v>15</x:v>
      </x:c>
      <x:c r="D11" s="75" t="n">
        <x:v>21</x:v>
      </x:c>
      <x:c r="E11" s="75" t="n">
        <x:v>38</x:v>
      </x:c>
      <x:c r="F11" s="75" t="n">
        <x:v>39</x:v>
      </x:c>
      <x:c r="G11" s="75" t="n">
        <x:v>47</x:v>
      </x:c>
      <x:c r="H11" s="75" t="n">
        <x:v>1</x:v>
      </x:c>
      <x:c r="I11" s="75" t="n">
        <x:v>5</x:v>
      </x:c>
      <x:c r="J11" s="75" t="n">
        <x:v>50</x:v>
      </x:c>
      <x:c r="K11" s="75" t="n">
        <x:v>8</x:v>
      </x:c>
      <x:c r="L11" s="75" t="str">
        <x:v>R1_5of50_2of8</x:v>
      </x:c>
      <x:c r="M11" s="213" t="str">
        <x:v>S1_pre_2024_studio_change_sensitivity_only</x:v>
      </x:c>
      <x:c r="N11" s="213" t="str">
        <x:v>Friday</x:v>
      </x:c>
      <x:c r="O11" s="213" t="str">
        <x:v>LottoMetrics full-history export</x:v>
      </x:c>
      <x:c r="P11" s="213" t="str">
        <x:v>Archive-sourced; calendar/range/uniqueness validated</x:v>
      </x:c>
      <x:c r="Q11" s="54" t="str"/>
    </x:row>
    <x:row r="12">
      <x:c r="A12" s="74" t="n">
        <x:v>9</x:v>
      </x:c>
      <x:c r="B12" s="217" t="n">
        <x:v>41047</x:v>
      </x:c>
      <x:c r="C12" s="75" t="n">
        <x:v>12</x:v>
      </x:c>
      <x:c r="D12" s="75" t="n">
        <x:v>18</x:v>
      </x:c>
      <x:c r="E12" s="75" t="n">
        <x:v>43</x:v>
      </x:c>
      <x:c r="F12" s="75" t="n">
        <x:v>44</x:v>
      </x:c>
      <x:c r="G12" s="75" t="n">
        <x:v>46</x:v>
      </x:c>
      <x:c r="H12" s="75" t="n">
        <x:v>4</x:v>
      </x:c>
      <x:c r="I12" s="75" t="n">
        <x:v>5</x:v>
      </x:c>
      <x:c r="J12" s="75" t="n">
        <x:v>50</x:v>
      </x:c>
      <x:c r="K12" s="75" t="n">
        <x:v>8</x:v>
      </x:c>
      <x:c r="L12" s="75" t="str">
        <x:v>R1_5of50_2of8</x:v>
      </x:c>
      <x:c r="M12" s="213" t="str">
        <x:v>S1_pre_2024_studio_change_sensitivity_only</x:v>
      </x:c>
      <x:c r="N12" s="213" t="str">
        <x:v>Friday</x:v>
      </x:c>
      <x:c r="O12" s="213" t="str">
        <x:v>LottoMetrics full-history export</x:v>
      </x:c>
      <x:c r="P12" s="213" t="str">
        <x:v>Archive-sourced; calendar/range/uniqueness validated</x:v>
      </x:c>
      <x:c r="Q12" s="54" t="str"/>
    </x:row>
    <x:row r="13">
      <x:c r="A13" s="74" t="n">
        <x:v>10</x:v>
      </x:c>
      <x:c r="B13" s="217" t="n">
        <x:v>41054</x:v>
      </x:c>
      <x:c r="C13" s="75" t="n">
        <x:v>4</x:v>
      </x:c>
      <x:c r="D13" s="75" t="n">
        <x:v>11</x:v>
      </x:c>
      <x:c r="E13" s="75" t="n">
        <x:v>26</x:v>
      </x:c>
      <x:c r="F13" s="75" t="n">
        <x:v>32</x:v>
      </x:c>
      <x:c r="G13" s="75" t="n">
        <x:v>41</x:v>
      </x:c>
      <x:c r="H13" s="75" t="n">
        <x:v>5</x:v>
      </x:c>
      <x:c r="I13" s="75" t="n">
        <x:v>7</x:v>
      </x:c>
      <x:c r="J13" s="75" t="n">
        <x:v>50</x:v>
      </x:c>
      <x:c r="K13" s="75" t="n">
        <x:v>8</x:v>
      </x:c>
      <x:c r="L13" s="75" t="str">
        <x:v>R1_5of50_2of8</x:v>
      </x:c>
      <x:c r="M13" s="213" t="str">
        <x:v>S1_pre_2024_studio_change_sensitivity_only</x:v>
      </x:c>
      <x:c r="N13" s="213" t="str">
        <x:v>Friday</x:v>
      </x:c>
      <x:c r="O13" s="213" t="str">
        <x:v>LottoMetrics full-history export</x:v>
      </x:c>
      <x:c r="P13" s="213" t="str">
        <x:v>Archive-sourced; calendar/range/uniqueness validated</x:v>
      </x:c>
      <x:c r="Q13" s="54" t="str"/>
    </x:row>
    <x:row r="14">
      <x:c r="A14" s="74" t="n">
        <x:v>11</x:v>
      </x:c>
      <x:c r="B14" s="217" t="n">
        <x:v>41061</x:v>
      </x:c>
      <x:c r="C14" s="75" t="n">
        <x:v>11</x:v>
      </x:c>
      <x:c r="D14" s="75" t="n">
        <x:v>28</x:v>
      </x:c>
      <x:c r="E14" s="75" t="n">
        <x:v>34</x:v>
      </x:c>
      <x:c r="F14" s="75" t="n">
        <x:v>37</x:v>
      </x:c>
      <x:c r="G14" s="75" t="n">
        <x:v>38</x:v>
      </x:c>
      <x:c r="H14" s="75" t="n">
        <x:v>3</x:v>
      </x:c>
      <x:c r="I14" s="75" t="n">
        <x:v>7</x:v>
      </x:c>
      <x:c r="J14" s="75" t="n">
        <x:v>50</x:v>
      </x:c>
      <x:c r="K14" s="75" t="n">
        <x:v>8</x:v>
      </x:c>
      <x:c r="L14" s="75" t="str">
        <x:v>R1_5of50_2of8</x:v>
      </x:c>
      <x:c r="M14" s="213" t="str">
        <x:v>S1_pre_2024_studio_change_sensitivity_only</x:v>
      </x:c>
      <x:c r="N14" s="213" t="str">
        <x:v>Friday</x:v>
      </x:c>
      <x:c r="O14" s="213" t="str">
        <x:v>LottoMetrics full-history export</x:v>
      </x:c>
      <x:c r="P14" s="213" t="str">
        <x:v>Archive-sourced; calendar/range/uniqueness validated</x:v>
      </x:c>
      <x:c r="Q14" s="54" t="str"/>
    </x:row>
    <x:row r="15">
      <x:c r="A15" s="74" t="n">
        <x:v>12</x:v>
      </x:c>
      <x:c r="B15" s="217" t="n">
        <x:v>41068</x:v>
      </x:c>
      <x:c r="C15" s="75" t="n">
        <x:v>10</x:v>
      </x:c>
      <x:c r="D15" s="75" t="n">
        <x:v>15</x:v>
      </x:c>
      <x:c r="E15" s="75" t="n">
        <x:v>16</x:v>
      </x:c>
      <x:c r="F15" s="75" t="n">
        <x:v>36</x:v>
      </x:c>
      <x:c r="G15" s="75" t="n">
        <x:v>44</x:v>
      </x:c>
      <x:c r="H15" s="75" t="n">
        <x:v>7</x:v>
      </x:c>
      <x:c r="I15" s="75" t="n">
        <x:v>8</x:v>
      </x:c>
      <x:c r="J15" s="75" t="n">
        <x:v>50</x:v>
      </x:c>
      <x:c r="K15" s="75" t="n">
        <x:v>8</x:v>
      </x:c>
      <x:c r="L15" s="75" t="str">
        <x:v>R1_5of50_2of8</x:v>
      </x:c>
      <x:c r="M15" s="213" t="str">
        <x:v>S1_pre_2024_studio_change_sensitivity_only</x:v>
      </x:c>
      <x:c r="N15" s="213" t="str">
        <x:v>Friday</x:v>
      </x:c>
      <x:c r="O15" s="213" t="str">
        <x:v>LottoMetrics full-history export</x:v>
      </x:c>
      <x:c r="P15" s="213" t="str">
        <x:v>Archive-sourced; calendar/range/uniqueness validated</x:v>
      </x:c>
      <x:c r="Q15" s="54" t="str"/>
    </x:row>
    <x:row r="16">
      <x:c r="A16" s="74" t="n">
        <x:v>13</x:v>
      </x:c>
      <x:c r="B16" s="217" t="n">
        <x:v>41075</x:v>
      </x:c>
      <x:c r="C16" s="75" t="n">
        <x:v>6</x:v>
      </x:c>
      <x:c r="D16" s="75" t="n">
        <x:v>10</x:v>
      </x:c>
      <x:c r="E16" s="75" t="n">
        <x:v>17</x:v>
      </x:c>
      <x:c r="F16" s="75" t="n">
        <x:v>18</x:v>
      </x:c>
      <x:c r="G16" s="75" t="n">
        <x:v>42</x:v>
      </x:c>
      <x:c r="H16" s="75" t="n">
        <x:v>1</x:v>
      </x:c>
      <x:c r="I16" s="75" t="n">
        <x:v>3</x:v>
      </x:c>
      <x:c r="J16" s="75" t="n">
        <x:v>50</x:v>
      </x:c>
      <x:c r="K16" s="75" t="n">
        <x:v>8</x:v>
      </x:c>
      <x:c r="L16" s="75" t="str">
        <x:v>R1_5of50_2of8</x:v>
      </x:c>
      <x:c r="M16" s="213" t="str">
        <x:v>S1_pre_2024_studio_change_sensitivity_only</x:v>
      </x:c>
      <x:c r="N16" s="213" t="str">
        <x:v>Friday</x:v>
      </x:c>
      <x:c r="O16" s="213" t="str">
        <x:v>LottoMetrics full-history export</x:v>
      </x:c>
      <x:c r="P16" s="213" t="str">
        <x:v>Archive-sourced; calendar/range/uniqueness validated</x:v>
      </x:c>
      <x:c r="Q16" s="54" t="str"/>
    </x:row>
    <x:row r="17">
      <x:c r="A17" s="74" t="n">
        <x:v>14</x:v>
      </x:c>
      <x:c r="B17" s="217" t="n">
        <x:v>41082</x:v>
      </x:c>
      <x:c r="C17" s="75" t="n">
        <x:v>13</x:v>
      </x:c>
      <x:c r="D17" s="75" t="n">
        <x:v>14</x:v>
      </x:c>
      <x:c r="E17" s="75" t="n">
        <x:v>16</x:v>
      </x:c>
      <x:c r="F17" s="75" t="n">
        <x:v>47</x:v>
      </x:c>
      <x:c r="G17" s="75" t="n">
        <x:v>49</x:v>
      </x:c>
      <x:c r="H17" s="75" t="n">
        <x:v>1</x:v>
      </x:c>
      <x:c r="I17" s="75" t="n">
        <x:v>7</x:v>
      </x:c>
      <x:c r="J17" s="75" t="n">
        <x:v>50</x:v>
      </x:c>
      <x:c r="K17" s="75" t="n">
        <x:v>8</x:v>
      </x:c>
      <x:c r="L17" s="75" t="str">
        <x:v>R1_5of50_2of8</x:v>
      </x:c>
      <x:c r="M17" s="213" t="str">
        <x:v>S1_pre_2024_studio_change_sensitivity_only</x:v>
      </x:c>
      <x:c r="N17" s="213" t="str">
        <x:v>Friday</x:v>
      </x:c>
      <x:c r="O17" s="213" t="str">
        <x:v>LottoMetrics full-history export</x:v>
      </x:c>
      <x:c r="P17" s="213" t="str">
        <x:v>Archive-sourced; calendar/range/uniqueness validated</x:v>
      </x:c>
      <x:c r="Q17" s="54" t="str"/>
    </x:row>
    <x:row r="18">
      <x:c r="A18" s="74" t="n">
        <x:v>15</x:v>
      </x:c>
      <x:c r="B18" s="217" t="n">
        <x:v>41089</x:v>
      </x:c>
      <x:c r="C18" s="75" t="n">
        <x:v>5</x:v>
      </x:c>
      <x:c r="D18" s="75" t="n">
        <x:v>8</x:v>
      </x:c>
      <x:c r="E18" s="75" t="n">
        <x:v>19</x:v>
      </x:c>
      <x:c r="F18" s="75" t="n">
        <x:v>33</x:v>
      </x:c>
      <x:c r="G18" s="75" t="n">
        <x:v>36</x:v>
      </x:c>
      <x:c r="H18" s="75" t="n">
        <x:v>2</x:v>
      </x:c>
      <x:c r="I18" s="75" t="n">
        <x:v>3</x:v>
      </x:c>
      <x:c r="J18" s="75" t="n">
        <x:v>50</x:v>
      </x:c>
      <x:c r="K18" s="75" t="n">
        <x:v>8</x:v>
      </x:c>
      <x:c r="L18" s="75" t="str">
        <x:v>R1_5of50_2of8</x:v>
      </x:c>
      <x:c r="M18" s="213" t="str">
        <x:v>S1_pre_2024_studio_change_sensitivity_only</x:v>
      </x:c>
      <x:c r="N18" s="213" t="str">
        <x:v>Friday</x:v>
      </x:c>
      <x:c r="O18" s="213" t="str">
        <x:v>LottoMetrics full-history export</x:v>
      </x:c>
      <x:c r="P18" s="213" t="str">
        <x:v>Archive-sourced; calendar/range/uniqueness validated</x:v>
      </x:c>
      <x:c r="Q18" s="54" t="str"/>
    </x:row>
    <x:row r="19">
      <x:c r="A19" s="74" t="n">
        <x:v>16</x:v>
      </x:c>
      <x:c r="B19" s="217" t="n">
        <x:v>41096</x:v>
      </x:c>
      <x:c r="C19" s="75" t="n">
        <x:v>10</x:v>
      </x:c>
      <x:c r="D19" s="75" t="n">
        <x:v>22</x:v>
      </x:c>
      <x:c r="E19" s="75" t="n">
        <x:v>24</x:v>
      </x:c>
      <x:c r="F19" s="75" t="n">
        <x:v>33</x:v>
      </x:c>
      <x:c r="G19" s="75" t="n">
        <x:v>38</x:v>
      </x:c>
      <x:c r="H19" s="75" t="n">
        <x:v>2</x:v>
      </x:c>
      <x:c r="I19" s="75" t="n">
        <x:v>6</x:v>
      </x:c>
      <x:c r="J19" s="75" t="n">
        <x:v>50</x:v>
      </x:c>
      <x:c r="K19" s="75" t="n">
        <x:v>8</x:v>
      </x:c>
      <x:c r="L19" s="75" t="str">
        <x:v>R1_5of50_2of8</x:v>
      </x:c>
      <x:c r="M19" s="213" t="str">
        <x:v>S1_pre_2024_studio_change_sensitivity_only</x:v>
      </x:c>
      <x:c r="N19" s="213" t="str">
        <x:v>Friday</x:v>
      </x:c>
      <x:c r="O19" s="213" t="str">
        <x:v>LottoMetrics full-history export</x:v>
      </x:c>
      <x:c r="P19" s="213" t="str">
        <x:v>Archive-sourced; calendar/range/uniqueness validated</x:v>
      </x:c>
      <x:c r="Q19" s="54" t="str"/>
    </x:row>
    <x:row r="20">
      <x:c r="A20" s="74" t="n">
        <x:v>17</x:v>
      </x:c>
      <x:c r="B20" s="217" t="n">
        <x:v>41103</x:v>
      </x:c>
      <x:c r="C20" s="75" t="n">
        <x:v>8</x:v>
      </x:c>
      <x:c r="D20" s="75" t="n">
        <x:v>12</x:v>
      </x:c>
      <x:c r="E20" s="75" t="n">
        <x:v>27</x:v>
      </x:c>
      <x:c r="F20" s="75" t="n">
        <x:v>31</x:v>
      </x:c>
      <x:c r="G20" s="75" t="n">
        <x:v>37</x:v>
      </x:c>
      <x:c r="H20" s="75" t="n">
        <x:v>3</x:v>
      </x:c>
      <x:c r="I20" s="75" t="n">
        <x:v>6</x:v>
      </x:c>
      <x:c r="J20" s="75" t="n">
        <x:v>50</x:v>
      </x:c>
      <x:c r="K20" s="75" t="n">
        <x:v>8</x:v>
      </x:c>
      <x:c r="L20" s="75" t="str">
        <x:v>R1_5of50_2of8</x:v>
      </x:c>
      <x:c r="M20" s="213" t="str">
        <x:v>S1_pre_2024_studio_change_sensitivity_only</x:v>
      </x:c>
      <x:c r="N20" s="213" t="str">
        <x:v>Friday</x:v>
      </x:c>
      <x:c r="O20" s="213" t="str">
        <x:v>LottoMetrics full-history export</x:v>
      </x:c>
      <x:c r="P20" s="213" t="str">
        <x:v>Archive-sourced; calendar/range/uniqueness validated</x:v>
      </x:c>
      <x:c r="Q20" s="54" t="str"/>
    </x:row>
    <x:row r="21">
      <x:c r="A21" s="74" t="n">
        <x:v>18</x:v>
      </x:c>
      <x:c r="B21" s="217" t="n">
        <x:v>41110</x:v>
      </x:c>
      <x:c r="C21" s="75" t="n">
        <x:v>6</x:v>
      </x:c>
      <x:c r="D21" s="75" t="n">
        <x:v>9</x:v>
      </x:c>
      <x:c r="E21" s="75" t="n">
        <x:v>13</x:v>
      </x:c>
      <x:c r="F21" s="75" t="n">
        <x:v>14</x:v>
      </x:c>
      <x:c r="G21" s="75" t="n">
        <x:v>25</x:v>
      </x:c>
      <x:c r="H21" s="75" t="n">
        <x:v>1</x:v>
      </x:c>
      <x:c r="I21" s="75" t="n">
        <x:v>8</x:v>
      </x:c>
      <x:c r="J21" s="75" t="n">
        <x:v>50</x:v>
      </x:c>
      <x:c r="K21" s="75" t="n">
        <x:v>8</x:v>
      </x:c>
      <x:c r="L21" s="75" t="str">
        <x:v>R1_5of50_2of8</x:v>
      </x:c>
      <x:c r="M21" s="213" t="str">
        <x:v>S1_pre_2024_studio_change_sensitivity_only</x:v>
      </x:c>
      <x:c r="N21" s="213" t="str">
        <x:v>Friday</x:v>
      </x:c>
      <x:c r="O21" s="213" t="str">
        <x:v>LottoMetrics full-history export</x:v>
      </x:c>
      <x:c r="P21" s="213" t="str">
        <x:v>Archive-sourced; calendar/range/uniqueness validated</x:v>
      </x:c>
      <x:c r="Q21" s="54" t="str"/>
    </x:row>
    <x:row r="22">
      <x:c r="A22" s="74" t="n">
        <x:v>19</x:v>
      </x:c>
      <x:c r="B22" s="217" t="n">
        <x:v>41117</x:v>
      </x:c>
      <x:c r="C22" s="75" t="n">
        <x:v>9</x:v>
      </x:c>
      <x:c r="D22" s="75" t="n">
        <x:v>22</x:v>
      </x:c>
      <x:c r="E22" s="75" t="n">
        <x:v>23</x:v>
      </x:c>
      <x:c r="F22" s="75" t="n">
        <x:v>34</x:v>
      </x:c>
      <x:c r="G22" s="75" t="n">
        <x:v>35</x:v>
      </x:c>
      <x:c r="H22" s="75" t="n">
        <x:v>1</x:v>
      </x:c>
      <x:c r="I22" s="75" t="n">
        <x:v>3</x:v>
      </x:c>
      <x:c r="J22" s="75" t="n">
        <x:v>50</x:v>
      </x:c>
      <x:c r="K22" s="75" t="n">
        <x:v>8</x:v>
      </x:c>
      <x:c r="L22" s="75" t="str">
        <x:v>R1_5of50_2of8</x:v>
      </x:c>
      <x:c r="M22" s="213" t="str">
        <x:v>S1_pre_2024_studio_change_sensitivity_only</x:v>
      </x:c>
      <x:c r="N22" s="213" t="str">
        <x:v>Friday</x:v>
      </x:c>
      <x:c r="O22" s="213" t="str">
        <x:v>LottoMetrics full-history export</x:v>
      </x:c>
      <x:c r="P22" s="213" t="str">
        <x:v>Archive-sourced; calendar/range/uniqueness validated</x:v>
      </x:c>
      <x:c r="Q22" s="54" t="str"/>
    </x:row>
    <x:row r="23">
      <x:c r="A23" s="74" t="n">
        <x:v>20</x:v>
      </x:c>
      <x:c r="B23" s="217" t="n">
        <x:v>41124</x:v>
      </x:c>
      <x:c r="C23" s="75" t="n">
        <x:v>12</x:v>
      </x:c>
      <x:c r="D23" s="75" t="n">
        <x:v>15</x:v>
      </x:c>
      <x:c r="E23" s="75" t="n">
        <x:v>18</x:v>
      </x:c>
      <x:c r="F23" s="75" t="n">
        <x:v>24</x:v>
      </x:c>
      <x:c r="G23" s="75" t="n">
        <x:v>25</x:v>
      </x:c>
      <x:c r="H23" s="75" t="n">
        <x:v>4</x:v>
      </x:c>
      <x:c r="I23" s="75" t="n">
        <x:v>5</x:v>
      </x:c>
      <x:c r="J23" s="75" t="n">
        <x:v>50</x:v>
      </x:c>
      <x:c r="K23" s="75" t="n">
        <x:v>8</x:v>
      </x:c>
      <x:c r="L23" s="75" t="str">
        <x:v>R1_5of50_2of8</x:v>
      </x:c>
      <x:c r="M23" s="213" t="str">
        <x:v>S1_pre_2024_studio_change_sensitivity_only</x:v>
      </x:c>
      <x:c r="N23" s="213" t="str">
        <x:v>Friday</x:v>
      </x:c>
      <x:c r="O23" s="213" t="str">
        <x:v>LottoMetrics full-history export</x:v>
      </x:c>
      <x:c r="P23" s="213" t="str">
        <x:v>Archive-sourced; calendar/range/uniqueness validated</x:v>
      </x:c>
      <x:c r="Q23" s="54" t="str"/>
    </x:row>
    <x:row r="24">
      <x:c r="A24" s="74" t="n">
        <x:v>21</x:v>
      </x:c>
      <x:c r="B24" s="217" t="n">
        <x:v>41131</x:v>
      </x:c>
      <x:c r="C24" s="75" t="n">
        <x:v>6</x:v>
      </x:c>
      <x:c r="D24" s="75" t="n">
        <x:v>11</x:v>
      </x:c>
      <x:c r="E24" s="75" t="n">
        <x:v>40</x:v>
      </x:c>
      <x:c r="F24" s="75" t="n">
        <x:v>46</x:v>
      </x:c>
      <x:c r="G24" s="75" t="n">
        <x:v>48</x:v>
      </x:c>
      <x:c r="H24" s="75" t="n">
        <x:v>3</x:v>
      </x:c>
      <x:c r="I24" s="75" t="n">
        <x:v>6</x:v>
      </x:c>
      <x:c r="J24" s="75" t="n">
        <x:v>50</x:v>
      </x:c>
      <x:c r="K24" s="75" t="n">
        <x:v>8</x:v>
      </x:c>
      <x:c r="L24" s="75" t="str">
        <x:v>R1_5of50_2of8</x:v>
      </x:c>
      <x:c r="M24" s="213" t="str">
        <x:v>S1_pre_2024_studio_change_sensitivity_only</x:v>
      </x:c>
      <x:c r="N24" s="213" t="str">
        <x:v>Friday</x:v>
      </x:c>
      <x:c r="O24" s="213" t="str">
        <x:v>LottoMetrics full-history export</x:v>
      </x:c>
      <x:c r="P24" s="213" t="str">
        <x:v>Archive-sourced; calendar/range/uniqueness validated</x:v>
      </x:c>
      <x:c r="Q24" s="54" t="str"/>
    </x:row>
    <x:row r="25">
      <x:c r="A25" s="74" t="n">
        <x:v>22</x:v>
      </x:c>
      <x:c r="B25" s="217" t="n">
        <x:v>41138</x:v>
      </x:c>
      <x:c r="C25" s="75" t="n">
        <x:v>3</x:v>
      </x:c>
      <x:c r="D25" s="75" t="n">
        <x:v>16</x:v>
      </x:c>
      <x:c r="E25" s="75" t="n">
        <x:v>30</x:v>
      </x:c>
      <x:c r="F25" s="75" t="n">
        <x:v>34</x:v>
      </x:c>
      <x:c r="G25" s="75" t="n">
        <x:v>35</x:v>
      </x:c>
      <x:c r="H25" s="75" t="n">
        <x:v>2</x:v>
      </x:c>
      <x:c r="I25" s="75" t="n">
        <x:v>5</x:v>
      </x:c>
      <x:c r="J25" s="75" t="n">
        <x:v>50</x:v>
      </x:c>
      <x:c r="K25" s="75" t="n">
        <x:v>8</x:v>
      </x:c>
      <x:c r="L25" s="75" t="str">
        <x:v>R1_5of50_2of8</x:v>
      </x:c>
      <x:c r="M25" s="213" t="str">
        <x:v>S1_pre_2024_studio_change_sensitivity_only</x:v>
      </x:c>
      <x:c r="N25" s="213" t="str">
        <x:v>Friday</x:v>
      </x:c>
      <x:c r="O25" s="213" t="str">
        <x:v>LottoMetrics full-history export</x:v>
      </x:c>
      <x:c r="P25" s="213" t="str">
        <x:v>Archive-sourced; calendar/range/uniqueness validated</x:v>
      </x:c>
      <x:c r="Q25" s="54" t="str"/>
    </x:row>
    <x:row r="26">
      <x:c r="A26" s="74" t="n">
        <x:v>23</x:v>
      </x:c>
      <x:c r="B26" s="217" t="n">
        <x:v>41145</x:v>
      </x:c>
      <x:c r="C26" s="75" t="n">
        <x:v>9</x:v>
      </x:c>
      <x:c r="D26" s="75" t="n">
        <x:v>20</x:v>
      </x:c>
      <x:c r="E26" s="75" t="n">
        <x:v>21</x:v>
      </x:c>
      <x:c r="F26" s="75" t="n">
        <x:v>33</x:v>
      </x:c>
      <x:c r="G26" s="75" t="n">
        <x:v>49</x:v>
      </x:c>
      <x:c r="H26" s="75" t="n">
        <x:v>5</x:v>
      </x:c>
      <x:c r="I26" s="75" t="n">
        <x:v>7</x:v>
      </x:c>
      <x:c r="J26" s="75" t="n">
        <x:v>50</x:v>
      </x:c>
      <x:c r="K26" s="75" t="n">
        <x:v>8</x:v>
      </x:c>
      <x:c r="L26" s="75" t="str">
        <x:v>R1_5of50_2of8</x:v>
      </x:c>
      <x:c r="M26" s="213" t="str">
        <x:v>S1_pre_2024_studio_change_sensitivity_only</x:v>
      </x:c>
      <x:c r="N26" s="213" t="str">
        <x:v>Friday</x:v>
      </x:c>
      <x:c r="O26" s="213" t="str">
        <x:v>LottoMetrics full-history export</x:v>
      </x:c>
      <x:c r="P26" s="213" t="str">
        <x:v>Archive-sourced; calendar/range/uniqueness validated</x:v>
      </x:c>
      <x:c r="Q26" s="54" t="str"/>
    </x:row>
    <x:row r="27">
      <x:c r="A27" s="74" t="n">
        <x:v>24</x:v>
      </x:c>
      <x:c r="B27" s="217" t="n">
        <x:v>41152</x:v>
      </x:c>
      <x:c r="C27" s="75" t="n">
        <x:v>8</x:v>
      </x:c>
      <x:c r="D27" s="75" t="n">
        <x:v>22</x:v>
      </x:c>
      <x:c r="E27" s="75" t="n">
        <x:v>28</x:v>
      </x:c>
      <x:c r="F27" s="75" t="n">
        <x:v>40</x:v>
      </x:c>
      <x:c r="G27" s="75" t="n">
        <x:v>42</x:v>
      </x:c>
      <x:c r="H27" s="75" t="n">
        <x:v>4</x:v>
      </x:c>
      <x:c r="I27" s="75" t="n">
        <x:v>8</x:v>
      </x:c>
      <x:c r="J27" s="75" t="n">
        <x:v>50</x:v>
      </x:c>
      <x:c r="K27" s="75" t="n">
        <x:v>8</x:v>
      </x:c>
      <x:c r="L27" s="75" t="str">
        <x:v>R1_5of50_2of8</x:v>
      </x:c>
      <x:c r="M27" s="213" t="str">
        <x:v>S1_pre_2024_studio_change_sensitivity_only</x:v>
      </x:c>
      <x:c r="N27" s="213" t="str">
        <x:v>Friday</x:v>
      </x:c>
      <x:c r="O27" s="213" t="str">
        <x:v>LottoMetrics full-history export</x:v>
      </x:c>
      <x:c r="P27" s="213" t="str">
        <x:v>Archive-sourced; calendar/range/uniqueness validated</x:v>
      </x:c>
      <x:c r="Q27" s="54" t="str"/>
    </x:row>
    <x:row r="28">
      <x:c r="A28" s="74" t="n">
        <x:v>25</x:v>
      </x:c>
      <x:c r="B28" s="217" t="n">
        <x:v>41159</x:v>
      </x:c>
      <x:c r="C28" s="75" t="n">
        <x:v>15</x:v>
      </x:c>
      <x:c r="D28" s="75" t="n">
        <x:v>23</x:v>
      </x:c>
      <x:c r="E28" s="75" t="n">
        <x:v>25</x:v>
      </x:c>
      <x:c r="F28" s="75" t="n">
        <x:v>46</x:v>
      </x:c>
      <x:c r="G28" s="75" t="n">
        <x:v>49</x:v>
      </x:c>
      <x:c r="H28" s="75" t="n">
        <x:v>2</x:v>
      </x:c>
      <x:c r="I28" s="75" t="n">
        <x:v>4</x:v>
      </x:c>
      <x:c r="J28" s="75" t="n">
        <x:v>50</x:v>
      </x:c>
      <x:c r="K28" s="75" t="n">
        <x:v>8</x:v>
      </x:c>
      <x:c r="L28" s="75" t="str">
        <x:v>R1_5of50_2of8</x:v>
      </x:c>
      <x:c r="M28" s="213" t="str">
        <x:v>S1_pre_2024_studio_change_sensitivity_only</x:v>
      </x:c>
      <x:c r="N28" s="213" t="str">
        <x:v>Friday</x:v>
      </x:c>
      <x:c r="O28" s="213" t="str">
        <x:v>LottoMetrics full-history export</x:v>
      </x:c>
      <x:c r="P28" s="213" t="str">
        <x:v>Archive-sourced; calendar/range/uniqueness validated</x:v>
      </x:c>
      <x:c r="Q28" s="54" t="str"/>
    </x:row>
    <x:row r="29">
      <x:c r="A29" s="74" t="n">
        <x:v>26</x:v>
      </x:c>
      <x:c r="B29" s="217" t="n">
        <x:v>41166</x:v>
      </x:c>
      <x:c r="C29" s="75" t="n">
        <x:v>10</x:v>
      </x:c>
      <x:c r="D29" s="75" t="n">
        <x:v>14</x:v>
      </x:c>
      <x:c r="E29" s="75" t="n">
        <x:v>15</x:v>
      </x:c>
      <x:c r="F29" s="75" t="n">
        <x:v>24</x:v>
      </x:c>
      <x:c r="G29" s="75" t="n">
        <x:v>47</x:v>
      </x:c>
      <x:c r="H29" s="75" t="n">
        <x:v>4</x:v>
      </x:c>
      <x:c r="I29" s="75" t="n">
        <x:v>8</x:v>
      </x:c>
      <x:c r="J29" s="75" t="n">
        <x:v>50</x:v>
      </x:c>
      <x:c r="K29" s="75" t="n">
        <x:v>8</x:v>
      </x:c>
      <x:c r="L29" s="75" t="str">
        <x:v>R1_5of50_2of8</x:v>
      </x:c>
      <x:c r="M29" s="213" t="str">
        <x:v>S1_pre_2024_studio_change_sensitivity_only</x:v>
      </x:c>
      <x:c r="N29" s="213" t="str">
        <x:v>Friday</x:v>
      </x:c>
      <x:c r="O29" s="213" t="str">
        <x:v>LottoMetrics full-history export</x:v>
      </x:c>
      <x:c r="P29" s="213" t="str">
        <x:v>Archive-sourced; calendar/range/uniqueness validated</x:v>
      </x:c>
      <x:c r="Q29" s="54" t="str"/>
    </x:row>
    <x:row r="30">
      <x:c r="A30" s="74" t="n">
        <x:v>27</x:v>
      </x:c>
      <x:c r="B30" s="217" t="n">
        <x:v>41173</x:v>
      </x:c>
      <x:c r="C30" s="75" t="n">
        <x:v>18</x:v>
      </x:c>
      <x:c r="D30" s="75" t="n">
        <x:v>29</x:v>
      </x:c>
      <x:c r="E30" s="75" t="n">
        <x:v>41</x:v>
      </x:c>
      <x:c r="F30" s="75" t="n">
        <x:v>44</x:v>
      </x:c>
      <x:c r="G30" s="75" t="n">
        <x:v>49</x:v>
      </x:c>
      <x:c r="H30" s="75" t="n">
        <x:v>1</x:v>
      </x:c>
      <x:c r="I30" s="75" t="n">
        <x:v>5</x:v>
      </x:c>
      <x:c r="J30" s="75" t="n">
        <x:v>50</x:v>
      </x:c>
      <x:c r="K30" s="75" t="n">
        <x:v>8</x:v>
      </x:c>
      <x:c r="L30" s="75" t="str">
        <x:v>R1_5of50_2of8</x:v>
      </x:c>
      <x:c r="M30" s="213" t="str">
        <x:v>S1_pre_2024_studio_change_sensitivity_only</x:v>
      </x:c>
      <x:c r="N30" s="213" t="str">
        <x:v>Friday</x:v>
      </x:c>
      <x:c r="O30" s="213" t="str">
        <x:v>LottoMetrics full-history export</x:v>
      </x:c>
      <x:c r="P30" s="213" t="str">
        <x:v>Archive-sourced; calendar/range/uniqueness validated</x:v>
      </x:c>
      <x:c r="Q30" s="54" t="str"/>
    </x:row>
    <x:row r="31">
      <x:c r="A31" s="74" t="n">
        <x:v>28</x:v>
      </x:c>
      <x:c r="B31" s="217" t="n">
        <x:v>41180</x:v>
      </x:c>
      <x:c r="C31" s="75" t="n">
        <x:v>5</x:v>
      </x:c>
      <x:c r="D31" s="75" t="n">
        <x:v>14</x:v>
      </x:c>
      <x:c r="E31" s="75" t="n">
        <x:v>16</x:v>
      </x:c>
      <x:c r="F31" s="75" t="n">
        <x:v>34</x:v>
      </x:c>
      <x:c r="G31" s="75" t="n">
        <x:v>39</x:v>
      </x:c>
      <x:c r="H31" s="75" t="n">
        <x:v>1</x:v>
      </x:c>
      <x:c r="I31" s="75" t="n">
        <x:v>6</x:v>
      </x:c>
      <x:c r="J31" s="75" t="n">
        <x:v>50</x:v>
      </x:c>
      <x:c r="K31" s="75" t="n">
        <x:v>8</x:v>
      </x:c>
      <x:c r="L31" s="75" t="str">
        <x:v>R1_5of50_2of8</x:v>
      </x:c>
      <x:c r="M31" s="213" t="str">
        <x:v>S1_pre_2024_studio_change_sensitivity_only</x:v>
      </x:c>
      <x:c r="N31" s="213" t="str">
        <x:v>Friday</x:v>
      </x:c>
      <x:c r="O31" s="213" t="str">
        <x:v>LottoMetrics full-history export</x:v>
      </x:c>
      <x:c r="P31" s="213" t="str">
        <x:v>Archive-sourced; calendar/range/uniqueness validated</x:v>
      </x:c>
      <x:c r="Q31" s="54" t="str"/>
    </x:row>
    <x:row r="32">
      <x:c r="A32" s="74" t="n">
        <x:v>29</x:v>
      </x:c>
      <x:c r="B32" s="217" t="n">
        <x:v>41187</x:v>
      </x:c>
      <x:c r="C32" s="75" t="n">
        <x:v>26</x:v>
      </x:c>
      <x:c r="D32" s="75" t="n">
        <x:v>28</x:v>
      </x:c>
      <x:c r="E32" s="75" t="n">
        <x:v>40</x:v>
      </x:c>
      <x:c r="F32" s="75" t="n">
        <x:v>49</x:v>
      </x:c>
      <x:c r="G32" s="75" t="n">
        <x:v>50</x:v>
      </x:c>
      <x:c r="H32" s="75" t="n">
        <x:v>2</x:v>
      </x:c>
      <x:c r="I32" s="75" t="n">
        <x:v>7</x:v>
      </x:c>
      <x:c r="J32" s="75" t="n">
        <x:v>50</x:v>
      </x:c>
      <x:c r="K32" s="75" t="n">
        <x:v>8</x:v>
      </x:c>
      <x:c r="L32" s="75" t="str">
        <x:v>R1_5of50_2of8</x:v>
      </x:c>
      <x:c r="M32" s="213" t="str">
        <x:v>S1_pre_2024_studio_change_sensitivity_only</x:v>
      </x:c>
      <x:c r="N32" s="213" t="str">
        <x:v>Friday</x:v>
      </x:c>
      <x:c r="O32" s="213" t="str">
        <x:v>LottoMetrics full-history export</x:v>
      </x:c>
      <x:c r="P32" s="213" t="str">
        <x:v>Archive-sourced; calendar/range/uniqueness validated</x:v>
      </x:c>
      <x:c r="Q32" s="54" t="str"/>
    </x:row>
    <x:row r="33">
      <x:c r="A33" s="74" t="n">
        <x:v>30</x:v>
      </x:c>
      <x:c r="B33" s="217" t="n">
        <x:v>41194</x:v>
      </x:c>
      <x:c r="C33" s="75" t="n">
        <x:v>6</x:v>
      </x:c>
      <x:c r="D33" s="75" t="n">
        <x:v>11</x:v>
      </x:c>
      <x:c r="E33" s="75" t="n">
        <x:v>17</x:v>
      </x:c>
      <x:c r="F33" s="75" t="n">
        <x:v>43</x:v>
      </x:c>
      <x:c r="G33" s="75" t="n">
        <x:v>49</x:v>
      </x:c>
      <x:c r="H33" s="75" t="n">
        <x:v>4</x:v>
      </x:c>
      <x:c r="I33" s="75" t="n">
        <x:v>8</x:v>
      </x:c>
      <x:c r="J33" s="75" t="n">
        <x:v>50</x:v>
      </x:c>
      <x:c r="K33" s="75" t="n">
        <x:v>8</x:v>
      </x:c>
      <x:c r="L33" s="75" t="str">
        <x:v>R1_5of50_2of8</x:v>
      </x:c>
      <x:c r="M33" s="213" t="str">
        <x:v>S1_pre_2024_studio_change_sensitivity_only</x:v>
      </x:c>
      <x:c r="N33" s="213" t="str">
        <x:v>Friday</x:v>
      </x:c>
      <x:c r="O33" s="213" t="str">
        <x:v>LottoMetrics full-history export</x:v>
      </x:c>
      <x:c r="P33" s="213" t="str">
        <x:v>Archive-sourced; calendar/range/uniqueness validated</x:v>
      </x:c>
      <x:c r="Q33" s="54" t="str"/>
    </x:row>
    <x:row r="34">
      <x:c r="A34" s="74" t="n">
        <x:v>31</x:v>
      </x:c>
      <x:c r="B34" s="217" t="n">
        <x:v>41201</x:v>
      </x:c>
      <x:c r="C34" s="75" t="n">
        <x:v>6</x:v>
      </x:c>
      <x:c r="D34" s="75" t="n">
        <x:v>14</x:v>
      </x:c>
      <x:c r="E34" s="75" t="n">
        <x:v>18</x:v>
      </x:c>
      <x:c r="F34" s="75" t="n">
        <x:v>19</x:v>
      </x:c>
      <x:c r="G34" s="75" t="n">
        <x:v>48</x:v>
      </x:c>
      <x:c r="H34" s="75" t="n">
        <x:v>3</x:v>
      </x:c>
      <x:c r="I34" s="75" t="n">
        <x:v>8</x:v>
      </x:c>
      <x:c r="J34" s="75" t="n">
        <x:v>50</x:v>
      </x:c>
      <x:c r="K34" s="75" t="n">
        <x:v>8</x:v>
      </x:c>
      <x:c r="L34" s="75" t="str">
        <x:v>R1_5of50_2of8</x:v>
      </x:c>
      <x:c r="M34" s="213" t="str">
        <x:v>S1_pre_2024_studio_change_sensitivity_only</x:v>
      </x:c>
      <x:c r="N34" s="213" t="str">
        <x:v>Friday</x:v>
      </x:c>
      <x:c r="O34" s="213" t="str">
        <x:v>LottoMetrics full-history export</x:v>
      </x:c>
      <x:c r="P34" s="213" t="str">
        <x:v>Archive-sourced; calendar/range/uniqueness validated</x:v>
      </x:c>
      <x:c r="Q34" s="54" t="str"/>
    </x:row>
    <x:row r="35">
      <x:c r="A35" s="74" t="n">
        <x:v>32</x:v>
      </x:c>
      <x:c r="B35" s="217" t="n">
        <x:v>41208</x:v>
      </x:c>
      <x:c r="C35" s="75" t="n">
        <x:v>7</x:v>
      </x:c>
      <x:c r="D35" s="75" t="n">
        <x:v>17</x:v>
      </x:c>
      <x:c r="E35" s="75" t="n">
        <x:v>18</x:v>
      </x:c>
      <x:c r="F35" s="75" t="n">
        <x:v>19</x:v>
      </x:c>
      <x:c r="G35" s="75" t="n">
        <x:v>22</x:v>
      </x:c>
      <x:c r="H35" s="75" t="n">
        <x:v>4</x:v>
      </x:c>
      <x:c r="I35" s="75" t="n">
        <x:v>5</x:v>
      </x:c>
      <x:c r="J35" s="75" t="n">
        <x:v>50</x:v>
      </x:c>
      <x:c r="K35" s="75" t="n">
        <x:v>8</x:v>
      </x:c>
      <x:c r="L35" s="75" t="str">
        <x:v>R1_5of50_2of8</x:v>
      </x:c>
      <x:c r="M35" s="213" t="str">
        <x:v>S1_pre_2024_studio_change_sensitivity_only</x:v>
      </x:c>
      <x:c r="N35" s="213" t="str">
        <x:v>Friday</x:v>
      </x:c>
      <x:c r="O35" s="213" t="str">
        <x:v>LottoMetrics full-history export</x:v>
      </x:c>
      <x:c r="P35" s="213" t="str">
        <x:v>Archive-sourced; calendar/range/uniqueness validated</x:v>
      </x:c>
      <x:c r="Q35" s="54" t="str"/>
    </x:row>
    <x:row r="36">
      <x:c r="A36" s="74" t="n">
        <x:v>33</x:v>
      </x:c>
      <x:c r="B36" s="217" t="n">
        <x:v>41215</x:v>
      </x:c>
      <x:c r="C36" s="75" t="n">
        <x:v>3</x:v>
      </x:c>
      <x:c r="D36" s="75" t="n">
        <x:v>5</x:v>
      </x:c>
      <x:c r="E36" s="75" t="n">
        <x:v>7</x:v>
      </x:c>
      <x:c r="F36" s="75" t="n">
        <x:v>12</x:v>
      </x:c>
      <x:c r="G36" s="75" t="n">
        <x:v>31</x:v>
      </x:c>
      <x:c r="H36" s="75" t="n">
        <x:v>5</x:v>
      </x:c>
      <x:c r="I36" s="75" t="n">
        <x:v>7</x:v>
      </x:c>
      <x:c r="J36" s="75" t="n">
        <x:v>50</x:v>
      </x:c>
      <x:c r="K36" s="75" t="n">
        <x:v>8</x:v>
      </x:c>
      <x:c r="L36" s="75" t="str">
        <x:v>R1_5of50_2of8</x:v>
      </x:c>
      <x:c r="M36" s="213" t="str">
        <x:v>S1_pre_2024_studio_change_sensitivity_only</x:v>
      </x:c>
      <x:c r="N36" s="213" t="str">
        <x:v>Friday</x:v>
      </x:c>
      <x:c r="O36" s="213" t="str">
        <x:v>LottoMetrics full-history export</x:v>
      </x:c>
      <x:c r="P36" s="213" t="str">
        <x:v>Archive-sourced; calendar/range/uniqueness validated</x:v>
      </x:c>
      <x:c r="Q36" s="54" t="str"/>
    </x:row>
    <x:row r="37">
      <x:c r="A37" s="74" t="n">
        <x:v>34</x:v>
      </x:c>
      <x:c r="B37" s="217" t="n">
        <x:v>41222</x:v>
      </x:c>
      <x:c r="C37" s="75" t="n">
        <x:v>25</x:v>
      </x:c>
      <x:c r="D37" s="75" t="n">
        <x:v>29</x:v>
      </x:c>
      <x:c r="E37" s="75" t="n">
        <x:v>38</x:v>
      </x:c>
      <x:c r="F37" s="75" t="n">
        <x:v>41</x:v>
      </x:c>
      <x:c r="G37" s="75" t="n">
        <x:v>44</x:v>
      </x:c>
      <x:c r="H37" s="75" t="n">
        <x:v>3</x:v>
      </x:c>
      <x:c r="I37" s="75" t="n">
        <x:v>8</x:v>
      </x:c>
      <x:c r="J37" s="75" t="n">
        <x:v>50</x:v>
      </x:c>
      <x:c r="K37" s="75" t="n">
        <x:v>8</x:v>
      </x:c>
      <x:c r="L37" s="75" t="str">
        <x:v>R1_5of50_2of8</x:v>
      </x:c>
      <x:c r="M37" s="213" t="str">
        <x:v>S1_pre_2024_studio_change_sensitivity_only</x:v>
      </x:c>
      <x:c r="N37" s="213" t="str">
        <x:v>Friday</x:v>
      </x:c>
      <x:c r="O37" s="213" t="str">
        <x:v>LottoMetrics full-history export</x:v>
      </x:c>
      <x:c r="P37" s="213" t="str">
        <x:v>Archive-sourced; calendar/range/uniqueness validated</x:v>
      </x:c>
      <x:c r="Q37" s="54" t="str"/>
    </x:row>
    <x:row r="38">
      <x:c r="A38" s="74" t="n">
        <x:v>35</x:v>
      </x:c>
      <x:c r="B38" s="217" t="n">
        <x:v>41229</x:v>
      </x:c>
      <x:c r="C38" s="75" t="n">
        <x:v>1</x:v>
      </x:c>
      <x:c r="D38" s="75" t="n">
        <x:v>4</x:v>
      </x:c>
      <x:c r="E38" s="75" t="n">
        <x:v>7</x:v>
      </x:c>
      <x:c r="F38" s="75" t="n">
        <x:v>21</x:v>
      </x:c>
      <x:c r="G38" s="75" t="n">
        <x:v>26</x:v>
      </x:c>
      <x:c r="H38" s="75" t="n">
        <x:v>4</x:v>
      </x:c>
      <x:c r="I38" s="75" t="n">
        <x:v>7</x:v>
      </x:c>
      <x:c r="J38" s="75" t="n">
        <x:v>50</x:v>
      </x:c>
      <x:c r="K38" s="75" t="n">
        <x:v>8</x:v>
      </x:c>
      <x:c r="L38" s="75" t="str">
        <x:v>R1_5of50_2of8</x:v>
      </x:c>
      <x:c r="M38" s="213" t="str">
        <x:v>S1_pre_2024_studio_change_sensitivity_only</x:v>
      </x:c>
      <x:c r="N38" s="213" t="str">
        <x:v>Friday</x:v>
      </x:c>
      <x:c r="O38" s="213" t="str">
        <x:v>LottoMetrics full-history export</x:v>
      </x:c>
      <x:c r="P38" s="213" t="str">
        <x:v>Archive-sourced; calendar/range/uniqueness validated</x:v>
      </x:c>
      <x:c r="Q38" s="54" t="str"/>
    </x:row>
    <x:row r="39">
      <x:c r="A39" s="74" t="n">
        <x:v>36</x:v>
      </x:c>
      <x:c r="B39" s="217" t="n">
        <x:v>41236</x:v>
      </x:c>
      <x:c r="C39" s="75" t="n">
        <x:v>1</x:v>
      </x:c>
      <x:c r="D39" s="75" t="n">
        <x:v>21</x:v>
      </x:c>
      <x:c r="E39" s="75" t="n">
        <x:v>32</x:v>
      </x:c>
      <x:c r="F39" s="75" t="n">
        <x:v>36</x:v>
      </x:c>
      <x:c r="G39" s="75" t="n">
        <x:v>50</x:v>
      </x:c>
      <x:c r="H39" s="75" t="n">
        <x:v>2</x:v>
      </x:c>
      <x:c r="I39" s="75" t="n">
        <x:v>5</x:v>
      </x:c>
      <x:c r="J39" s="75" t="n">
        <x:v>50</x:v>
      </x:c>
      <x:c r="K39" s="75" t="n">
        <x:v>8</x:v>
      </x:c>
      <x:c r="L39" s="75" t="str">
        <x:v>R1_5of50_2of8</x:v>
      </x:c>
      <x:c r="M39" s="213" t="str">
        <x:v>S1_pre_2024_studio_change_sensitivity_only</x:v>
      </x:c>
      <x:c r="N39" s="213" t="str">
        <x:v>Friday</x:v>
      </x:c>
      <x:c r="O39" s="213" t="str">
        <x:v>LottoMetrics full-history export</x:v>
      </x:c>
      <x:c r="P39" s="213" t="str">
        <x:v>Archive-sourced; calendar/range/uniqueness validated</x:v>
      </x:c>
      <x:c r="Q39" s="54" t="str"/>
    </x:row>
    <x:row r="40">
      <x:c r="A40" s="74" t="n">
        <x:v>37</x:v>
      </x:c>
      <x:c r="B40" s="217" t="n">
        <x:v>41243</x:v>
      </x:c>
      <x:c r="C40" s="75" t="n">
        <x:v>2</x:v>
      </x:c>
      <x:c r="D40" s="75" t="n">
        <x:v>13</x:v>
      </x:c>
      <x:c r="E40" s="75" t="n">
        <x:v>21</x:v>
      </x:c>
      <x:c r="F40" s="75" t="n">
        <x:v>24</x:v>
      </x:c>
      <x:c r="G40" s="75" t="n">
        <x:v>37</x:v>
      </x:c>
      <x:c r="H40" s="75" t="n">
        <x:v>6</x:v>
      </x:c>
      <x:c r="I40" s="75" t="n">
        <x:v>7</x:v>
      </x:c>
      <x:c r="J40" s="75" t="n">
        <x:v>50</x:v>
      </x:c>
      <x:c r="K40" s="75" t="n">
        <x:v>8</x:v>
      </x:c>
      <x:c r="L40" s="75" t="str">
        <x:v>R1_5of50_2of8</x:v>
      </x:c>
      <x:c r="M40" s="213" t="str">
        <x:v>S1_pre_2024_studio_change_sensitivity_only</x:v>
      </x:c>
      <x:c r="N40" s="213" t="str">
        <x:v>Friday</x:v>
      </x:c>
      <x:c r="O40" s="213" t="str">
        <x:v>LottoMetrics full-history export</x:v>
      </x:c>
      <x:c r="P40" s="213" t="str">
        <x:v>Archive-sourced; calendar/range/uniqueness validated</x:v>
      </x:c>
      <x:c r="Q40" s="54" t="str"/>
    </x:row>
    <x:row r="41">
      <x:c r="A41" s="74" t="n">
        <x:v>38</x:v>
      </x:c>
      <x:c r="B41" s="217" t="n">
        <x:v>41250</x:v>
      </x:c>
      <x:c r="C41" s="75" t="n">
        <x:v>13</x:v>
      </x:c>
      <x:c r="D41" s="75" t="n">
        <x:v>20</x:v>
      </x:c>
      <x:c r="E41" s="75" t="n">
        <x:v>22</x:v>
      </x:c>
      <x:c r="F41" s="75" t="n">
        <x:v>27</x:v>
      </x:c>
      <x:c r="G41" s="75" t="n">
        <x:v>42</x:v>
      </x:c>
      <x:c r="H41" s="75" t="n">
        <x:v>3</x:v>
      </x:c>
      <x:c r="I41" s="75" t="n">
        <x:v>5</x:v>
      </x:c>
      <x:c r="J41" s="75" t="n">
        <x:v>50</x:v>
      </x:c>
      <x:c r="K41" s="75" t="n">
        <x:v>8</x:v>
      </x:c>
      <x:c r="L41" s="75" t="str">
        <x:v>R1_5of50_2of8</x:v>
      </x:c>
      <x:c r="M41" s="213" t="str">
        <x:v>S1_pre_2024_studio_change_sensitivity_only</x:v>
      </x:c>
      <x:c r="N41" s="213" t="str">
        <x:v>Friday</x:v>
      </x:c>
      <x:c r="O41" s="213" t="str">
        <x:v>LottoMetrics full-history export</x:v>
      </x:c>
      <x:c r="P41" s="213" t="str">
        <x:v>Archive-sourced; calendar/range/uniqueness validated</x:v>
      </x:c>
      <x:c r="Q41" s="54" t="str"/>
    </x:row>
    <x:row r="42">
      <x:c r="A42" s="74" t="n">
        <x:v>39</x:v>
      </x:c>
      <x:c r="B42" s="217" t="n">
        <x:v>41257</x:v>
      </x:c>
      <x:c r="C42" s="75" t="n">
        <x:v>17</x:v>
      </x:c>
      <x:c r="D42" s="75" t="n">
        <x:v>28</x:v>
      </x:c>
      <x:c r="E42" s="75" t="n">
        <x:v>31</x:v>
      </x:c>
      <x:c r="F42" s="75" t="n">
        <x:v>35</x:v>
      </x:c>
      <x:c r="G42" s="75" t="n">
        <x:v>39</x:v>
      </x:c>
      <x:c r="H42" s="75" t="n">
        <x:v>5</x:v>
      </x:c>
      <x:c r="I42" s="75" t="n">
        <x:v>8</x:v>
      </x:c>
      <x:c r="J42" s="75" t="n">
        <x:v>50</x:v>
      </x:c>
      <x:c r="K42" s="75" t="n">
        <x:v>8</x:v>
      </x:c>
      <x:c r="L42" s="75" t="str">
        <x:v>R1_5of50_2of8</x:v>
      </x:c>
      <x:c r="M42" s="213" t="str">
        <x:v>S1_pre_2024_studio_change_sensitivity_only</x:v>
      </x:c>
      <x:c r="N42" s="213" t="str">
        <x:v>Friday</x:v>
      </x:c>
      <x:c r="O42" s="213" t="str">
        <x:v>LottoMetrics full-history export</x:v>
      </x:c>
      <x:c r="P42" s="213" t="str">
        <x:v>Archive-sourced; calendar/range/uniqueness validated</x:v>
      </x:c>
      <x:c r="Q42" s="54" t="str"/>
    </x:row>
    <x:row r="43">
      <x:c r="A43" s="74" t="n">
        <x:v>40</x:v>
      </x:c>
      <x:c r="B43" s="217" t="n">
        <x:v>41264</x:v>
      </x:c>
      <x:c r="C43" s="75" t="n">
        <x:v>11</x:v>
      </x:c>
      <x:c r="D43" s="75" t="n">
        <x:v>20</x:v>
      </x:c>
      <x:c r="E43" s="75" t="n">
        <x:v>24</x:v>
      </x:c>
      <x:c r="F43" s="75" t="n">
        <x:v>25</x:v>
      </x:c>
      <x:c r="G43" s="75" t="n">
        <x:v>35</x:v>
      </x:c>
      <x:c r="H43" s="75" t="n">
        <x:v>4</x:v>
      </x:c>
      <x:c r="I43" s="75" t="n">
        <x:v>8</x:v>
      </x:c>
      <x:c r="J43" s="75" t="n">
        <x:v>50</x:v>
      </x:c>
      <x:c r="K43" s="75" t="n">
        <x:v>8</x:v>
      </x:c>
      <x:c r="L43" s="75" t="str">
        <x:v>R1_5of50_2of8</x:v>
      </x:c>
      <x:c r="M43" s="213" t="str">
        <x:v>S1_pre_2024_studio_change_sensitivity_only</x:v>
      </x:c>
      <x:c r="N43" s="213" t="str">
        <x:v>Friday</x:v>
      </x:c>
      <x:c r="O43" s="213" t="str">
        <x:v>LottoMetrics full-history export</x:v>
      </x:c>
      <x:c r="P43" s="213" t="str">
        <x:v>Archive-sourced; calendar/range/uniqueness validated</x:v>
      </x:c>
      <x:c r="Q43" s="54" t="str"/>
    </x:row>
    <x:row r="44">
      <x:c r="A44" s="74" t="n">
        <x:v>41</x:v>
      </x:c>
      <x:c r="B44" s="217" t="n">
        <x:v>41271</x:v>
      </x:c>
      <x:c r="C44" s="75" t="n">
        <x:v>5</x:v>
      </x:c>
      <x:c r="D44" s="75" t="n">
        <x:v>8</x:v>
      </x:c>
      <x:c r="E44" s="75" t="n">
        <x:v>22</x:v>
      </x:c>
      <x:c r="F44" s="75" t="n">
        <x:v>32</x:v>
      </x:c>
      <x:c r="G44" s="75" t="n">
        <x:v>39</x:v>
      </x:c>
      <x:c r="H44" s="75" t="n">
        <x:v>7</x:v>
      </x:c>
      <x:c r="I44" s="75" t="n">
        <x:v>8</x:v>
      </x:c>
      <x:c r="J44" s="75" t="n">
        <x:v>50</x:v>
      </x:c>
      <x:c r="K44" s="75" t="n">
        <x:v>8</x:v>
      </x:c>
      <x:c r="L44" s="75" t="str">
        <x:v>R1_5of50_2of8</x:v>
      </x:c>
      <x:c r="M44" s="213" t="str">
        <x:v>S1_pre_2024_studio_change_sensitivity_only</x:v>
      </x:c>
      <x:c r="N44" s="213" t="str">
        <x:v>Friday</x:v>
      </x:c>
      <x:c r="O44" s="213" t="str">
        <x:v>LottoMetrics full-history export</x:v>
      </x:c>
      <x:c r="P44" s="213" t="str">
        <x:v>Archive-sourced; calendar/range/uniqueness validated</x:v>
      </x:c>
      <x:c r="Q44" s="54" t="str"/>
    </x:row>
    <x:row r="45">
      <x:c r="A45" s="74" t="n">
        <x:v>42</x:v>
      </x:c>
      <x:c r="B45" s="217" t="n">
        <x:v>41278</x:v>
      </x:c>
      <x:c r="C45" s="75" t="n">
        <x:v>6</x:v>
      </x:c>
      <x:c r="D45" s="75" t="n">
        <x:v>20</x:v>
      </x:c>
      <x:c r="E45" s="75" t="n">
        <x:v>29</x:v>
      </x:c>
      <x:c r="F45" s="75" t="n">
        <x:v>40</x:v>
      </x:c>
      <x:c r="G45" s="75" t="n">
        <x:v>45</x:v>
      </x:c>
      <x:c r="H45" s="75" t="n">
        <x:v>5</x:v>
      </x:c>
      <x:c r="I45" s="75" t="n">
        <x:v>8</x:v>
      </x:c>
      <x:c r="J45" s="75" t="n">
        <x:v>50</x:v>
      </x:c>
      <x:c r="K45" s="75" t="n">
        <x:v>8</x:v>
      </x:c>
      <x:c r="L45" s="75" t="str">
        <x:v>R1_5of50_2of8</x:v>
      </x:c>
      <x:c r="M45" s="213" t="str">
        <x:v>S1_pre_2024_studio_change_sensitivity_only</x:v>
      </x:c>
      <x:c r="N45" s="213" t="str">
        <x:v>Friday</x:v>
      </x:c>
      <x:c r="O45" s="213" t="str">
        <x:v>LottoMetrics full-history export</x:v>
      </x:c>
      <x:c r="P45" s="213" t="str">
        <x:v>Archive-sourced; calendar/range/uniqueness validated</x:v>
      </x:c>
      <x:c r="Q45" s="54" t="str"/>
    </x:row>
    <x:row r="46">
      <x:c r="A46" s="74" t="n">
        <x:v>43</x:v>
      </x:c>
      <x:c r="B46" s="217" t="n">
        <x:v>41285</x:v>
      </x:c>
      <x:c r="C46" s="75" t="n">
        <x:v>6</x:v>
      </x:c>
      <x:c r="D46" s="75" t="n">
        <x:v>31</x:v>
      </x:c>
      <x:c r="E46" s="75" t="n">
        <x:v>37</x:v>
      </x:c>
      <x:c r="F46" s="75" t="n">
        <x:v>41</x:v>
      </x:c>
      <x:c r="G46" s="75" t="n">
        <x:v>49</x:v>
      </x:c>
      <x:c r="H46" s="75" t="n">
        <x:v>2</x:v>
      </x:c>
      <x:c r="I46" s="75" t="n">
        <x:v>3</x:v>
      </x:c>
      <x:c r="J46" s="75" t="n">
        <x:v>50</x:v>
      </x:c>
      <x:c r="K46" s="75" t="n">
        <x:v>8</x:v>
      </x:c>
      <x:c r="L46" s="75" t="str">
        <x:v>R1_5of50_2of8</x:v>
      </x:c>
      <x:c r="M46" s="213" t="str">
        <x:v>S1_pre_2024_studio_change_sensitivity_only</x:v>
      </x:c>
      <x:c r="N46" s="213" t="str">
        <x:v>Friday</x:v>
      </x:c>
      <x:c r="O46" s="213" t="str">
        <x:v>LottoMetrics full-history export</x:v>
      </x:c>
      <x:c r="P46" s="213" t="str">
        <x:v>Archive-sourced; calendar/range/uniqueness validated</x:v>
      </x:c>
      <x:c r="Q46" s="54" t="str"/>
    </x:row>
    <x:row r="47">
      <x:c r="A47" s="74" t="n">
        <x:v>44</x:v>
      </x:c>
      <x:c r="B47" s="217" t="n">
        <x:v>41292</x:v>
      </x:c>
      <x:c r="C47" s="75" t="n">
        <x:v>9</x:v>
      </x:c>
      <x:c r="D47" s="75" t="n">
        <x:v>13</x:v>
      </x:c>
      <x:c r="E47" s="75" t="n">
        <x:v>21</x:v>
      </x:c>
      <x:c r="F47" s="75" t="n">
        <x:v>28</x:v>
      </x:c>
      <x:c r="G47" s="75" t="n">
        <x:v>45</x:v>
      </x:c>
      <x:c r="H47" s="75" t="n">
        <x:v>6</x:v>
      </x:c>
      <x:c r="I47" s="75" t="n">
        <x:v>7</x:v>
      </x:c>
      <x:c r="J47" s="75" t="n">
        <x:v>50</x:v>
      </x:c>
      <x:c r="K47" s="75" t="n">
        <x:v>8</x:v>
      </x:c>
      <x:c r="L47" s="75" t="str">
        <x:v>R1_5of50_2of8</x:v>
      </x:c>
      <x:c r="M47" s="213" t="str">
        <x:v>S1_pre_2024_studio_change_sensitivity_only</x:v>
      </x:c>
      <x:c r="N47" s="213" t="str">
        <x:v>Friday</x:v>
      </x:c>
      <x:c r="O47" s="213" t="str">
        <x:v>LottoMetrics full-history export</x:v>
      </x:c>
      <x:c r="P47" s="213" t="str">
        <x:v>Archive-sourced; calendar/range/uniqueness validated</x:v>
      </x:c>
      <x:c r="Q47" s="54" t="str"/>
    </x:row>
    <x:row r="48">
      <x:c r="A48" s="74" t="n">
        <x:v>45</x:v>
      </x:c>
      <x:c r="B48" s="217" t="n">
        <x:v>41299</x:v>
      </x:c>
      <x:c r="C48" s="75" t="n">
        <x:v>4</x:v>
      </x:c>
      <x:c r="D48" s="75" t="n">
        <x:v>13</x:v>
      </x:c>
      <x:c r="E48" s="75" t="n">
        <x:v>28</x:v>
      </x:c>
      <x:c r="F48" s="75" t="n">
        <x:v>37</x:v>
      </x:c>
      <x:c r="G48" s="75" t="n">
        <x:v>38</x:v>
      </x:c>
      <x:c r="H48" s="75" t="n">
        <x:v>7</x:v>
      </x:c>
      <x:c r="I48" s="75" t="n">
        <x:v>8</x:v>
      </x:c>
      <x:c r="J48" s="75" t="n">
        <x:v>50</x:v>
      </x:c>
      <x:c r="K48" s="75" t="n">
        <x:v>8</x:v>
      </x:c>
      <x:c r="L48" s="75" t="str">
        <x:v>R1_5of50_2of8</x:v>
      </x:c>
      <x:c r="M48" s="213" t="str">
        <x:v>S1_pre_2024_studio_change_sensitivity_only</x:v>
      </x:c>
      <x:c r="N48" s="213" t="str">
        <x:v>Friday</x:v>
      </x:c>
      <x:c r="O48" s="213" t="str">
        <x:v>LottoMetrics full-history export</x:v>
      </x:c>
      <x:c r="P48" s="213" t="str">
        <x:v>Archive-sourced; calendar/range/uniqueness validated</x:v>
      </x:c>
      <x:c r="Q48" s="54" t="str"/>
    </x:row>
    <x:row r="49">
      <x:c r="A49" s="74" t="n">
        <x:v>46</x:v>
      </x:c>
      <x:c r="B49" s="217" t="n">
        <x:v>41306</x:v>
      </x:c>
      <x:c r="C49" s="75" t="n">
        <x:v>2</x:v>
      </x:c>
      <x:c r="D49" s="75" t="n">
        <x:v>4</x:v>
      </x:c>
      <x:c r="E49" s="75" t="n">
        <x:v>14</x:v>
      </x:c>
      <x:c r="F49" s="75" t="n">
        <x:v>26</x:v>
      </x:c>
      <x:c r="G49" s="75" t="n">
        <x:v>29</x:v>
      </x:c>
      <x:c r="H49" s="75" t="n">
        <x:v>6</x:v>
      </x:c>
      <x:c r="I49" s="75" t="n">
        <x:v>7</x:v>
      </x:c>
      <x:c r="J49" s="75" t="n">
        <x:v>50</x:v>
      </x:c>
      <x:c r="K49" s="75" t="n">
        <x:v>8</x:v>
      </x:c>
      <x:c r="L49" s="75" t="str">
        <x:v>R1_5of50_2of8</x:v>
      </x:c>
      <x:c r="M49" s="213" t="str">
        <x:v>S1_pre_2024_studio_change_sensitivity_only</x:v>
      </x:c>
      <x:c r="N49" s="213" t="str">
        <x:v>Friday</x:v>
      </x:c>
      <x:c r="O49" s="213" t="str">
        <x:v>LottoMetrics full-history export</x:v>
      </x:c>
      <x:c r="P49" s="213" t="str">
        <x:v>Archive-sourced; calendar/range/uniqueness validated</x:v>
      </x:c>
      <x:c r="Q49" s="54" t="str"/>
    </x:row>
    <x:row r="50">
      <x:c r="A50" s="74" t="n">
        <x:v>47</x:v>
      </x:c>
      <x:c r="B50" s="217" t="n">
        <x:v>41313</x:v>
      </x:c>
      <x:c r="C50" s="75" t="n">
        <x:v>12</x:v>
      </x:c>
      <x:c r="D50" s="75" t="n">
        <x:v>14</x:v>
      </x:c>
      <x:c r="E50" s="75" t="n">
        <x:v>17</x:v>
      </x:c>
      <x:c r="F50" s="75" t="n">
        <x:v>27</x:v>
      </x:c>
      <x:c r="G50" s="75" t="n">
        <x:v>43</x:v>
      </x:c>
      <x:c r="H50" s="75" t="n">
        <x:v>1</x:v>
      </x:c>
      <x:c r="I50" s="75" t="n">
        <x:v>7</x:v>
      </x:c>
      <x:c r="J50" s="75" t="n">
        <x:v>50</x:v>
      </x:c>
      <x:c r="K50" s="75" t="n">
        <x:v>8</x:v>
      </x:c>
      <x:c r="L50" s="75" t="str">
        <x:v>R1_5of50_2of8</x:v>
      </x:c>
      <x:c r="M50" s="213" t="str">
        <x:v>S1_pre_2024_studio_change_sensitivity_only</x:v>
      </x:c>
      <x:c r="N50" s="213" t="str">
        <x:v>Friday</x:v>
      </x:c>
      <x:c r="O50" s="213" t="str">
        <x:v>LottoMetrics full-history export</x:v>
      </x:c>
      <x:c r="P50" s="213" t="str">
        <x:v>Archive-sourced; calendar/range/uniqueness validated</x:v>
      </x:c>
      <x:c r="Q50" s="54" t="str"/>
    </x:row>
    <x:row r="51">
      <x:c r="A51" s="74" t="n">
        <x:v>48</x:v>
      </x:c>
      <x:c r="B51" s="217" t="n">
        <x:v>41320</x:v>
      </x:c>
      <x:c r="C51" s="75" t="n">
        <x:v>4</x:v>
      </x:c>
      <x:c r="D51" s="75" t="n">
        <x:v>9</x:v>
      </x:c>
      <x:c r="E51" s="75" t="n">
        <x:v>26</x:v>
      </x:c>
      <x:c r="F51" s="75" t="n">
        <x:v>32</x:v>
      </x:c>
      <x:c r="G51" s="75" t="n">
        <x:v>40</x:v>
      </x:c>
      <x:c r="H51" s="75" t="n">
        <x:v>3</x:v>
      </x:c>
      <x:c r="I51" s="75" t="n">
        <x:v>5</x:v>
      </x:c>
      <x:c r="J51" s="75" t="n">
        <x:v>50</x:v>
      </x:c>
      <x:c r="K51" s="75" t="n">
        <x:v>8</x:v>
      </x:c>
      <x:c r="L51" s="75" t="str">
        <x:v>R1_5of50_2of8</x:v>
      </x:c>
      <x:c r="M51" s="213" t="str">
        <x:v>S1_pre_2024_studio_change_sensitivity_only</x:v>
      </x:c>
      <x:c r="N51" s="213" t="str">
        <x:v>Friday</x:v>
      </x:c>
      <x:c r="O51" s="213" t="str">
        <x:v>LottoMetrics full-history export</x:v>
      </x:c>
      <x:c r="P51" s="213" t="str">
        <x:v>Archive-sourced; calendar/range/uniqueness validated</x:v>
      </x:c>
      <x:c r="Q51" s="54" t="str"/>
    </x:row>
    <x:row r="52">
      <x:c r="A52" s="74" t="n">
        <x:v>49</x:v>
      </x:c>
      <x:c r="B52" s="217" t="n">
        <x:v>41327</x:v>
      </x:c>
      <x:c r="C52" s="75" t="n">
        <x:v>3</x:v>
      </x:c>
      <x:c r="D52" s="75" t="n">
        <x:v>13</x:v>
      </x:c>
      <x:c r="E52" s="75" t="n">
        <x:v>41</x:v>
      </x:c>
      <x:c r="F52" s="75" t="n">
        <x:v>46</x:v>
      </x:c>
      <x:c r="G52" s="75" t="n">
        <x:v>49</x:v>
      </x:c>
      <x:c r="H52" s="75" t="n">
        <x:v>3</x:v>
      </x:c>
      <x:c r="I52" s="75" t="n">
        <x:v>8</x:v>
      </x:c>
      <x:c r="J52" s="75" t="n">
        <x:v>50</x:v>
      </x:c>
      <x:c r="K52" s="75" t="n">
        <x:v>8</x:v>
      </x:c>
      <x:c r="L52" s="75" t="str">
        <x:v>R1_5of50_2of8</x:v>
      </x:c>
      <x:c r="M52" s="213" t="str">
        <x:v>S1_pre_2024_studio_change_sensitivity_only</x:v>
      </x:c>
      <x:c r="N52" s="213" t="str">
        <x:v>Friday</x:v>
      </x:c>
      <x:c r="O52" s="213" t="str">
        <x:v>LottoMetrics full-history export</x:v>
      </x:c>
      <x:c r="P52" s="213" t="str">
        <x:v>Archive-sourced; calendar/range/uniqueness validated</x:v>
      </x:c>
      <x:c r="Q52" s="54" t="str"/>
    </x:row>
    <x:row r="53">
      <x:c r="A53" s="74" t="n">
        <x:v>50</x:v>
      </x:c>
      <x:c r="B53" s="217" t="n">
        <x:v>41334</x:v>
      </x:c>
      <x:c r="C53" s="75" t="n">
        <x:v>19</x:v>
      </x:c>
      <x:c r="D53" s="75" t="n">
        <x:v>28</x:v>
      </x:c>
      <x:c r="E53" s="75" t="n">
        <x:v>29</x:v>
      </x:c>
      <x:c r="F53" s="75" t="n">
        <x:v>34</x:v>
      </x:c>
      <x:c r="G53" s="75" t="n">
        <x:v>44</x:v>
      </x:c>
      <x:c r="H53" s="75" t="n">
        <x:v>1</x:v>
      </x:c>
      <x:c r="I53" s="75" t="n">
        <x:v>5</x:v>
      </x:c>
      <x:c r="J53" s="75" t="n">
        <x:v>50</x:v>
      </x:c>
      <x:c r="K53" s="75" t="n">
        <x:v>8</x:v>
      </x:c>
      <x:c r="L53" s="75" t="str">
        <x:v>R1_5of50_2of8</x:v>
      </x:c>
      <x:c r="M53" s="213" t="str">
        <x:v>S1_pre_2024_studio_change_sensitivity_only</x:v>
      </x:c>
      <x:c r="N53" s="213" t="str">
        <x:v>Friday</x:v>
      </x:c>
      <x:c r="O53" s="213" t="str">
        <x:v>LottoMetrics full-history export</x:v>
      </x:c>
      <x:c r="P53" s="213" t="str">
        <x:v>Archive-sourced; calendar/range/uniqueness validated</x:v>
      </x:c>
      <x:c r="Q53" s="54" t="str"/>
    </x:row>
    <x:row r="54">
      <x:c r="A54" s="74" t="n">
        <x:v>51</x:v>
      </x:c>
      <x:c r="B54" s="217" t="n">
        <x:v>41341</x:v>
      </x:c>
      <x:c r="C54" s="75" t="n">
        <x:v>10</x:v>
      </x:c>
      <x:c r="D54" s="75" t="n">
        <x:v>12</x:v>
      </x:c>
      <x:c r="E54" s="75" t="n">
        <x:v>14</x:v>
      </x:c>
      <x:c r="F54" s="75" t="n">
        <x:v>30</x:v>
      </x:c>
      <x:c r="G54" s="75" t="n">
        <x:v>43</x:v>
      </x:c>
      <x:c r="H54" s="75" t="n">
        <x:v>2</x:v>
      </x:c>
      <x:c r="I54" s="75" t="n">
        <x:v>5</x:v>
      </x:c>
      <x:c r="J54" s="75" t="n">
        <x:v>50</x:v>
      </x:c>
      <x:c r="K54" s="75" t="n">
        <x:v>8</x:v>
      </x:c>
      <x:c r="L54" s="75" t="str">
        <x:v>R1_5of50_2of8</x:v>
      </x:c>
      <x:c r="M54" s="213" t="str">
        <x:v>S1_pre_2024_studio_change_sensitivity_only</x:v>
      </x:c>
      <x:c r="N54" s="213" t="str">
        <x:v>Friday</x:v>
      </x:c>
      <x:c r="O54" s="213" t="str">
        <x:v>LottoMetrics full-history export</x:v>
      </x:c>
      <x:c r="P54" s="213" t="str">
        <x:v>Archive-sourced; calendar/range/uniqueness validated</x:v>
      </x:c>
      <x:c r="Q54" s="54" t="str"/>
    </x:row>
    <x:row r="55">
      <x:c r="A55" s="74" t="n">
        <x:v>52</x:v>
      </x:c>
      <x:c r="B55" s="217" t="n">
        <x:v>41348</x:v>
      </x:c>
      <x:c r="C55" s="75" t="n">
        <x:v>4</x:v>
      </x:c>
      <x:c r="D55" s="75" t="n">
        <x:v>30</x:v>
      </x:c>
      <x:c r="E55" s="75" t="n">
        <x:v>32</x:v>
      </x:c>
      <x:c r="F55" s="75" t="n">
        <x:v>41</x:v>
      </x:c>
      <x:c r="G55" s="75" t="n">
        <x:v>50</x:v>
      </x:c>
      <x:c r="H55" s="75" t="n">
        <x:v>5</x:v>
      </x:c>
      <x:c r="I55" s="75" t="n">
        <x:v>7</x:v>
      </x:c>
      <x:c r="J55" s="75" t="n">
        <x:v>50</x:v>
      </x:c>
      <x:c r="K55" s="75" t="n">
        <x:v>8</x:v>
      </x:c>
      <x:c r="L55" s="75" t="str">
        <x:v>R1_5of50_2of8</x:v>
      </x:c>
      <x:c r="M55" s="213" t="str">
        <x:v>S1_pre_2024_studio_change_sensitivity_only</x:v>
      </x:c>
      <x:c r="N55" s="213" t="str">
        <x:v>Friday</x:v>
      </x:c>
      <x:c r="O55" s="213" t="str">
        <x:v>LottoMetrics full-history export</x:v>
      </x:c>
      <x:c r="P55" s="213" t="str">
        <x:v>Archive-sourced; calendar/range/uniqueness validated</x:v>
      </x:c>
      <x:c r="Q55" s="54" t="str"/>
    </x:row>
    <x:row r="56">
      <x:c r="A56" s="74" t="n">
        <x:v>53</x:v>
      </x:c>
      <x:c r="B56" s="217" t="n">
        <x:v>41355</x:v>
      </x:c>
      <x:c r="C56" s="75" t="n">
        <x:v>5</x:v>
      </x:c>
      <x:c r="D56" s="75" t="n">
        <x:v>12</x:v>
      </x:c>
      <x:c r="E56" s="75" t="n">
        <x:v>21</x:v>
      </x:c>
      <x:c r="F56" s="75" t="n">
        <x:v>43</x:v>
      </x:c>
      <x:c r="G56" s="75" t="n">
        <x:v>48</x:v>
      </x:c>
      <x:c r="H56" s="75" t="n">
        <x:v>5</x:v>
      </x:c>
      <x:c r="I56" s="75" t="n">
        <x:v>6</x:v>
      </x:c>
      <x:c r="J56" s="75" t="n">
        <x:v>50</x:v>
      </x:c>
      <x:c r="K56" s="75" t="n">
        <x:v>8</x:v>
      </x:c>
      <x:c r="L56" s="75" t="str">
        <x:v>R1_5of50_2of8</x:v>
      </x:c>
      <x:c r="M56" s="213" t="str">
        <x:v>S1_pre_2024_studio_change_sensitivity_only</x:v>
      </x:c>
      <x:c r="N56" s="213" t="str">
        <x:v>Friday</x:v>
      </x:c>
      <x:c r="O56" s="213" t="str">
        <x:v>LottoMetrics full-history export</x:v>
      </x:c>
      <x:c r="P56" s="213" t="str">
        <x:v>Archive-sourced; calendar/range/uniqueness validated</x:v>
      </x:c>
      <x:c r="Q56" s="54" t="str"/>
    </x:row>
    <x:row r="57">
      <x:c r="A57" s="74" t="n">
        <x:v>54</x:v>
      </x:c>
      <x:c r="B57" s="217" t="n">
        <x:v>41362</x:v>
      </x:c>
      <x:c r="C57" s="75" t="n">
        <x:v>1</x:v>
      </x:c>
      <x:c r="D57" s="75" t="n">
        <x:v>22</x:v>
      </x:c>
      <x:c r="E57" s="75" t="n">
        <x:v>27</x:v>
      </x:c>
      <x:c r="F57" s="75" t="n">
        <x:v>37</x:v>
      </x:c>
      <x:c r="G57" s="75" t="n">
        <x:v>50</x:v>
      </x:c>
      <x:c r="H57" s="75" t="n">
        <x:v>5</x:v>
      </x:c>
      <x:c r="I57" s="75" t="n">
        <x:v>7</x:v>
      </x:c>
      <x:c r="J57" s="75" t="n">
        <x:v>50</x:v>
      </x:c>
      <x:c r="K57" s="75" t="n">
        <x:v>8</x:v>
      </x:c>
      <x:c r="L57" s="75" t="str">
        <x:v>R1_5of50_2of8</x:v>
      </x:c>
      <x:c r="M57" s="213" t="str">
        <x:v>S1_pre_2024_studio_change_sensitivity_only</x:v>
      </x:c>
      <x:c r="N57" s="213" t="str">
        <x:v>Friday</x:v>
      </x:c>
      <x:c r="O57" s="213" t="str">
        <x:v>LottoMetrics full-history export</x:v>
      </x:c>
      <x:c r="P57" s="213" t="str">
        <x:v>Archive-sourced; calendar/range/uniqueness validated</x:v>
      </x:c>
      <x:c r="Q57" s="54" t="str"/>
    </x:row>
    <x:row r="58">
      <x:c r="A58" s="74" t="n">
        <x:v>55</x:v>
      </x:c>
      <x:c r="B58" s="217" t="n">
        <x:v>41369</x:v>
      </x:c>
      <x:c r="C58" s="75" t="n">
        <x:v>22</x:v>
      </x:c>
      <x:c r="D58" s="75" t="n">
        <x:v>31</x:v>
      </x:c>
      <x:c r="E58" s="75" t="n">
        <x:v>37</x:v>
      </x:c>
      <x:c r="F58" s="75" t="n">
        <x:v>38</x:v>
      </x:c>
      <x:c r="G58" s="75" t="n">
        <x:v>41</x:v>
      </x:c>
      <x:c r="H58" s="75" t="n">
        <x:v>2</x:v>
      </x:c>
      <x:c r="I58" s="75" t="n">
        <x:v>6</x:v>
      </x:c>
      <x:c r="J58" s="75" t="n">
        <x:v>50</x:v>
      </x:c>
      <x:c r="K58" s="75" t="n">
        <x:v>8</x:v>
      </x:c>
      <x:c r="L58" s="75" t="str">
        <x:v>R1_5of50_2of8</x:v>
      </x:c>
      <x:c r="M58" s="213" t="str">
        <x:v>S1_pre_2024_studio_change_sensitivity_only</x:v>
      </x:c>
      <x:c r="N58" s="213" t="str">
        <x:v>Friday</x:v>
      </x:c>
      <x:c r="O58" s="213" t="str">
        <x:v>LottoMetrics full-history export</x:v>
      </x:c>
      <x:c r="P58" s="213" t="str">
        <x:v>Archive-sourced; calendar/range/uniqueness validated</x:v>
      </x:c>
      <x:c r="Q58" s="54" t="str"/>
    </x:row>
    <x:row r="59">
      <x:c r="A59" s="74" t="n">
        <x:v>56</x:v>
      </x:c>
      <x:c r="B59" s="217" t="n">
        <x:v>41376</x:v>
      </x:c>
      <x:c r="C59" s="75" t="n">
        <x:v>8</x:v>
      </x:c>
      <x:c r="D59" s="75" t="n">
        <x:v>19</x:v>
      </x:c>
      <x:c r="E59" s="75" t="n">
        <x:v>22</x:v>
      </x:c>
      <x:c r="F59" s="75" t="n">
        <x:v>32</x:v>
      </x:c>
      <x:c r="G59" s="75" t="n">
        <x:v>40</x:v>
      </x:c>
      <x:c r="H59" s="75" t="n">
        <x:v>1</x:v>
      </x:c>
      <x:c r="I59" s="75" t="n">
        <x:v>8</x:v>
      </x:c>
      <x:c r="J59" s="75" t="n">
        <x:v>50</x:v>
      </x:c>
      <x:c r="K59" s="75" t="n">
        <x:v>8</x:v>
      </x:c>
      <x:c r="L59" s="75" t="str">
        <x:v>R1_5of50_2of8</x:v>
      </x:c>
      <x:c r="M59" s="213" t="str">
        <x:v>S1_pre_2024_studio_change_sensitivity_only</x:v>
      </x:c>
      <x:c r="N59" s="213" t="str">
        <x:v>Friday</x:v>
      </x:c>
      <x:c r="O59" s="213" t="str">
        <x:v>LottoMetrics full-history export</x:v>
      </x:c>
      <x:c r="P59" s="213" t="str">
        <x:v>Archive-sourced; calendar/range/uniqueness validated</x:v>
      </x:c>
      <x:c r="Q59" s="54" t="str"/>
    </x:row>
    <x:row r="60">
      <x:c r="A60" s="74" t="n">
        <x:v>57</x:v>
      </x:c>
      <x:c r="B60" s="217" t="n">
        <x:v>41383</x:v>
      </x:c>
      <x:c r="C60" s="75" t="n">
        <x:v>17</x:v>
      </x:c>
      <x:c r="D60" s="75" t="n">
        <x:v>18</x:v>
      </x:c>
      <x:c r="E60" s="75" t="n">
        <x:v>22</x:v>
      </x:c>
      <x:c r="F60" s="75" t="n">
        <x:v>24</x:v>
      </x:c>
      <x:c r="G60" s="75" t="n">
        <x:v>25</x:v>
      </x:c>
      <x:c r="H60" s="75" t="n">
        <x:v>1</x:v>
      </x:c>
      <x:c r="I60" s="75" t="n">
        <x:v>6</x:v>
      </x:c>
      <x:c r="J60" s="75" t="n">
        <x:v>50</x:v>
      </x:c>
      <x:c r="K60" s="75" t="n">
        <x:v>8</x:v>
      </x:c>
      <x:c r="L60" s="75" t="str">
        <x:v>R1_5of50_2of8</x:v>
      </x:c>
      <x:c r="M60" s="213" t="str">
        <x:v>S1_pre_2024_studio_change_sensitivity_only</x:v>
      </x:c>
      <x:c r="N60" s="213" t="str">
        <x:v>Friday</x:v>
      </x:c>
      <x:c r="O60" s="213" t="str">
        <x:v>LottoMetrics full-history export</x:v>
      </x:c>
      <x:c r="P60" s="213" t="str">
        <x:v>Archive-sourced; calendar/range/uniqueness validated</x:v>
      </x:c>
      <x:c r="Q60" s="54" t="str"/>
    </x:row>
    <x:row r="61">
      <x:c r="A61" s="74" t="n">
        <x:v>58</x:v>
      </x:c>
      <x:c r="B61" s="217" t="n">
        <x:v>41390</x:v>
      </x:c>
      <x:c r="C61" s="75" t="n">
        <x:v>11</x:v>
      </x:c>
      <x:c r="D61" s="75" t="n">
        <x:v>14</x:v>
      </x:c>
      <x:c r="E61" s="75" t="n">
        <x:v>19</x:v>
      </x:c>
      <x:c r="F61" s="75" t="n">
        <x:v>23</x:v>
      </x:c>
      <x:c r="G61" s="75" t="n">
        <x:v>49</x:v>
      </x:c>
      <x:c r="H61" s="75" t="n">
        <x:v>4</x:v>
      </x:c>
      <x:c r="I61" s="75" t="n">
        <x:v>5</x:v>
      </x:c>
      <x:c r="J61" s="75" t="n">
        <x:v>50</x:v>
      </x:c>
      <x:c r="K61" s="75" t="n">
        <x:v>8</x:v>
      </x:c>
      <x:c r="L61" s="75" t="str">
        <x:v>R1_5of50_2of8</x:v>
      </x:c>
      <x:c r="M61" s="213" t="str">
        <x:v>S1_pre_2024_studio_change_sensitivity_only</x:v>
      </x:c>
      <x:c r="N61" s="213" t="str">
        <x:v>Friday</x:v>
      </x:c>
      <x:c r="O61" s="213" t="str">
        <x:v>LottoMetrics full-history export</x:v>
      </x:c>
      <x:c r="P61" s="213" t="str">
        <x:v>Archive-sourced; calendar/range/uniqueness validated</x:v>
      </x:c>
      <x:c r="Q61" s="54" t="str"/>
    </x:row>
    <x:row r="62">
      <x:c r="A62" s="74" t="n">
        <x:v>59</x:v>
      </x:c>
      <x:c r="B62" s="217" t="n">
        <x:v>41397</x:v>
      </x:c>
      <x:c r="C62" s="75" t="n">
        <x:v>14</x:v>
      </x:c>
      <x:c r="D62" s="75" t="n">
        <x:v>16</x:v>
      </x:c>
      <x:c r="E62" s="75" t="n">
        <x:v>28</x:v>
      </x:c>
      <x:c r="F62" s="75" t="n">
        <x:v>44</x:v>
      </x:c>
      <x:c r="G62" s="75" t="n">
        <x:v>48</x:v>
      </x:c>
      <x:c r="H62" s="75" t="n">
        <x:v>3</x:v>
      </x:c>
      <x:c r="I62" s="75" t="n">
        <x:v>7</x:v>
      </x:c>
      <x:c r="J62" s="75" t="n">
        <x:v>50</x:v>
      </x:c>
      <x:c r="K62" s="75" t="n">
        <x:v>8</x:v>
      </x:c>
      <x:c r="L62" s="75" t="str">
        <x:v>R1_5of50_2of8</x:v>
      </x:c>
      <x:c r="M62" s="213" t="str">
        <x:v>S1_pre_2024_studio_change_sensitivity_only</x:v>
      </x:c>
      <x:c r="N62" s="213" t="str">
        <x:v>Friday</x:v>
      </x:c>
      <x:c r="O62" s="213" t="str">
        <x:v>LottoMetrics full-history export</x:v>
      </x:c>
      <x:c r="P62" s="213" t="str">
        <x:v>Archive-sourced; calendar/range/uniqueness validated</x:v>
      </x:c>
      <x:c r="Q62" s="54" t="str"/>
    </x:row>
    <x:row r="63">
      <x:c r="A63" s="74" t="n">
        <x:v>60</x:v>
      </x:c>
      <x:c r="B63" s="217" t="n">
        <x:v>41404</x:v>
      </x:c>
      <x:c r="C63" s="75" t="n">
        <x:v>6</x:v>
      </x:c>
      <x:c r="D63" s="75" t="n">
        <x:v>9</x:v>
      </x:c>
      <x:c r="E63" s="75" t="n">
        <x:v>31</x:v>
      </x:c>
      <x:c r="F63" s="75" t="n">
        <x:v>33</x:v>
      </x:c>
      <x:c r="G63" s="75" t="n">
        <x:v>35</x:v>
      </x:c>
      <x:c r="H63" s="75" t="n">
        <x:v>1</x:v>
      </x:c>
      <x:c r="I63" s="75" t="n">
        <x:v>7</x:v>
      </x:c>
      <x:c r="J63" s="75" t="n">
        <x:v>50</x:v>
      </x:c>
      <x:c r="K63" s="75" t="n">
        <x:v>8</x:v>
      </x:c>
      <x:c r="L63" s="75" t="str">
        <x:v>R1_5of50_2of8</x:v>
      </x:c>
      <x:c r="M63" s="213" t="str">
        <x:v>S1_pre_2024_studio_change_sensitivity_only</x:v>
      </x:c>
      <x:c r="N63" s="213" t="str">
        <x:v>Friday</x:v>
      </x:c>
      <x:c r="O63" s="213" t="str">
        <x:v>LottoMetrics full-history export</x:v>
      </x:c>
      <x:c r="P63" s="213" t="str">
        <x:v>Archive-sourced; calendar/range/uniqueness validated</x:v>
      </x:c>
      <x:c r="Q63" s="54" t="str"/>
    </x:row>
    <x:row r="64">
      <x:c r="A64" s="74" t="n">
        <x:v>61</x:v>
      </x:c>
      <x:c r="B64" s="217" t="n">
        <x:v>41411</x:v>
      </x:c>
      <x:c r="C64" s="75" t="n">
        <x:v>4</x:v>
      </x:c>
      <x:c r="D64" s="75" t="n">
        <x:v>6</x:v>
      </x:c>
      <x:c r="E64" s="75" t="n">
        <x:v>10</x:v>
      </x:c>
      <x:c r="F64" s="75" t="n">
        <x:v>13</x:v>
      </x:c>
      <x:c r="G64" s="75" t="n">
        <x:v>32</x:v>
      </x:c>
      <x:c r="H64" s="75" t="n">
        <x:v>1</x:v>
      </x:c>
      <x:c r="I64" s="75" t="n">
        <x:v>8</x:v>
      </x:c>
      <x:c r="J64" s="75" t="n">
        <x:v>50</x:v>
      </x:c>
      <x:c r="K64" s="75" t="n">
        <x:v>8</x:v>
      </x:c>
      <x:c r="L64" s="75" t="str">
        <x:v>R1_5of50_2of8</x:v>
      </x:c>
      <x:c r="M64" s="213" t="str">
        <x:v>S1_pre_2024_studio_change_sensitivity_only</x:v>
      </x:c>
      <x:c r="N64" s="213" t="str">
        <x:v>Friday</x:v>
      </x:c>
      <x:c r="O64" s="213" t="str">
        <x:v>LottoMetrics full-history export</x:v>
      </x:c>
      <x:c r="P64" s="213" t="str">
        <x:v>Archive-sourced; calendar/range/uniqueness validated</x:v>
      </x:c>
      <x:c r="Q64" s="54" t="str"/>
    </x:row>
    <x:row r="65">
      <x:c r="A65" s="74" t="n">
        <x:v>62</x:v>
      </x:c>
      <x:c r="B65" s="217" t="n">
        <x:v>41418</x:v>
      </x:c>
      <x:c r="C65" s="75" t="n">
        <x:v>2</x:v>
      </x:c>
      <x:c r="D65" s="75" t="n">
        <x:v>4</x:v>
      </x:c>
      <x:c r="E65" s="75" t="n">
        <x:v>9</x:v>
      </x:c>
      <x:c r="F65" s="75" t="n">
        <x:v>20</x:v>
      </x:c>
      <x:c r="G65" s="75" t="n">
        <x:v>41</x:v>
      </x:c>
      <x:c r="H65" s="75" t="n">
        <x:v>3</x:v>
      </x:c>
      <x:c r="I65" s="75" t="n">
        <x:v>5</x:v>
      </x:c>
      <x:c r="J65" s="75" t="n">
        <x:v>50</x:v>
      </x:c>
      <x:c r="K65" s="75" t="n">
        <x:v>8</x:v>
      </x:c>
      <x:c r="L65" s="75" t="str">
        <x:v>R1_5of50_2of8</x:v>
      </x:c>
      <x:c r="M65" s="213" t="str">
        <x:v>S1_pre_2024_studio_change_sensitivity_only</x:v>
      </x:c>
      <x:c r="N65" s="213" t="str">
        <x:v>Friday</x:v>
      </x:c>
      <x:c r="O65" s="213" t="str">
        <x:v>LottoMetrics full-history export</x:v>
      </x:c>
      <x:c r="P65" s="213" t="str">
        <x:v>Archive-sourced; calendar/range/uniqueness validated</x:v>
      </x:c>
      <x:c r="Q65" s="54" t="str"/>
    </x:row>
    <x:row r="66">
      <x:c r="A66" s="74" t="n">
        <x:v>63</x:v>
      </x:c>
      <x:c r="B66" s="217" t="n">
        <x:v>41425</x:v>
      </x:c>
      <x:c r="C66" s="75" t="n">
        <x:v>5</x:v>
      </x:c>
      <x:c r="D66" s="75" t="n">
        <x:v>9</x:v>
      </x:c>
      <x:c r="E66" s="75" t="n">
        <x:v>12</x:v>
      </x:c>
      <x:c r="F66" s="75" t="n">
        <x:v>23</x:v>
      </x:c>
      <x:c r="G66" s="75" t="n">
        <x:v>40</x:v>
      </x:c>
      <x:c r="H66" s="75" t="n">
        <x:v>2</x:v>
      </x:c>
      <x:c r="I66" s="75" t="n">
        <x:v>7</x:v>
      </x:c>
      <x:c r="J66" s="75" t="n">
        <x:v>50</x:v>
      </x:c>
      <x:c r="K66" s="75" t="n">
        <x:v>8</x:v>
      </x:c>
      <x:c r="L66" s="75" t="str">
        <x:v>R1_5of50_2of8</x:v>
      </x:c>
      <x:c r="M66" s="213" t="str">
        <x:v>S1_pre_2024_studio_change_sensitivity_only</x:v>
      </x:c>
      <x:c r="N66" s="213" t="str">
        <x:v>Friday</x:v>
      </x:c>
      <x:c r="O66" s="213" t="str">
        <x:v>LottoMetrics full-history export</x:v>
      </x:c>
      <x:c r="P66" s="213" t="str">
        <x:v>Archive-sourced; calendar/range/uniqueness validated</x:v>
      </x:c>
      <x:c r="Q66" s="54" t="str"/>
    </x:row>
    <x:row r="67">
      <x:c r="A67" s="74" t="n">
        <x:v>64</x:v>
      </x:c>
      <x:c r="B67" s="217" t="n">
        <x:v>41432</x:v>
      </x:c>
      <x:c r="C67" s="75" t="n">
        <x:v>6</x:v>
      </x:c>
      <x:c r="D67" s="75" t="n">
        <x:v>9</x:v>
      </x:c>
      <x:c r="E67" s="75" t="n">
        <x:v>11</x:v>
      </x:c>
      <x:c r="F67" s="75" t="n">
        <x:v>29</x:v>
      </x:c>
      <x:c r="G67" s="75" t="n">
        <x:v>35</x:v>
      </x:c>
      <x:c r="H67" s="75" t="n">
        <x:v>2</x:v>
      </x:c>
      <x:c r="I67" s="75" t="n">
        <x:v>6</x:v>
      </x:c>
      <x:c r="J67" s="75" t="n">
        <x:v>50</x:v>
      </x:c>
      <x:c r="K67" s="75" t="n">
        <x:v>8</x:v>
      </x:c>
      <x:c r="L67" s="75" t="str">
        <x:v>R1_5of50_2of8</x:v>
      </x:c>
      <x:c r="M67" s="213" t="str">
        <x:v>S1_pre_2024_studio_change_sensitivity_only</x:v>
      </x:c>
      <x:c r="N67" s="213" t="str">
        <x:v>Friday</x:v>
      </x:c>
      <x:c r="O67" s="213" t="str">
        <x:v>LottoMetrics full-history export</x:v>
      </x:c>
      <x:c r="P67" s="213" t="str">
        <x:v>Archive-sourced; calendar/range/uniqueness validated</x:v>
      </x:c>
      <x:c r="Q67" s="54" t="str"/>
    </x:row>
    <x:row r="68">
      <x:c r="A68" s="74" t="n">
        <x:v>65</x:v>
      </x:c>
      <x:c r="B68" s="217" t="n">
        <x:v>41439</x:v>
      </x:c>
      <x:c r="C68" s="75" t="n">
        <x:v>1</x:v>
      </x:c>
      <x:c r="D68" s="75" t="n">
        <x:v>25</x:v>
      </x:c>
      <x:c r="E68" s="75" t="n">
        <x:v>46</x:v>
      </x:c>
      <x:c r="F68" s="75" t="n">
        <x:v>47</x:v>
      </x:c>
      <x:c r="G68" s="75" t="n">
        <x:v>48</x:v>
      </x:c>
      <x:c r="H68" s="75" t="n">
        <x:v>3</x:v>
      </x:c>
      <x:c r="I68" s="75" t="n">
        <x:v>8</x:v>
      </x:c>
      <x:c r="J68" s="75" t="n">
        <x:v>50</x:v>
      </x:c>
      <x:c r="K68" s="75" t="n">
        <x:v>8</x:v>
      </x:c>
      <x:c r="L68" s="75" t="str">
        <x:v>R1_5of50_2of8</x:v>
      </x:c>
      <x:c r="M68" s="213" t="str">
        <x:v>S1_pre_2024_studio_change_sensitivity_only</x:v>
      </x:c>
      <x:c r="N68" s="213" t="str">
        <x:v>Friday</x:v>
      </x:c>
      <x:c r="O68" s="213" t="str">
        <x:v>LottoMetrics full-history export</x:v>
      </x:c>
      <x:c r="P68" s="213" t="str">
        <x:v>Archive-sourced; calendar/range/uniqueness validated</x:v>
      </x:c>
      <x:c r="Q68" s="54" t="str"/>
    </x:row>
    <x:row r="69">
      <x:c r="A69" s="74" t="n">
        <x:v>66</x:v>
      </x:c>
      <x:c r="B69" s="217" t="n">
        <x:v>41446</x:v>
      </x:c>
      <x:c r="C69" s="75" t="n">
        <x:v>5</x:v>
      </x:c>
      <x:c r="D69" s="75" t="n">
        <x:v>14</x:v>
      </x:c>
      <x:c r="E69" s="75" t="n">
        <x:v>21</x:v>
      </x:c>
      <x:c r="F69" s="75" t="n">
        <x:v>23</x:v>
      </x:c>
      <x:c r="G69" s="75" t="n">
        <x:v>50</x:v>
      </x:c>
      <x:c r="H69" s="75" t="n">
        <x:v>2</x:v>
      </x:c>
      <x:c r="I69" s="75" t="n">
        <x:v>7</x:v>
      </x:c>
      <x:c r="J69" s="75" t="n">
        <x:v>50</x:v>
      </x:c>
      <x:c r="K69" s="75" t="n">
        <x:v>8</x:v>
      </x:c>
      <x:c r="L69" s="75" t="str">
        <x:v>R1_5of50_2of8</x:v>
      </x:c>
      <x:c r="M69" s="213" t="str">
        <x:v>S1_pre_2024_studio_change_sensitivity_only</x:v>
      </x:c>
      <x:c r="N69" s="213" t="str">
        <x:v>Friday</x:v>
      </x:c>
      <x:c r="O69" s="213" t="str">
        <x:v>LottoMetrics full-history export</x:v>
      </x:c>
      <x:c r="P69" s="213" t="str">
        <x:v>Archive-sourced; calendar/range/uniqueness validated</x:v>
      </x:c>
      <x:c r="Q69" s="54" t="str"/>
    </x:row>
    <x:row r="70">
      <x:c r="A70" s="74" t="n">
        <x:v>67</x:v>
      </x:c>
      <x:c r="B70" s="217" t="n">
        <x:v>41453</x:v>
      </x:c>
      <x:c r="C70" s="75" t="n">
        <x:v>6</x:v>
      </x:c>
      <x:c r="D70" s="75" t="n">
        <x:v>8</x:v>
      </x:c>
      <x:c r="E70" s="75" t="n">
        <x:v>23</x:v>
      </x:c>
      <x:c r="F70" s="75" t="n">
        <x:v>33</x:v>
      </x:c>
      <x:c r="G70" s="75" t="n">
        <x:v>49</x:v>
      </x:c>
      <x:c r="H70" s="75" t="n">
        <x:v>3</x:v>
      </x:c>
      <x:c r="I70" s="75" t="n">
        <x:v>8</x:v>
      </x:c>
      <x:c r="J70" s="75" t="n">
        <x:v>50</x:v>
      </x:c>
      <x:c r="K70" s="75" t="n">
        <x:v>8</x:v>
      </x:c>
      <x:c r="L70" s="75" t="str">
        <x:v>R1_5of50_2of8</x:v>
      </x:c>
      <x:c r="M70" s="213" t="str">
        <x:v>S1_pre_2024_studio_change_sensitivity_only</x:v>
      </x:c>
      <x:c r="N70" s="213" t="str">
        <x:v>Friday</x:v>
      </x:c>
      <x:c r="O70" s="213" t="str">
        <x:v>LottoMetrics full-history export</x:v>
      </x:c>
      <x:c r="P70" s="213" t="str">
        <x:v>Archive-sourced; calendar/range/uniqueness validated</x:v>
      </x:c>
      <x:c r="Q70" s="54" t="str"/>
    </x:row>
    <x:row r="71">
      <x:c r="A71" s="74" t="n">
        <x:v>68</x:v>
      </x:c>
      <x:c r="B71" s="217" t="n">
        <x:v>41460</x:v>
      </x:c>
      <x:c r="C71" s="75" t="n">
        <x:v>15</x:v>
      </x:c>
      <x:c r="D71" s="75" t="n">
        <x:v>16</x:v>
      </x:c>
      <x:c r="E71" s="75" t="n">
        <x:v>17</x:v>
      </x:c>
      <x:c r="F71" s="75" t="n">
        <x:v>19</x:v>
      </x:c>
      <x:c r="G71" s="75" t="n">
        <x:v>50</x:v>
      </x:c>
      <x:c r="H71" s="75" t="n">
        <x:v>5</x:v>
      </x:c>
      <x:c r="I71" s="75" t="n">
        <x:v>7</x:v>
      </x:c>
      <x:c r="J71" s="75" t="n">
        <x:v>50</x:v>
      </x:c>
      <x:c r="K71" s="75" t="n">
        <x:v>8</x:v>
      </x:c>
      <x:c r="L71" s="75" t="str">
        <x:v>R1_5of50_2of8</x:v>
      </x:c>
      <x:c r="M71" s="213" t="str">
        <x:v>S1_pre_2024_studio_change_sensitivity_only</x:v>
      </x:c>
      <x:c r="N71" s="213" t="str">
        <x:v>Friday</x:v>
      </x:c>
      <x:c r="O71" s="213" t="str">
        <x:v>LottoMetrics full-history export</x:v>
      </x:c>
      <x:c r="P71" s="213" t="str">
        <x:v>Archive-sourced; calendar/range/uniqueness validated</x:v>
      </x:c>
      <x:c r="Q71" s="54" t="str"/>
    </x:row>
    <x:row r="72">
      <x:c r="A72" s="74" t="n">
        <x:v>69</x:v>
      </x:c>
      <x:c r="B72" s="217" t="n">
        <x:v>41467</x:v>
      </x:c>
      <x:c r="C72" s="75" t="n">
        <x:v>7</x:v>
      </x:c>
      <x:c r="D72" s="75" t="n">
        <x:v>27</x:v>
      </x:c>
      <x:c r="E72" s="75" t="n">
        <x:v>33</x:v>
      </x:c>
      <x:c r="F72" s="75" t="n">
        <x:v>47</x:v>
      </x:c>
      <x:c r="G72" s="75" t="n">
        <x:v>48</x:v>
      </x:c>
      <x:c r="H72" s="75" t="n">
        <x:v>2</x:v>
      </x:c>
      <x:c r="I72" s="75" t="n">
        <x:v>7</x:v>
      </x:c>
      <x:c r="J72" s="75" t="n">
        <x:v>50</x:v>
      </x:c>
      <x:c r="K72" s="75" t="n">
        <x:v>8</x:v>
      </x:c>
      <x:c r="L72" s="75" t="str">
        <x:v>R1_5of50_2of8</x:v>
      </x:c>
      <x:c r="M72" s="213" t="str">
        <x:v>S1_pre_2024_studio_change_sensitivity_only</x:v>
      </x:c>
      <x:c r="N72" s="213" t="str">
        <x:v>Friday</x:v>
      </x:c>
      <x:c r="O72" s="213" t="str">
        <x:v>LottoMetrics full-history export</x:v>
      </x:c>
      <x:c r="P72" s="213" t="str">
        <x:v>Archive-sourced; calendar/range/uniqueness validated</x:v>
      </x:c>
      <x:c r="Q72" s="54" t="str"/>
    </x:row>
    <x:row r="73">
      <x:c r="A73" s="74" t="n">
        <x:v>70</x:v>
      </x:c>
      <x:c r="B73" s="217" t="n">
        <x:v>41474</x:v>
      </x:c>
      <x:c r="C73" s="75" t="n">
        <x:v>7</x:v>
      </x:c>
      <x:c r="D73" s="75" t="n">
        <x:v>18</x:v>
      </x:c>
      <x:c r="E73" s="75" t="n">
        <x:v>19</x:v>
      </x:c>
      <x:c r="F73" s="75" t="n">
        <x:v>33</x:v>
      </x:c>
      <x:c r="G73" s="75" t="n">
        <x:v>37</x:v>
      </x:c>
      <x:c r="H73" s="75" t="n">
        <x:v>2</x:v>
      </x:c>
      <x:c r="I73" s="75" t="n">
        <x:v>5</x:v>
      </x:c>
      <x:c r="J73" s="75" t="n">
        <x:v>50</x:v>
      </x:c>
      <x:c r="K73" s="75" t="n">
        <x:v>8</x:v>
      </x:c>
      <x:c r="L73" s="75" t="str">
        <x:v>R1_5of50_2of8</x:v>
      </x:c>
      <x:c r="M73" s="213" t="str">
        <x:v>S1_pre_2024_studio_change_sensitivity_only</x:v>
      </x:c>
      <x:c r="N73" s="213" t="str">
        <x:v>Friday</x:v>
      </x:c>
      <x:c r="O73" s="213" t="str">
        <x:v>LottoMetrics full-history export</x:v>
      </x:c>
      <x:c r="P73" s="213" t="str">
        <x:v>Archive-sourced; calendar/range/uniqueness validated</x:v>
      </x:c>
      <x:c r="Q73" s="54" t="str"/>
    </x:row>
    <x:row r="74">
      <x:c r="A74" s="74" t="n">
        <x:v>71</x:v>
      </x:c>
      <x:c r="B74" s="217" t="n">
        <x:v>41481</x:v>
      </x:c>
      <x:c r="C74" s="75" t="n">
        <x:v>4</x:v>
      </x:c>
      <x:c r="D74" s="75" t="n">
        <x:v>13</x:v>
      </x:c>
      <x:c r="E74" s="75" t="n">
        <x:v>19</x:v>
      </x:c>
      <x:c r="F74" s="75" t="n">
        <x:v>25</x:v>
      </x:c>
      <x:c r="G74" s="75" t="n">
        <x:v>43</x:v>
      </x:c>
      <x:c r="H74" s="75" t="n">
        <x:v>3</x:v>
      </x:c>
      <x:c r="I74" s="75" t="n">
        <x:v>4</x:v>
      </x:c>
      <x:c r="J74" s="75" t="n">
        <x:v>50</x:v>
      </x:c>
      <x:c r="K74" s="75" t="n">
        <x:v>8</x:v>
      </x:c>
      <x:c r="L74" s="75" t="str">
        <x:v>R1_5of50_2of8</x:v>
      </x:c>
      <x:c r="M74" s="213" t="str">
        <x:v>S1_pre_2024_studio_change_sensitivity_only</x:v>
      </x:c>
      <x:c r="N74" s="213" t="str">
        <x:v>Friday</x:v>
      </x:c>
      <x:c r="O74" s="213" t="str">
        <x:v>LottoMetrics full-history export</x:v>
      </x:c>
      <x:c r="P74" s="213" t="str">
        <x:v>Archive-sourced; calendar/range/uniqueness validated</x:v>
      </x:c>
      <x:c r="Q74" s="54" t="str"/>
    </x:row>
    <x:row r="75">
      <x:c r="A75" s="74" t="n">
        <x:v>72</x:v>
      </x:c>
      <x:c r="B75" s="217" t="n">
        <x:v>41488</x:v>
      </x:c>
      <x:c r="C75" s="75" t="n">
        <x:v>14</x:v>
      </x:c>
      <x:c r="D75" s="75" t="n">
        <x:v>23</x:v>
      </x:c>
      <x:c r="E75" s="75" t="n">
        <x:v>29</x:v>
      </x:c>
      <x:c r="F75" s="75" t="n">
        <x:v>33</x:v>
      </x:c>
      <x:c r="G75" s="75" t="n">
        <x:v>37</x:v>
      </x:c>
      <x:c r="H75" s="75" t="n">
        <x:v>2</x:v>
      </x:c>
      <x:c r="I75" s="75" t="n">
        <x:v>5</x:v>
      </x:c>
      <x:c r="J75" s="75" t="n">
        <x:v>50</x:v>
      </x:c>
      <x:c r="K75" s="75" t="n">
        <x:v>8</x:v>
      </x:c>
      <x:c r="L75" s="75" t="str">
        <x:v>R1_5of50_2of8</x:v>
      </x:c>
      <x:c r="M75" s="213" t="str">
        <x:v>S1_pre_2024_studio_change_sensitivity_only</x:v>
      </x:c>
      <x:c r="N75" s="213" t="str">
        <x:v>Friday</x:v>
      </x:c>
      <x:c r="O75" s="213" t="str">
        <x:v>LottoMetrics full-history export</x:v>
      </x:c>
      <x:c r="P75" s="213" t="str">
        <x:v>Archive-sourced; calendar/range/uniqueness validated</x:v>
      </x:c>
      <x:c r="Q75" s="54" t="str"/>
    </x:row>
    <x:row r="76">
      <x:c r="A76" s="74" t="n">
        <x:v>73</x:v>
      </x:c>
      <x:c r="B76" s="217" t="n">
        <x:v>41495</x:v>
      </x:c>
      <x:c r="C76" s="75" t="n">
        <x:v>7</x:v>
      </x:c>
      <x:c r="D76" s="75" t="n">
        <x:v>26</x:v>
      </x:c>
      <x:c r="E76" s="75" t="n">
        <x:v>32</x:v>
      </x:c>
      <x:c r="F76" s="75" t="n">
        <x:v>34</x:v>
      </x:c>
      <x:c r="G76" s="75" t="n">
        <x:v>49</x:v>
      </x:c>
      <x:c r="H76" s="75" t="n">
        <x:v>1</x:v>
      </x:c>
      <x:c r="I76" s="75" t="n">
        <x:v>6</x:v>
      </x:c>
      <x:c r="J76" s="75" t="n">
        <x:v>50</x:v>
      </x:c>
      <x:c r="K76" s="75" t="n">
        <x:v>8</x:v>
      </x:c>
      <x:c r="L76" s="75" t="str">
        <x:v>R1_5of50_2of8</x:v>
      </x:c>
      <x:c r="M76" s="213" t="str">
        <x:v>S1_pre_2024_studio_change_sensitivity_only</x:v>
      </x:c>
      <x:c r="N76" s="213" t="str">
        <x:v>Friday</x:v>
      </x:c>
      <x:c r="O76" s="213" t="str">
        <x:v>LottoMetrics full-history export</x:v>
      </x:c>
      <x:c r="P76" s="213" t="str">
        <x:v>Archive-sourced; calendar/range/uniqueness validated</x:v>
      </x:c>
      <x:c r="Q76" s="54" t="str"/>
    </x:row>
    <x:row r="77">
      <x:c r="A77" s="74" t="n">
        <x:v>74</x:v>
      </x:c>
      <x:c r="B77" s="217" t="n">
        <x:v>41502</x:v>
      </x:c>
      <x:c r="C77" s="75" t="n">
        <x:v>5</x:v>
      </x:c>
      <x:c r="D77" s="75" t="n">
        <x:v>32</x:v>
      </x:c>
      <x:c r="E77" s="75" t="n">
        <x:v>33</x:v>
      </x:c>
      <x:c r="F77" s="75" t="n">
        <x:v>38</x:v>
      </x:c>
      <x:c r="G77" s="75" t="n">
        <x:v>49</x:v>
      </x:c>
      <x:c r="H77" s="75" t="n">
        <x:v>3</x:v>
      </x:c>
      <x:c r="I77" s="75" t="n">
        <x:v>8</x:v>
      </x:c>
      <x:c r="J77" s="75" t="n">
        <x:v>50</x:v>
      </x:c>
      <x:c r="K77" s="75" t="n">
        <x:v>8</x:v>
      </x:c>
      <x:c r="L77" s="75" t="str">
        <x:v>R1_5of50_2of8</x:v>
      </x:c>
      <x:c r="M77" s="213" t="str">
        <x:v>S1_pre_2024_studio_change_sensitivity_only</x:v>
      </x:c>
      <x:c r="N77" s="213" t="str">
        <x:v>Friday</x:v>
      </x:c>
      <x:c r="O77" s="213" t="str">
        <x:v>LottoMetrics full-history export</x:v>
      </x:c>
      <x:c r="P77" s="213" t="str">
        <x:v>Archive-sourced; calendar/range/uniqueness validated</x:v>
      </x:c>
      <x:c r="Q77" s="54" t="str"/>
    </x:row>
    <x:row r="78">
      <x:c r="A78" s="74" t="n">
        <x:v>75</x:v>
      </x:c>
      <x:c r="B78" s="217" t="n">
        <x:v>41509</x:v>
      </x:c>
      <x:c r="C78" s="75" t="n">
        <x:v>4</x:v>
      </x:c>
      <x:c r="D78" s="75" t="n">
        <x:v>10</x:v>
      </x:c>
      <x:c r="E78" s="75" t="n">
        <x:v>25</x:v>
      </x:c>
      <x:c r="F78" s="75" t="n">
        <x:v>30</x:v>
      </x:c>
      <x:c r="G78" s="75" t="n">
        <x:v>47</x:v>
      </x:c>
      <x:c r="H78" s="75" t="n">
        <x:v>2</x:v>
      </x:c>
      <x:c r="I78" s="75" t="n">
        <x:v>3</x:v>
      </x:c>
      <x:c r="J78" s="75" t="n">
        <x:v>50</x:v>
      </x:c>
      <x:c r="K78" s="75" t="n">
        <x:v>8</x:v>
      </x:c>
      <x:c r="L78" s="75" t="str">
        <x:v>R1_5of50_2of8</x:v>
      </x:c>
      <x:c r="M78" s="213" t="str">
        <x:v>S1_pre_2024_studio_change_sensitivity_only</x:v>
      </x:c>
      <x:c r="N78" s="213" t="str">
        <x:v>Friday</x:v>
      </x:c>
      <x:c r="O78" s="213" t="str">
        <x:v>LottoMetrics full-history export</x:v>
      </x:c>
      <x:c r="P78" s="213" t="str">
        <x:v>Archive-sourced; calendar/range/uniqueness validated</x:v>
      </x:c>
      <x:c r="Q78" s="54" t="str"/>
    </x:row>
    <x:row r="79">
      <x:c r="A79" s="74" t="n">
        <x:v>76</x:v>
      </x:c>
      <x:c r="B79" s="217" t="n">
        <x:v>41516</x:v>
      </x:c>
      <x:c r="C79" s="75" t="n">
        <x:v>6</x:v>
      </x:c>
      <x:c r="D79" s="75" t="n">
        <x:v>9</x:v>
      </x:c>
      <x:c r="E79" s="75" t="n">
        <x:v>10</x:v>
      </x:c>
      <x:c r="F79" s="75" t="n">
        <x:v>17</x:v>
      </x:c>
      <x:c r="G79" s="75" t="n">
        <x:v>43</x:v>
      </x:c>
      <x:c r="H79" s="75" t="n">
        <x:v>2</x:v>
      </x:c>
      <x:c r="I79" s="75" t="n">
        <x:v>8</x:v>
      </x:c>
      <x:c r="J79" s="75" t="n">
        <x:v>50</x:v>
      </x:c>
      <x:c r="K79" s="75" t="n">
        <x:v>8</x:v>
      </x:c>
      <x:c r="L79" s="75" t="str">
        <x:v>R1_5of50_2of8</x:v>
      </x:c>
      <x:c r="M79" s="213" t="str">
        <x:v>S1_pre_2024_studio_change_sensitivity_only</x:v>
      </x:c>
      <x:c r="N79" s="213" t="str">
        <x:v>Friday</x:v>
      </x:c>
      <x:c r="O79" s="213" t="str">
        <x:v>LottoMetrics full-history export</x:v>
      </x:c>
      <x:c r="P79" s="213" t="str">
        <x:v>Archive-sourced; calendar/range/uniqueness validated</x:v>
      </x:c>
      <x:c r="Q79" s="54" t="str"/>
    </x:row>
    <x:row r="80">
      <x:c r="A80" s="74" t="n">
        <x:v>77</x:v>
      </x:c>
      <x:c r="B80" s="217" t="n">
        <x:v>41523</x:v>
      </x:c>
      <x:c r="C80" s="75" t="n">
        <x:v>3</x:v>
      </x:c>
      <x:c r="D80" s="75" t="n">
        <x:v>7</x:v>
      </x:c>
      <x:c r="E80" s="75" t="n">
        <x:v>20</x:v>
      </x:c>
      <x:c r="F80" s="75" t="n">
        <x:v>32</x:v>
      </x:c>
      <x:c r="G80" s="75" t="n">
        <x:v>44</x:v>
      </x:c>
      <x:c r="H80" s="75" t="n">
        <x:v>4</x:v>
      </x:c>
      <x:c r="I80" s="75" t="n">
        <x:v>5</x:v>
      </x:c>
      <x:c r="J80" s="75" t="n">
        <x:v>50</x:v>
      </x:c>
      <x:c r="K80" s="75" t="n">
        <x:v>8</x:v>
      </x:c>
      <x:c r="L80" s="75" t="str">
        <x:v>R1_5of50_2of8</x:v>
      </x:c>
      <x:c r="M80" s="213" t="str">
        <x:v>S1_pre_2024_studio_change_sensitivity_only</x:v>
      </x:c>
      <x:c r="N80" s="213" t="str">
        <x:v>Friday</x:v>
      </x:c>
      <x:c r="O80" s="213" t="str">
        <x:v>LottoMetrics full-history export</x:v>
      </x:c>
      <x:c r="P80" s="213" t="str">
        <x:v>Archive-sourced; calendar/range/uniqueness validated</x:v>
      </x:c>
      <x:c r="Q80" s="54" t="str"/>
    </x:row>
    <x:row r="81">
      <x:c r="A81" s="74" t="n">
        <x:v>78</x:v>
      </x:c>
      <x:c r="B81" s="217" t="n">
        <x:v>41530</x:v>
      </x:c>
      <x:c r="C81" s="75" t="n">
        <x:v>3</x:v>
      </x:c>
      <x:c r="D81" s="75" t="n">
        <x:v>10</x:v>
      </x:c>
      <x:c r="E81" s="75" t="n">
        <x:v>18</x:v>
      </x:c>
      <x:c r="F81" s="75" t="n">
        <x:v>31</x:v>
      </x:c>
      <x:c r="G81" s="75" t="n">
        <x:v>43</x:v>
      </x:c>
      <x:c r="H81" s="75" t="n">
        <x:v>1</x:v>
      </x:c>
      <x:c r="I81" s="75" t="n">
        <x:v>7</x:v>
      </x:c>
      <x:c r="J81" s="75" t="n">
        <x:v>50</x:v>
      </x:c>
      <x:c r="K81" s="75" t="n">
        <x:v>8</x:v>
      </x:c>
      <x:c r="L81" s="75" t="str">
        <x:v>R1_5of50_2of8</x:v>
      </x:c>
      <x:c r="M81" s="213" t="str">
        <x:v>S1_pre_2024_studio_change_sensitivity_only</x:v>
      </x:c>
      <x:c r="N81" s="213" t="str">
        <x:v>Friday</x:v>
      </x:c>
      <x:c r="O81" s="213" t="str">
        <x:v>LottoMetrics full-history export</x:v>
      </x:c>
      <x:c r="P81" s="213" t="str">
        <x:v>Archive-sourced; calendar/range/uniqueness validated</x:v>
      </x:c>
      <x:c r="Q81" s="54" t="str"/>
    </x:row>
    <x:row r="82">
      <x:c r="A82" s="74" t="n">
        <x:v>79</x:v>
      </x:c>
      <x:c r="B82" s="217" t="n">
        <x:v>41537</x:v>
      </x:c>
      <x:c r="C82" s="75" t="n">
        <x:v>2</x:v>
      </x:c>
      <x:c r="D82" s="75" t="n">
        <x:v>6</x:v>
      </x:c>
      <x:c r="E82" s="75" t="n">
        <x:v>15</x:v>
      </x:c>
      <x:c r="F82" s="75" t="n">
        <x:v>18</x:v>
      </x:c>
      <x:c r="G82" s="75" t="n">
        <x:v>24</x:v>
      </x:c>
      <x:c r="H82" s="75" t="n">
        <x:v>5</x:v>
      </x:c>
      <x:c r="I82" s="75" t="n">
        <x:v>7</x:v>
      </x:c>
      <x:c r="J82" s="75" t="n">
        <x:v>50</x:v>
      </x:c>
      <x:c r="K82" s="75" t="n">
        <x:v>8</x:v>
      </x:c>
      <x:c r="L82" s="75" t="str">
        <x:v>R1_5of50_2of8</x:v>
      </x:c>
      <x:c r="M82" s="213" t="str">
        <x:v>S1_pre_2024_studio_change_sensitivity_only</x:v>
      </x:c>
      <x:c r="N82" s="213" t="str">
        <x:v>Friday</x:v>
      </x:c>
      <x:c r="O82" s="213" t="str">
        <x:v>LottoMetrics full-history export</x:v>
      </x:c>
      <x:c r="P82" s="213" t="str">
        <x:v>Archive-sourced; calendar/range/uniqueness validated</x:v>
      </x:c>
      <x:c r="Q82" s="54" t="str"/>
    </x:row>
    <x:row r="83">
      <x:c r="A83" s="74" t="n">
        <x:v>80</x:v>
      </x:c>
      <x:c r="B83" s="217" t="n">
        <x:v>41544</x:v>
      </x:c>
      <x:c r="C83" s="75" t="n">
        <x:v>6</x:v>
      </x:c>
      <x:c r="D83" s="75" t="n">
        <x:v>10</x:v>
      </x:c>
      <x:c r="E83" s="75" t="n">
        <x:v>21</x:v>
      </x:c>
      <x:c r="F83" s="75" t="n">
        <x:v>34</x:v>
      </x:c>
      <x:c r="G83" s="75" t="n">
        <x:v>36</x:v>
      </x:c>
      <x:c r="H83" s="75" t="n">
        <x:v>1</x:v>
      </x:c>
      <x:c r="I83" s="75" t="n">
        <x:v>4</x:v>
      </x:c>
      <x:c r="J83" s="75" t="n">
        <x:v>50</x:v>
      </x:c>
      <x:c r="K83" s="75" t="n">
        <x:v>8</x:v>
      </x:c>
      <x:c r="L83" s="75" t="str">
        <x:v>R1_5of50_2of8</x:v>
      </x:c>
      <x:c r="M83" s="213" t="str">
        <x:v>S1_pre_2024_studio_change_sensitivity_only</x:v>
      </x:c>
      <x:c r="N83" s="213" t="str">
        <x:v>Friday</x:v>
      </x:c>
      <x:c r="O83" s="213" t="str">
        <x:v>LottoMetrics full-history export</x:v>
      </x:c>
      <x:c r="P83" s="213" t="str">
        <x:v>Archive-sourced; calendar/range/uniqueness validated</x:v>
      </x:c>
      <x:c r="Q83" s="54" t="str"/>
    </x:row>
    <x:row r="84">
      <x:c r="A84" s="74" t="n">
        <x:v>81</x:v>
      </x:c>
      <x:c r="B84" s="217" t="n">
        <x:v>41551</x:v>
      </x:c>
      <x:c r="C84" s="75" t="n">
        <x:v>1</x:v>
      </x:c>
      <x:c r="D84" s="75" t="n">
        <x:v>7</x:v>
      </x:c>
      <x:c r="E84" s="75" t="n">
        <x:v>16</x:v>
      </x:c>
      <x:c r="F84" s="75" t="n">
        <x:v>21</x:v>
      </x:c>
      <x:c r="G84" s="75" t="n">
        <x:v>48</x:v>
      </x:c>
      <x:c r="H84" s="75" t="n">
        <x:v>1</x:v>
      </x:c>
      <x:c r="I84" s="75" t="n">
        <x:v>8</x:v>
      </x:c>
      <x:c r="J84" s="75" t="n">
        <x:v>50</x:v>
      </x:c>
      <x:c r="K84" s="75" t="n">
        <x:v>8</x:v>
      </x:c>
      <x:c r="L84" s="75" t="str">
        <x:v>R1_5of50_2of8</x:v>
      </x:c>
      <x:c r="M84" s="213" t="str">
        <x:v>S1_pre_2024_studio_change_sensitivity_only</x:v>
      </x:c>
      <x:c r="N84" s="213" t="str">
        <x:v>Friday</x:v>
      </x:c>
      <x:c r="O84" s="213" t="str">
        <x:v>LottoMetrics full-history export</x:v>
      </x:c>
      <x:c r="P84" s="213" t="str">
        <x:v>Archive-sourced; calendar/range/uniqueness validated</x:v>
      </x:c>
      <x:c r="Q84" s="54" t="str"/>
    </x:row>
    <x:row r="85">
      <x:c r="A85" s="74" t="n">
        <x:v>82</x:v>
      </x:c>
      <x:c r="B85" s="217" t="n">
        <x:v>41558</x:v>
      </x:c>
      <x:c r="C85" s="75" t="n">
        <x:v>2</x:v>
      </x:c>
      <x:c r="D85" s="75" t="n">
        <x:v>11</x:v>
      </x:c>
      <x:c r="E85" s="75" t="n">
        <x:v>23</x:v>
      </x:c>
      <x:c r="F85" s="75" t="n">
        <x:v>29</x:v>
      </x:c>
      <x:c r="G85" s="75" t="n">
        <x:v>34</x:v>
      </x:c>
      <x:c r="H85" s="75" t="n">
        <x:v>7</x:v>
      </x:c>
      <x:c r="I85" s="75" t="n">
        <x:v>8</x:v>
      </x:c>
      <x:c r="J85" s="75" t="n">
        <x:v>50</x:v>
      </x:c>
      <x:c r="K85" s="75" t="n">
        <x:v>8</x:v>
      </x:c>
      <x:c r="L85" s="75" t="str">
        <x:v>R1_5of50_2of8</x:v>
      </x:c>
      <x:c r="M85" s="213" t="str">
        <x:v>S1_pre_2024_studio_change_sensitivity_only</x:v>
      </x:c>
      <x:c r="N85" s="213" t="str">
        <x:v>Friday</x:v>
      </x:c>
      <x:c r="O85" s="213" t="str">
        <x:v>LottoMetrics full-history export</x:v>
      </x:c>
      <x:c r="P85" s="213" t="str">
        <x:v>Archive-sourced; calendar/range/uniqueness validated</x:v>
      </x:c>
      <x:c r="Q85" s="54" t="str"/>
    </x:row>
    <x:row r="86">
      <x:c r="A86" s="74" t="n">
        <x:v>83</x:v>
      </x:c>
      <x:c r="B86" s="217" t="n">
        <x:v>41565</x:v>
      </x:c>
      <x:c r="C86" s="75" t="n">
        <x:v>7</x:v>
      </x:c>
      <x:c r="D86" s="75" t="n">
        <x:v>22</x:v>
      </x:c>
      <x:c r="E86" s="75" t="n">
        <x:v>24</x:v>
      </x:c>
      <x:c r="F86" s="75" t="n">
        <x:v>25</x:v>
      </x:c>
      <x:c r="G86" s="75" t="n">
        <x:v>41</x:v>
      </x:c>
      <x:c r="H86" s="75" t="n">
        <x:v>1</x:v>
      </x:c>
      <x:c r="I86" s="75" t="n">
        <x:v>3</x:v>
      </x:c>
      <x:c r="J86" s="75" t="n">
        <x:v>50</x:v>
      </x:c>
      <x:c r="K86" s="75" t="n">
        <x:v>8</x:v>
      </x:c>
      <x:c r="L86" s="75" t="str">
        <x:v>R1_5of50_2of8</x:v>
      </x:c>
      <x:c r="M86" s="213" t="str">
        <x:v>S1_pre_2024_studio_change_sensitivity_only</x:v>
      </x:c>
      <x:c r="N86" s="213" t="str">
        <x:v>Friday</x:v>
      </x:c>
      <x:c r="O86" s="213" t="str">
        <x:v>LottoMetrics full-history export</x:v>
      </x:c>
      <x:c r="P86" s="213" t="str">
        <x:v>Archive-sourced; calendar/range/uniqueness validated</x:v>
      </x:c>
      <x:c r="Q86" s="54" t="str"/>
    </x:row>
    <x:row r="87">
      <x:c r="A87" s="74" t="n">
        <x:v>84</x:v>
      </x:c>
      <x:c r="B87" s="217" t="n">
        <x:v>41572</x:v>
      </x:c>
      <x:c r="C87" s="75" t="n">
        <x:v>9</x:v>
      </x:c>
      <x:c r="D87" s="75" t="n">
        <x:v>25</x:v>
      </x:c>
      <x:c r="E87" s="75" t="n">
        <x:v>39</x:v>
      </x:c>
      <x:c r="F87" s="75" t="n">
        <x:v>41</x:v>
      </x:c>
      <x:c r="G87" s="75" t="n">
        <x:v>46</x:v>
      </x:c>
      <x:c r="H87" s="75" t="n">
        <x:v>2</x:v>
      </x:c>
      <x:c r="I87" s="75" t="n">
        <x:v>8</x:v>
      </x:c>
      <x:c r="J87" s="75" t="n">
        <x:v>50</x:v>
      </x:c>
      <x:c r="K87" s="75" t="n">
        <x:v>8</x:v>
      </x:c>
      <x:c r="L87" s="75" t="str">
        <x:v>R1_5of50_2of8</x:v>
      </x:c>
      <x:c r="M87" s="213" t="str">
        <x:v>S1_pre_2024_studio_change_sensitivity_only</x:v>
      </x:c>
      <x:c r="N87" s="213" t="str">
        <x:v>Friday</x:v>
      </x:c>
      <x:c r="O87" s="213" t="str">
        <x:v>LottoMetrics full-history export</x:v>
      </x:c>
      <x:c r="P87" s="213" t="str">
        <x:v>Archive-sourced; calendar/range/uniqueness validated</x:v>
      </x:c>
      <x:c r="Q87" s="54" t="str"/>
    </x:row>
    <x:row r="88">
      <x:c r="A88" s="74" t="n">
        <x:v>85</x:v>
      </x:c>
      <x:c r="B88" s="217" t="n">
        <x:v>41579</x:v>
      </x:c>
      <x:c r="C88" s="75" t="n">
        <x:v>7</x:v>
      </x:c>
      <x:c r="D88" s="75" t="n">
        <x:v>10</x:v>
      </x:c>
      <x:c r="E88" s="75" t="n">
        <x:v>13</x:v>
      </x:c>
      <x:c r="F88" s="75" t="n">
        <x:v>26</x:v>
      </x:c>
      <x:c r="G88" s="75" t="n">
        <x:v>27</x:v>
      </x:c>
      <x:c r="H88" s="75" t="n">
        <x:v>5</x:v>
      </x:c>
      <x:c r="I88" s="75" t="n">
        <x:v>8</x:v>
      </x:c>
      <x:c r="J88" s="75" t="n">
        <x:v>50</x:v>
      </x:c>
      <x:c r="K88" s="75" t="n">
        <x:v>8</x:v>
      </x:c>
      <x:c r="L88" s="75" t="str">
        <x:v>R1_5of50_2of8</x:v>
      </x:c>
      <x:c r="M88" s="213" t="str">
        <x:v>S1_pre_2024_studio_change_sensitivity_only</x:v>
      </x:c>
      <x:c r="N88" s="213" t="str">
        <x:v>Friday</x:v>
      </x:c>
      <x:c r="O88" s="213" t="str">
        <x:v>LottoMetrics full-history export</x:v>
      </x:c>
      <x:c r="P88" s="213" t="str">
        <x:v>Archive-sourced; calendar/range/uniqueness validated</x:v>
      </x:c>
      <x:c r="Q88" s="54" t="str"/>
    </x:row>
    <x:row r="89">
      <x:c r="A89" s="74" t="n">
        <x:v>86</x:v>
      </x:c>
      <x:c r="B89" s="217" t="n">
        <x:v>41586</x:v>
      </x:c>
      <x:c r="C89" s="75" t="n">
        <x:v>18</x:v>
      </x:c>
      <x:c r="D89" s="75" t="n">
        <x:v>25</x:v>
      </x:c>
      <x:c r="E89" s="75" t="n">
        <x:v>28</x:v>
      </x:c>
      <x:c r="F89" s="75" t="n">
        <x:v>34</x:v>
      </x:c>
      <x:c r="G89" s="75" t="n">
        <x:v>42</x:v>
      </x:c>
      <x:c r="H89" s="75" t="n">
        <x:v>3</x:v>
      </x:c>
      <x:c r="I89" s="75" t="n">
        <x:v>4</x:v>
      </x:c>
      <x:c r="J89" s="75" t="n">
        <x:v>50</x:v>
      </x:c>
      <x:c r="K89" s="75" t="n">
        <x:v>8</x:v>
      </x:c>
      <x:c r="L89" s="75" t="str">
        <x:v>R1_5of50_2of8</x:v>
      </x:c>
      <x:c r="M89" s="213" t="str">
        <x:v>S1_pre_2024_studio_change_sensitivity_only</x:v>
      </x:c>
      <x:c r="N89" s="213" t="str">
        <x:v>Friday</x:v>
      </x:c>
      <x:c r="O89" s="213" t="str">
        <x:v>LottoMetrics full-history export</x:v>
      </x:c>
      <x:c r="P89" s="213" t="str">
        <x:v>Archive-sourced; calendar/range/uniqueness validated</x:v>
      </x:c>
      <x:c r="Q89" s="54" t="str"/>
    </x:row>
    <x:row r="90">
      <x:c r="A90" s="74" t="n">
        <x:v>87</x:v>
      </x:c>
      <x:c r="B90" s="217" t="n">
        <x:v>41593</x:v>
      </x:c>
      <x:c r="C90" s="75" t="n">
        <x:v>3</x:v>
      </x:c>
      <x:c r="D90" s="75" t="n">
        <x:v>19</x:v>
      </x:c>
      <x:c r="E90" s="75" t="n">
        <x:v>32</x:v>
      </x:c>
      <x:c r="F90" s="75" t="n">
        <x:v>43</x:v>
      </x:c>
      <x:c r="G90" s="75" t="n">
        <x:v>48</x:v>
      </x:c>
      <x:c r="H90" s="75" t="n">
        <x:v>4</x:v>
      </x:c>
      <x:c r="I90" s="75" t="n">
        <x:v>8</x:v>
      </x:c>
      <x:c r="J90" s="75" t="n">
        <x:v>50</x:v>
      </x:c>
      <x:c r="K90" s="75" t="n">
        <x:v>8</x:v>
      </x:c>
      <x:c r="L90" s="75" t="str">
        <x:v>R1_5of50_2of8</x:v>
      </x:c>
      <x:c r="M90" s="213" t="str">
        <x:v>S1_pre_2024_studio_change_sensitivity_only</x:v>
      </x:c>
      <x:c r="N90" s="213" t="str">
        <x:v>Friday</x:v>
      </x:c>
      <x:c r="O90" s="213" t="str">
        <x:v>LottoMetrics full-history export</x:v>
      </x:c>
      <x:c r="P90" s="213" t="str">
        <x:v>Archive-sourced; calendar/range/uniqueness validated</x:v>
      </x:c>
      <x:c r="Q90" s="54" t="str"/>
    </x:row>
    <x:row r="91">
      <x:c r="A91" s="74" t="n">
        <x:v>88</x:v>
      </x:c>
      <x:c r="B91" s="217" t="n">
        <x:v>41600</x:v>
      </x:c>
      <x:c r="C91" s="75" t="n">
        <x:v>1</x:v>
      </x:c>
      <x:c r="D91" s="75" t="n">
        <x:v>38</x:v>
      </x:c>
      <x:c r="E91" s="75" t="n">
        <x:v>39</x:v>
      </x:c>
      <x:c r="F91" s="75" t="n">
        <x:v>42</x:v>
      </x:c>
      <x:c r="G91" s="75" t="n">
        <x:v>47</x:v>
      </x:c>
      <x:c r="H91" s="75" t="n">
        <x:v>1</x:v>
      </x:c>
      <x:c r="I91" s="75" t="n">
        <x:v>2</x:v>
      </x:c>
      <x:c r="J91" s="75" t="n">
        <x:v>50</x:v>
      </x:c>
      <x:c r="K91" s="75" t="n">
        <x:v>8</x:v>
      </x:c>
      <x:c r="L91" s="75" t="str">
        <x:v>R1_5of50_2of8</x:v>
      </x:c>
      <x:c r="M91" s="213" t="str">
        <x:v>S1_pre_2024_studio_change_sensitivity_only</x:v>
      </x:c>
      <x:c r="N91" s="213" t="str">
        <x:v>Friday</x:v>
      </x:c>
      <x:c r="O91" s="213" t="str">
        <x:v>LottoMetrics full-history export</x:v>
      </x:c>
      <x:c r="P91" s="213" t="str">
        <x:v>Archive-sourced; calendar/range/uniqueness validated</x:v>
      </x:c>
      <x:c r="Q91" s="54" t="str"/>
    </x:row>
    <x:row r="92">
      <x:c r="A92" s="74" t="n">
        <x:v>89</x:v>
      </x:c>
      <x:c r="B92" s="217" t="n">
        <x:v>41607</x:v>
      </x:c>
      <x:c r="C92" s="75" t="n">
        <x:v>17</x:v>
      </x:c>
      <x:c r="D92" s="75" t="n">
        <x:v>25</x:v>
      </x:c>
      <x:c r="E92" s="75" t="n">
        <x:v>32</x:v>
      </x:c>
      <x:c r="F92" s="75" t="n">
        <x:v>35</x:v>
      </x:c>
      <x:c r="G92" s="75" t="n">
        <x:v>45</x:v>
      </x:c>
      <x:c r="H92" s="75" t="n">
        <x:v>4</x:v>
      </x:c>
      <x:c r="I92" s="75" t="n">
        <x:v>7</x:v>
      </x:c>
      <x:c r="J92" s="75" t="n">
        <x:v>50</x:v>
      </x:c>
      <x:c r="K92" s="75" t="n">
        <x:v>8</x:v>
      </x:c>
      <x:c r="L92" s="75" t="str">
        <x:v>R1_5of50_2of8</x:v>
      </x:c>
      <x:c r="M92" s="213" t="str">
        <x:v>S1_pre_2024_studio_change_sensitivity_only</x:v>
      </x:c>
      <x:c r="N92" s="213" t="str">
        <x:v>Friday</x:v>
      </x:c>
      <x:c r="O92" s="213" t="str">
        <x:v>LottoMetrics full-history export</x:v>
      </x:c>
      <x:c r="P92" s="213" t="str">
        <x:v>Archive-sourced; calendar/range/uniqueness validated</x:v>
      </x:c>
      <x:c r="Q92" s="54" t="str"/>
    </x:row>
    <x:row r="93">
      <x:c r="A93" s="74" t="n">
        <x:v>90</x:v>
      </x:c>
      <x:c r="B93" s="217" t="n">
        <x:v>41614</x:v>
      </x:c>
      <x:c r="C93" s="75" t="n">
        <x:v>1</x:v>
      </x:c>
      <x:c r="D93" s="75" t="n">
        <x:v>8</x:v>
      </x:c>
      <x:c r="E93" s="75" t="n">
        <x:v>18</x:v>
      </x:c>
      <x:c r="F93" s="75" t="n">
        <x:v>25</x:v>
      </x:c>
      <x:c r="G93" s="75" t="n">
        <x:v>47</x:v>
      </x:c>
      <x:c r="H93" s="75" t="n">
        <x:v>2</x:v>
      </x:c>
      <x:c r="I93" s="75" t="n">
        <x:v>7</x:v>
      </x:c>
      <x:c r="J93" s="75" t="n">
        <x:v>50</x:v>
      </x:c>
      <x:c r="K93" s="75" t="n">
        <x:v>8</x:v>
      </x:c>
      <x:c r="L93" s="75" t="str">
        <x:v>R1_5of50_2of8</x:v>
      </x:c>
      <x:c r="M93" s="213" t="str">
        <x:v>S1_pre_2024_studio_change_sensitivity_only</x:v>
      </x:c>
      <x:c r="N93" s="213" t="str">
        <x:v>Friday</x:v>
      </x:c>
      <x:c r="O93" s="213" t="str">
        <x:v>LottoMetrics full-history export</x:v>
      </x:c>
      <x:c r="P93" s="213" t="str">
        <x:v>Archive-sourced; calendar/range/uniqueness validated</x:v>
      </x:c>
      <x:c r="Q93" s="54" t="str"/>
    </x:row>
    <x:row r="94">
      <x:c r="A94" s="74" t="n">
        <x:v>91</x:v>
      </x:c>
      <x:c r="B94" s="217" t="n">
        <x:v>41621</x:v>
      </x:c>
      <x:c r="C94" s="75" t="n">
        <x:v>9</x:v>
      </x:c>
      <x:c r="D94" s="75" t="n">
        <x:v>19</x:v>
      </x:c>
      <x:c r="E94" s="75" t="n">
        <x:v>24</x:v>
      </x:c>
      <x:c r="F94" s="75" t="n">
        <x:v>28</x:v>
      </x:c>
      <x:c r="G94" s="75" t="n">
        <x:v>49</x:v>
      </x:c>
      <x:c r="H94" s="75" t="n">
        <x:v>2</x:v>
      </x:c>
      <x:c r="I94" s="75" t="n">
        <x:v>8</x:v>
      </x:c>
      <x:c r="J94" s="75" t="n">
        <x:v>50</x:v>
      </x:c>
      <x:c r="K94" s="75" t="n">
        <x:v>8</x:v>
      </x:c>
      <x:c r="L94" s="75" t="str">
        <x:v>R1_5of50_2of8</x:v>
      </x:c>
      <x:c r="M94" s="213" t="str">
        <x:v>S1_pre_2024_studio_change_sensitivity_only</x:v>
      </x:c>
      <x:c r="N94" s="213" t="str">
        <x:v>Friday</x:v>
      </x:c>
      <x:c r="O94" s="213" t="str">
        <x:v>LottoMetrics full-history export</x:v>
      </x:c>
      <x:c r="P94" s="213" t="str">
        <x:v>Archive-sourced; calendar/range/uniqueness validated</x:v>
      </x:c>
      <x:c r="Q94" s="54" t="str"/>
    </x:row>
    <x:row r="95">
      <x:c r="A95" s="74" t="n">
        <x:v>92</x:v>
      </x:c>
      <x:c r="B95" s="217" t="n">
        <x:v>41628</x:v>
      </x:c>
      <x:c r="C95" s="75" t="n">
        <x:v>9</x:v>
      </x:c>
      <x:c r="D95" s="75" t="n">
        <x:v>12</x:v>
      </x:c>
      <x:c r="E95" s="75" t="n">
        <x:v>22</x:v>
      </x:c>
      <x:c r="F95" s="75" t="n">
        <x:v>37</x:v>
      </x:c>
      <x:c r="G95" s="75" t="n">
        <x:v>40</x:v>
      </x:c>
      <x:c r="H95" s="75" t="n">
        <x:v>6</x:v>
      </x:c>
      <x:c r="I95" s="75" t="n">
        <x:v>8</x:v>
      </x:c>
      <x:c r="J95" s="75" t="n">
        <x:v>50</x:v>
      </x:c>
      <x:c r="K95" s="75" t="n">
        <x:v>8</x:v>
      </x:c>
      <x:c r="L95" s="75" t="str">
        <x:v>R1_5of50_2of8</x:v>
      </x:c>
      <x:c r="M95" s="213" t="str">
        <x:v>S1_pre_2024_studio_change_sensitivity_only</x:v>
      </x:c>
      <x:c r="N95" s="213" t="str">
        <x:v>Friday</x:v>
      </x:c>
      <x:c r="O95" s="213" t="str">
        <x:v>LottoMetrics full-history export</x:v>
      </x:c>
      <x:c r="P95" s="213" t="str">
        <x:v>Archive-sourced; calendar/range/uniqueness validated</x:v>
      </x:c>
      <x:c r="Q95" s="54" t="str"/>
    </x:row>
    <x:row r="96">
      <x:c r="A96" s="74" t="n">
        <x:v>93</x:v>
      </x:c>
      <x:c r="B96" s="217" t="n">
        <x:v>41635</x:v>
      </x:c>
      <x:c r="C96" s="75" t="n">
        <x:v>2</x:v>
      </x:c>
      <x:c r="D96" s="75" t="n">
        <x:v>15</x:v>
      </x:c>
      <x:c r="E96" s="75" t="n">
        <x:v>33</x:v>
      </x:c>
      <x:c r="F96" s="75" t="n">
        <x:v>40</x:v>
      </x:c>
      <x:c r="G96" s="75" t="n">
        <x:v>43</x:v>
      </x:c>
      <x:c r="H96" s="75" t="n">
        <x:v>3</x:v>
      </x:c>
      <x:c r="I96" s="75" t="n">
        <x:v>7</x:v>
      </x:c>
      <x:c r="J96" s="75" t="n">
        <x:v>50</x:v>
      </x:c>
      <x:c r="K96" s="75" t="n">
        <x:v>8</x:v>
      </x:c>
      <x:c r="L96" s="75" t="str">
        <x:v>R1_5of50_2of8</x:v>
      </x:c>
      <x:c r="M96" s="213" t="str">
        <x:v>S1_pre_2024_studio_change_sensitivity_only</x:v>
      </x:c>
      <x:c r="N96" s="213" t="str">
        <x:v>Friday</x:v>
      </x:c>
      <x:c r="O96" s="213" t="str">
        <x:v>LottoMetrics full-history export</x:v>
      </x:c>
      <x:c r="P96" s="213" t="str">
        <x:v>Archive-sourced; calendar/range/uniqueness validated</x:v>
      </x:c>
      <x:c r="Q96" s="54" t="str"/>
    </x:row>
    <x:row r="97">
      <x:c r="A97" s="74" t="n">
        <x:v>94</x:v>
      </x:c>
      <x:c r="B97" s="217" t="n">
        <x:v>41642</x:v>
      </x:c>
      <x:c r="C97" s="75" t="n">
        <x:v>1</x:v>
      </x:c>
      <x:c r="D97" s="75" t="n">
        <x:v>16</x:v>
      </x:c>
      <x:c r="E97" s="75" t="n">
        <x:v>34</x:v>
      </x:c>
      <x:c r="F97" s="75" t="n">
        <x:v>36</x:v>
      </x:c>
      <x:c r="G97" s="75" t="n">
        <x:v>37</x:v>
      </x:c>
      <x:c r="H97" s="75" t="n">
        <x:v>4</x:v>
      </x:c>
      <x:c r="I97" s="75" t="n">
        <x:v>6</x:v>
      </x:c>
      <x:c r="J97" s="75" t="n">
        <x:v>50</x:v>
      </x:c>
      <x:c r="K97" s="75" t="n">
        <x:v>8</x:v>
      </x:c>
      <x:c r="L97" s="75" t="str">
        <x:v>R1_5of50_2of8</x:v>
      </x:c>
      <x:c r="M97" s="213" t="str">
        <x:v>S1_pre_2024_studio_change_sensitivity_only</x:v>
      </x:c>
      <x:c r="N97" s="213" t="str">
        <x:v>Friday</x:v>
      </x:c>
      <x:c r="O97" s="213" t="str">
        <x:v>LottoMetrics full-history export</x:v>
      </x:c>
      <x:c r="P97" s="213" t="str">
        <x:v>Archive-sourced; calendar/range/uniqueness validated</x:v>
      </x:c>
      <x:c r="Q97" s="54" t="str"/>
    </x:row>
    <x:row r="98">
      <x:c r="A98" s="74" t="n">
        <x:v>95</x:v>
      </x:c>
      <x:c r="B98" s="217" t="n">
        <x:v>41649</x:v>
      </x:c>
      <x:c r="C98" s="75" t="n">
        <x:v>8</x:v>
      </x:c>
      <x:c r="D98" s="75" t="n">
        <x:v>18</x:v>
      </x:c>
      <x:c r="E98" s="75" t="n">
        <x:v>22</x:v>
      </x:c>
      <x:c r="F98" s="75" t="n">
        <x:v>33</x:v>
      </x:c>
      <x:c r="G98" s="75" t="n">
        <x:v>40</x:v>
      </x:c>
      <x:c r="H98" s="75" t="n">
        <x:v>2</x:v>
      </x:c>
      <x:c r="I98" s="75" t="n">
        <x:v>8</x:v>
      </x:c>
      <x:c r="J98" s="75" t="n">
        <x:v>50</x:v>
      </x:c>
      <x:c r="K98" s="75" t="n">
        <x:v>8</x:v>
      </x:c>
      <x:c r="L98" s="75" t="str">
        <x:v>R1_5of50_2of8</x:v>
      </x:c>
      <x:c r="M98" s="213" t="str">
        <x:v>S1_pre_2024_studio_change_sensitivity_only</x:v>
      </x:c>
      <x:c r="N98" s="213" t="str">
        <x:v>Friday</x:v>
      </x:c>
      <x:c r="O98" s="213" t="str">
        <x:v>LottoMetrics full-history export</x:v>
      </x:c>
      <x:c r="P98" s="213" t="str">
        <x:v>Archive-sourced; calendar/range/uniqueness validated</x:v>
      </x:c>
      <x:c r="Q98" s="54" t="str"/>
    </x:row>
    <x:row r="99">
      <x:c r="A99" s="74" t="n">
        <x:v>96</x:v>
      </x:c>
      <x:c r="B99" s="217" t="n">
        <x:v>41656</x:v>
      </x:c>
      <x:c r="C99" s="75" t="n">
        <x:v>4</x:v>
      </x:c>
      <x:c r="D99" s="75" t="n">
        <x:v>7</x:v>
      </x:c>
      <x:c r="E99" s="75" t="n">
        <x:v>15</x:v>
      </x:c>
      <x:c r="F99" s="75" t="n">
        <x:v>25</x:v>
      </x:c>
      <x:c r="G99" s="75" t="n">
        <x:v>29</x:v>
      </x:c>
      <x:c r="H99" s="75" t="n">
        <x:v>2</x:v>
      </x:c>
      <x:c r="I99" s="75" t="n">
        <x:v>4</x:v>
      </x:c>
      <x:c r="J99" s="75" t="n">
        <x:v>50</x:v>
      </x:c>
      <x:c r="K99" s="75" t="n">
        <x:v>8</x:v>
      </x:c>
      <x:c r="L99" s="75" t="str">
        <x:v>R1_5of50_2of8</x:v>
      </x:c>
      <x:c r="M99" s="213" t="str">
        <x:v>S1_pre_2024_studio_change_sensitivity_only</x:v>
      </x:c>
      <x:c r="N99" s="213" t="str">
        <x:v>Friday</x:v>
      </x:c>
      <x:c r="O99" s="213" t="str">
        <x:v>LottoMetrics full-history export</x:v>
      </x:c>
      <x:c r="P99" s="213" t="str">
        <x:v>Archive-sourced; calendar/range/uniqueness validated</x:v>
      </x:c>
      <x:c r="Q99" s="54" t="str"/>
    </x:row>
    <x:row r="100">
      <x:c r="A100" s="74" t="n">
        <x:v>97</x:v>
      </x:c>
      <x:c r="B100" s="217" t="n">
        <x:v>41663</x:v>
      </x:c>
      <x:c r="C100" s="75" t="n">
        <x:v>4</x:v>
      </x:c>
      <x:c r="D100" s="75" t="n">
        <x:v>28</x:v>
      </x:c>
      <x:c r="E100" s="75" t="n">
        <x:v>30</x:v>
      </x:c>
      <x:c r="F100" s="75" t="n">
        <x:v>36</x:v>
      </x:c>
      <x:c r="G100" s="75" t="n">
        <x:v>46</x:v>
      </x:c>
      <x:c r="H100" s="75" t="n">
        <x:v>3</x:v>
      </x:c>
      <x:c r="I100" s="75" t="n">
        <x:v>7</x:v>
      </x:c>
      <x:c r="J100" s="75" t="n">
        <x:v>50</x:v>
      </x:c>
      <x:c r="K100" s="75" t="n">
        <x:v>8</x:v>
      </x:c>
      <x:c r="L100" s="75" t="str">
        <x:v>R1_5of50_2of8</x:v>
      </x:c>
      <x:c r="M100" s="213" t="str">
        <x:v>S1_pre_2024_studio_change_sensitivity_only</x:v>
      </x:c>
      <x:c r="N100" s="213" t="str">
        <x:v>Friday</x:v>
      </x:c>
      <x:c r="O100" s="213" t="str">
        <x:v>LottoMetrics full-history export</x:v>
      </x:c>
      <x:c r="P100" s="213" t="str">
        <x:v>Archive-sourced; calendar/range/uniqueness validated</x:v>
      </x:c>
      <x:c r="Q100" s="54" t="str"/>
    </x:row>
    <x:row r="101">
      <x:c r="A101" s="74" t="n">
        <x:v>98</x:v>
      </x:c>
      <x:c r="B101" s="217" t="n">
        <x:v>41670</x:v>
      </x:c>
      <x:c r="C101" s="75" t="n">
        <x:v>12</x:v>
      </x:c>
      <x:c r="D101" s="75" t="n">
        <x:v>17</x:v>
      </x:c>
      <x:c r="E101" s="75" t="n">
        <x:v>29</x:v>
      </x:c>
      <x:c r="F101" s="75" t="n">
        <x:v>39</x:v>
      </x:c>
      <x:c r="G101" s="75" t="n">
        <x:v>40</x:v>
      </x:c>
      <x:c r="H101" s="75" t="n">
        <x:v>5</x:v>
      </x:c>
      <x:c r="I101" s="75" t="n">
        <x:v>6</x:v>
      </x:c>
      <x:c r="J101" s="75" t="n">
        <x:v>50</x:v>
      </x:c>
      <x:c r="K101" s="75" t="n">
        <x:v>8</x:v>
      </x:c>
      <x:c r="L101" s="75" t="str">
        <x:v>R1_5of50_2of8</x:v>
      </x:c>
      <x:c r="M101" s="213" t="str">
        <x:v>S1_pre_2024_studio_change_sensitivity_only</x:v>
      </x:c>
      <x:c r="N101" s="213" t="str">
        <x:v>Friday</x:v>
      </x:c>
      <x:c r="O101" s="213" t="str">
        <x:v>LottoMetrics full-history export</x:v>
      </x:c>
      <x:c r="P101" s="213" t="str">
        <x:v>Archive-sourced; calendar/range/uniqueness validated</x:v>
      </x:c>
      <x:c r="Q101" s="54" t="str"/>
    </x:row>
    <x:row r="102">
      <x:c r="A102" s="74" t="n">
        <x:v>99</x:v>
      </x:c>
      <x:c r="B102" s="217" t="n">
        <x:v>41677</x:v>
      </x:c>
      <x:c r="C102" s="75" t="n">
        <x:v>16</x:v>
      </x:c>
      <x:c r="D102" s="75" t="n">
        <x:v>18</x:v>
      </x:c>
      <x:c r="E102" s="75" t="n">
        <x:v>20</x:v>
      </x:c>
      <x:c r="F102" s="75" t="n">
        <x:v>36</x:v>
      </x:c>
      <x:c r="G102" s="75" t="n">
        <x:v>49</x:v>
      </x:c>
      <x:c r="H102" s="75" t="n">
        <x:v>3</x:v>
      </x:c>
      <x:c r="I102" s="75" t="n">
        <x:v>4</x:v>
      </x:c>
      <x:c r="J102" s="75" t="n">
        <x:v>50</x:v>
      </x:c>
      <x:c r="K102" s="75" t="n">
        <x:v>8</x:v>
      </x:c>
      <x:c r="L102" s="75" t="str">
        <x:v>R1_5of50_2of8</x:v>
      </x:c>
      <x:c r="M102" s="213" t="str">
        <x:v>S1_pre_2024_studio_change_sensitivity_only</x:v>
      </x:c>
      <x:c r="N102" s="213" t="str">
        <x:v>Friday</x:v>
      </x:c>
      <x:c r="O102" s="213" t="str">
        <x:v>LottoMetrics full-history export</x:v>
      </x:c>
      <x:c r="P102" s="213" t="str">
        <x:v>Archive-sourced; calendar/range/uniqueness validated</x:v>
      </x:c>
      <x:c r="Q102" s="54" t="str"/>
    </x:row>
    <x:row r="103">
      <x:c r="A103" s="74" t="n">
        <x:v>100</x:v>
      </x:c>
      <x:c r="B103" s="217" t="n">
        <x:v>41684</x:v>
      </x:c>
      <x:c r="C103" s="75" t="n">
        <x:v>19</x:v>
      </x:c>
      <x:c r="D103" s="75" t="n">
        <x:v>21</x:v>
      </x:c>
      <x:c r="E103" s="75" t="n">
        <x:v>22</x:v>
      </x:c>
      <x:c r="F103" s="75" t="n">
        <x:v>28</x:v>
      </x:c>
      <x:c r="G103" s="75" t="n">
        <x:v>45</x:v>
      </x:c>
      <x:c r="H103" s="75" t="n">
        <x:v>6</x:v>
      </x:c>
      <x:c r="I103" s="75" t="n">
        <x:v>7</x:v>
      </x:c>
      <x:c r="J103" s="75" t="n">
        <x:v>50</x:v>
      </x:c>
      <x:c r="K103" s="75" t="n">
        <x:v>8</x:v>
      </x:c>
      <x:c r="L103" s="75" t="str">
        <x:v>R1_5of50_2of8</x:v>
      </x:c>
      <x:c r="M103" s="213" t="str">
        <x:v>S1_pre_2024_studio_change_sensitivity_only</x:v>
      </x:c>
      <x:c r="N103" s="213" t="str">
        <x:v>Friday</x:v>
      </x:c>
      <x:c r="O103" s="213" t="str">
        <x:v>LottoMetrics full-history export</x:v>
      </x:c>
      <x:c r="P103" s="213" t="str">
        <x:v>Archive-sourced; calendar/range/uniqueness validated</x:v>
      </x:c>
      <x:c r="Q103" s="54" t="str"/>
    </x:row>
    <x:row r="104">
      <x:c r="A104" s="74" t="n">
        <x:v>101</x:v>
      </x:c>
      <x:c r="B104" s="217" t="n">
        <x:v>41691</x:v>
      </x:c>
      <x:c r="C104" s="75" t="n">
        <x:v>2</x:v>
      </x:c>
      <x:c r="D104" s="75" t="n">
        <x:v>4</x:v>
      </x:c>
      <x:c r="E104" s="75" t="n">
        <x:v>21</x:v>
      </x:c>
      <x:c r="F104" s="75" t="n">
        <x:v>30</x:v>
      </x:c>
      <x:c r="G104" s="75" t="n">
        <x:v>41</x:v>
      </x:c>
      <x:c r="H104" s="75" t="n">
        <x:v>7</x:v>
      </x:c>
      <x:c r="I104" s="75" t="n">
        <x:v>8</x:v>
      </x:c>
      <x:c r="J104" s="75" t="n">
        <x:v>50</x:v>
      </x:c>
      <x:c r="K104" s="75" t="n">
        <x:v>8</x:v>
      </x:c>
      <x:c r="L104" s="75" t="str">
        <x:v>R1_5of50_2of8</x:v>
      </x:c>
      <x:c r="M104" s="213" t="str">
        <x:v>S1_pre_2024_studio_change_sensitivity_only</x:v>
      </x:c>
      <x:c r="N104" s="213" t="str">
        <x:v>Friday</x:v>
      </x:c>
      <x:c r="O104" s="213" t="str">
        <x:v>LottoMetrics full-history export</x:v>
      </x:c>
      <x:c r="P104" s="213" t="str">
        <x:v>Archive-sourced; calendar/range/uniqueness validated</x:v>
      </x:c>
      <x:c r="Q104" s="54" t="str"/>
    </x:row>
    <x:row r="105">
      <x:c r="A105" s="74" t="n">
        <x:v>102</x:v>
      </x:c>
      <x:c r="B105" s="217" t="n">
        <x:v>41698</x:v>
      </x:c>
      <x:c r="C105" s="75" t="n">
        <x:v>2</x:v>
      </x:c>
      <x:c r="D105" s="75" t="n">
        <x:v>17</x:v>
      </x:c>
      <x:c r="E105" s="75" t="n">
        <x:v>21</x:v>
      </x:c>
      <x:c r="F105" s="75" t="n">
        <x:v>22</x:v>
      </x:c>
      <x:c r="G105" s="75" t="n">
        <x:v>45</x:v>
      </x:c>
      <x:c r="H105" s="75" t="n">
        <x:v>1</x:v>
      </x:c>
      <x:c r="I105" s="75" t="n">
        <x:v>5</x:v>
      </x:c>
      <x:c r="J105" s="75" t="n">
        <x:v>50</x:v>
      </x:c>
      <x:c r="K105" s="75" t="n">
        <x:v>8</x:v>
      </x:c>
      <x:c r="L105" s="75" t="str">
        <x:v>R1_5of50_2of8</x:v>
      </x:c>
      <x:c r="M105" s="213" t="str">
        <x:v>S1_pre_2024_studio_change_sensitivity_only</x:v>
      </x:c>
      <x:c r="N105" s="213" t="str">
        <x:v>Friday</x:v>
      </x:c>
      <x:c r="O105" s="213" t="str">
        <x:v>LottoMetrics full-history export</x:v>
      </x:c>
      <x:c r="P105" s="213" t="str">
        <x:v>Archive-sourced; calendar/range/uniqueness validated</x:v>
      </x:c>
      <x:c r="Q105" s="54" t="str"/>
    </x:row>
    <x:row r="106">
      <x:c r="A106" s="74" t="n">
        <x:v>103</x:v>
      </x:c>
      <x:c r="B106" s="217" t="n">
        <x:v>41705</x:v>
      </x:c>
      <x:c r="C106" s="75" t="n">
        <x:v>7</x:v>
      </x:c>
      <x:c r="D106" s="75" t="n">
        <x:v>14</x:v>
      </x:c>
      <x:c r="E106" s="75" t="n">
        <x:v>15</x:v>
      </x:c>
      <x:c r="F106" s="75" t="n">
        <x:v>20</x:v>
      </x:c>
      <x:c r="G106" s="75" t="n">
        <x:v>39</x:v>
      </x:c>
      <x:c r="H106" s="75" t="n">
        <x:v>1</x:v>
      </x:c>
      <x:c r="I106" s="75" t="n">
        <x:v>8</x:v>
      </x:c>
      <x:c r="J106" s="75" t="n">
        <x:v>50</x:v>
      </x:c>
      <x:c r="K106" s="75" t="n">
        <x:v>8</x:v>
      </x:c>
      <x:c r="L106" s="75" t="str">
        <x:v>R1_5of50_2of8</x:v>
      </x:c>
      <x:c r="M106" s="213" t="str">
        <x:v>S1_pre_2024_studio_change_sensitivity_only</x:v>
      </x:c>
      <x:c r="N106" s="213" t="str">
        <x:v>Friday</x:v>
      </x:c>
      <x:c r="O106" s="213" t="str">
        <x:v>LottoMetrics full-history export</x:v>
      </x:c>
      <x:c r="P106" s="213" t="str">
        <x:v>Archive-sourced; calendar/range/uniqueness validated</x:v>
      </x:c>
      <x:c r="Q106" s="54" t="str"/>
    </x:row>
    <x:row r="107">
      <x:c r="A107" s="74" t="n">
        <x:v>104</x:v>
      </x:c>
      <x:c r="B107" s="217" t="n">
        <x:v>41712</x:v>
      </x:c>
      <x:c r="C107" s="75" t="n">
        <x:v>6</x:v>
      </x:c>
      <x:c r="D107" s="75" t="n">
        <x:v>7</x:v>
      </x:c>
      <x:c r="E107" s="75" t="n">
        <x:v>9</x:v>
      </x:c>
      <x:c r="F107" s="75" t="n">
        <x:v>13</x:v>
      </x:c>
      <x:c r="G107" s="75" t="n">
        <x:v>30</x:v>
      </x:c>
      <x:c r="H107" s="75" t="n">
        <x:v>4</x:v>
      </x:c>
      <x:c r="I107" s="75" t="n">
        <x:v>7</x:v>
      </x:c>
      <x:c r="J107" s="75" t="n">
        <x:v>50</x:v>
      </x:c>
      <x:c r="K107" s="75" t="n">
        <x:v>8</x:v>
      </x:c>
      <x:c r="L107" s="75" t="str">
        <x:v>R1_5of50_2of8</x:v>
      </x:c>
      <x:c r="M107" s="213" t="str">
        <x:v>S1_pre_2024_studio_change_sensitivity_only</x:v>
      </x:c>
      <x:c r="N107" s="213" t="str">
        <x:v>Friday</x:v>
      </x:c>
      <x:c r="O107" s="213" t="str">
        <x:v>LottoMetrics full-history export</x:v>
      </x:c>
      <x:c r="P107" s="213" t="str">
        <x:v>Archive-sourced; calendar/range/uniqueness validated</x:v>
      </x:c>
      <x:c r="Q107" s="54" t="str"/>
    </x:row>
    <x:row r="108">
      <x:c r="A108" s="74" t="n">
        <x:v>105</x:v>
      </x:c>
      <x:c r="B108" s="217" t="n">
        <x:v>41719</x:v>
      </x:c>
      <x:c r="C108" s="75" t="n">
        <x:v>8</x:v>
      </x:c>
      <x:c r="D108" s="75" t="n">
        <x:v>18</x:v>
      </x:c>
      <x:c r="E108" s="75" t="n">
        <x:v>35</x:v>
      </x:c>
      <x:c r="F108" s="75" t="n">
        <x:v>38</x:v>
      </x:c>
      <x:c r="G108" s="75" t="n">
        <x:v>42</x:v>
      </x:c>
      <x:c r="H108" s="75" t="n">
        <x:v>4</x:v>
      </x:c>
      <x:c r="I108" s="75" t="n">
        <x:v>6</x:v>
      </x:c>
      <x:c r="J108" s="75" t="n">
        <x:v>50</x:v>
      </x:c>
      <x:c r="K108" s="75" t="n">
        <x:v>8</x:v>
      </x:c>
      <x:c r="L108" s="75" t="str">
        <x:v>R1_5of50_2of8</x:v>
      </x:c>
      <x:c r="M108" s="213" t="str">
        <x:v>S1_pre_2024_studio_change_sensitivity_only</x:v>
      </x:c>
      <x:c r="N108" s="213" t="str">
        <x:v>Friday</x:v>
      </x:c>
      <x:c r="O108" s="213" t="str">
        <x:v>LottoMetrics full-history export</x:v>
      </x:c>
      <x:c r="P108" s="213" t="str">
        <x:v>Archive-sourced; calendar/range/uniqueness validated</x:v>
      </x:c>
      <x:c r="Q108" s="54" t="str"/>
    </x:row>
    <x:row r="109">
      <x:c r="A109" s="74" t="n">
        <x:v>106</x:v>
      </x:c>
      <x:c r="B109" s="217" t="n">
        <x:v>41726</x:v>
      </x:c>
      <x:c r="C109" s="75" t="n">
        <x:v>10</x:v>
      </x:c>
      <x:c r="D109" s="75" t="n">
        <x:v>32</x:v>
      </x:c>
      <x:c r="E109" s="75" t="n">
        <x:v>35</x:v>
      </x:c>
      <x:c r="F109" s="75" t="n">
        <x:v>38</x:v>
      </x:c>
      <x:c r="G109" s="75" t="n">
        <x:v>45</x:v>
      </x:c>
      <x:c r="H109" s="75" t="n">
        <x:v>4</x:v>
      </x:c>
      <x:c r="I109" s="75" t="n">
        <x:v>5</x:v>
      </x:c>
      <x:c r="J109" s="75" t="n">
        <x:v>50</x:v>
      </x:c>
      <x:c r="K109" s="75" t="n">
        <x:v>8</x:v>
      </x:c>
      <x:c r="L109" s="75" t="str">
        <x:v>R1_5of50_2of8</x:v>
      </x:c>
      <x:c r="M109" s="213" t="str">
        <x:v>S1_pre_2024_studio_change_sensitivity_only</x:v>
      </x:c>
      <x:c r="N109" s="213" t="str">
        <x:v>Friday</x:v>
      </x:c>
      <x:c r="O109" s="213" t="str">
        <x:v>LottoMetrics full-history export</x:v>
      </x:c>
      <x:c r="P109" s="213" t="str">
        <x:v>Archive-sourced; calendar/range/uniqueness validated</x:v>
      </x:c>
      <x:c r="Q109" s="54" t="str"/>
    </x:row>
    <x:row r="110">
      <x:c r="A110" s="74" t="n">
        <x:v>107</x:v>
      </x:c>
      <x:c r="B110" s="217" t="n">
        <x:v>41733</x:v>
      </x:c>
      <x:c r="C110" s="75" t="n">
        <x:v>10</x:v>
      </x:c>
      <x:c r="D110" s="75" t="n">
        <x:v>16</x:v>
      </x:c>
      <x:c r="E110" s="75" t="n">
        <x:v>28</x:v>
      </x:c>
      <x:c r="F110" s="75" t="n">
        <x:v>30</x:v>
      </x:c>
      <x:c r="G110" s="75" t="n">
        <x:v>33</x:v>
      </x:c>
      <x:c r="H110" s="75" t="n">
        <x:v>4</x:v>
      </x:c>
      <x:c r="I110" s="75" t="n">
        <x:v>6</x:v>
      </x:c>
      <x:c r="J110" s="75" t="n">
        <x:v>50</x:v>
      </x:c>
      <x:c r="K110" s="75" t="n">
        <x:v>8</x:v>
      </x:c>
      <x:c r="L110" s="75" t="str">
        <x:v>R1_5of50_2of8</x:v>
      </x:c>
      <x:c r="M110" s="213" t="str">
        <x:v>S1_pre_2024_studio_change_sensitivity_only</x:v>
      </x:c>
      <x:c r="N110" s="213" t="str">
        <x:v>Friday</x:v>
      </x:c>
      <x:c r="O110" s="213" t="str">
        <x:v>LottoMetrics full-history export</x:v>
      </x:c>
      <x:c r="P110" s="213" t="str">
        <x:v>Archive-sourced; calendar/range/uniqueness validated</x:v>
      </x:c>
      <x:c r="Q110" s="54" t="str"/>
    </x:row>
    <x:row r="111">
      <x:c r="A111" s="74" t="n">
        <x:v>108</x:v>
      </x:c>
      <x:c r="B111" s="217" t="n">
        <x:v>41740</x:v>
      </x:c>
      <x:c r="C111" s="75" t="n">
        <x:v>1</x:v>
      </x:c>
      <x:c r="D111" s="75" t="n">
        <x:v>7</x:v>
      </x:c>
      <x:c r="E111" s="75" t="n">
        <x:v>14</x:v>
      </x:c>
      <x:c r="F111" s="75" t="n">
        <x:v>22</x:v>
      </x:c>
      <x:c r="G111" s="75" t="n">
        <x:v>44</x:v>
      </x:c>
      <x:c r="H111" s="75" t="n">
        <x:v>1</x:v>
      </x:c>
      <x:c r="I111" s="75" t="n">
        <x:v>2</x:v>
      </x:c>
      <x:c r="J111" s="75" t="n">
        <x:v>50</x:v>
      </x:c>
      <x:c r="K111" s="75" t="n">
        <x:v>8</x:v>
      </x:c>
      <x:c r="L111" s="75" t="str">
        <x:v>R1_5of50_2of8</x:v>
      </x:c>
      <x:c r="M111" s="213" t="str">
        <x:v>S1_pre_2024_studio_change_sensitivity_only</x:v>
      </x:c>
      <x:c r="N111" s="213" t="str">
        <x:v>Friday</x:v>
      </x:c>
      <x:c r="O111" s="213" t="str">
        <x:v>LottoMetrics full-history export</x:v>
      </x:c>
      <x:c r="P111" s="213" t="str">
        <x:v>Archive-sourced; calendar/range/uniqueness validated</x:v>
      </x:c>
      <x:c r="Q111" s="54" t="str"/>
    </x:row>
    <x:row r="112">
      <x:c r="A112" s="74" t="n">
        <x:v>109</x:v>
      </x:c>
      <x:c r="B112" s="217" t="n">
        <x:v>41747</x:v>
      </x:c>
      <x:c r="C112" s="75" t="n">
        <x:v>12</x:v>
      </x:c>
      <x:c r="D112" s="75" t="n">
        <x:v>32</x:v>
      </x:c>
      <x:c r="E112" s="75" t="n">
        <x:v>40</x:v>
      </x:c>
      <x:c r="F112" s="75" t="n">
        <x:v>44</x:v>
      </x:c>
      <x:c r="G112" s="75" t="n">
        <x:v>49</x:v>
      </x:c>
      <x:c r="H112" s="75" t="n">
        <x:v>2</x:v>
      </x:c>
      <x:c r="I112" s="75" t="n">
        <x:v>3</x:v>
      </x:c>
      <x:c r="J112" s="75" t="n">
        <x:v>50</x:v>
      </x:c>
      <x:c r="K112" s="75" t="n">
        <x:v>8</x:v>
      </x:c>
      <x:c r="L112" s="75" t="str">
        <x:v>R1_5of50_2of8</x:v>
      </x:c>
      <x:c r="M112" s="213" t="str">
        <x:v>S1_pre_2024_studio_change_sensitivity_only</x:v>
      </x:c>
      <x:c r="N112" s="213" t="str">
        <x:v>Friday</x:v>
      </x:c>
      <x:c r="O112" s="213" t="str">
        <x:v>LottoMetrics full-history export</x:v>
      </x:c>
      <x:c r="P112" s="213" t="str">
        <x:v>Archive-sourced; calendar/range/uniqueness validated</x:v>
      </x:c>
      <x:c r="Q112" s="54" t="str"/>
    </x:row>
    <x:row r="113">
      <x:c r="A113" s="74" t="n">
        <x:v>110</x:v>
      </x:c>
      <x:c r="B113" s="217" t="n">
        <x:v>41754</x:v>
      </x:c>
      <x:c r="C113" s="75" t="n">
        <x:v>4</x:v>
      </x:c>
      <x:c r="D113" s="75" t="n">
        <x:v>7</x:v>
      </x:c>
      <x:c r="E113" s="75" t="n">
        <x:v>10</x:v>
      </x:c>
      <x:c r="F113" s="75" t="n">
        <x:v>39</x:v>
      </x:c>
      <x:c r="G113" s="75" t="n">
        <x:v>48</x:v>
      </x:c>
      <x:c r="H113" s="75" t="n">
        <x:v>3</x:v>
      </x:c>
      <x:c r="I113" s="75" t="n">
        <x:v>4</x:v>
      </x:c>
      <x:c r="J113" s="75" t="n">
        <x:v>50</x:v>
      </x:c>
      <x:c r="K113" s="75" t="n">
        <x:v>8</x:v>
      </x:c>
      <x:c r="L113" s="75" t="str">
        <x:v>R1_5of50_2of8</x:v>
      </x:c>
      <x:c r="M113" s="213" t="str">
        <x:v>S1_pre_2024_studio_change_sensitivity_only</x:v>
      </x:c>
      <x:c r="N113" s="213" t="str">
        <x:v>Friday</x:v>
      </x:c>
      <x:c r="O113" s="213" t="str">
        <x:v>LottoMetrics full-history export</x:v>
      </x:c>
      <x:c r="P113" s="213" t="str">
        <x:v>Archive-sourced; calendar/range/uniqueness validated</x:v>
      </x:c>
      <x:c r="Q113" s="54" t="str"/>
    </x:row>
    <x:row r="114">
      <x:c r="A114" s="74" t="n">
        <x:v>111</x:v>
      </x:c>
      <x:c r="B114" s="217" t="n">
        <x:v>41761</x:v>
      </x:c>
      <x:c r="C114" s="75" t="n">
        <x:v>9</x:v>
      </x:c>
      <x:c r="D114" s="75" t="n">
        <x:v>31</x:v>
      </x:c>
      <x:c r="E114" s="75" t="n">
        <x:v>32</x:v>
      </x:c>
      <x:c r="F114" s="75" t="n">
        <x:v>33</x:v>
      </x:c>
      <x:c r="G114" s="75" t="n">
        <x:v>34</x:v>
      </x:c>
      <x:c r="H114" s="75" t="n">
        <x:v>6</x:v>
      </x:c>
      <x:c r="I114" s="75" t="n">
        <x:v>8</x:v>
      </x:c>
      <x:c r="J114" s="75" t="n">
        <x:v>50</x:v>
      </x:c>
      <x:c r="K114" s="75" t="n">
        <x:v>8</x:v>
      </x:c>
      <x:c r="L114" s="75" t="str">
        <x:v>R1_5of50_2of8</x:v>
      </x:c>
      <x:c r="M114" s="213" t="str">
        <x:v>S1_pre_2024_studio_change_sensitivity_only</x:v>
      </x:c>
      <x:c r="N114" s="213" t="str">
        <x:v>Friday</x:v>
      </x:c>
      <x:c r="O114" s="213" t="str">
        <x:v>LottoMetrics full-history export</x:v>
      </x:c>
      <x:c r="P114" s="213" t="str">
        <x:v>Archive-sourced; calendar/range/uniqueness validated</x:v>
      </x:c>
      <x:c r="Q114" s="54" t="str"/>
    </x:row>
    <x:row r="115">
      <x:c r="A115" s="74" t="n">
        <x:v>112</x:v>
      </x:c>
      <x:c r="B115" s="217" t="n">
        <x:v>41768</x:v>
      </x:c>
      <x:c r="C115" s="75" t="n">
        <x:v>1</x:v>
      </x:c>
      <x:c r="D115" s="75" t="n">
        <x:v>11</x:v>
      </x:c>
      <x:c r="E115" s="75" t="n">
        <x:v>14</x:v>
      </x:c>
      <x:c r="F115" s="75" t="n">
        <x:v>22</x:v>
      </x:c>
      <x:c r="G115" s="75" t="n">
        <x:v>43</x:v>
      </x:c>
      <x:c r="H115" s="75" t="n">
        <x:v>3</x:v>
      </x:c>
      <x:c r="I115" s="75" t="n">
        <x:v>4</x:v>
      </x:c>
      <x:c r="J115" s="75" t="n">
        <x:v>50</x:v>
      </x:c>
      <x:c r="K115" s="75" t="n">
        <x:v>8</x:v>
      </x:c>
      <x:c r="L115" s="75" t="str">
        <x:v>R1_5of50_2of8</x:v>
      </x:c>
      <x:c r="M115" s="213" t="str">
        <x:v>S1_pre_2024_studio_change_sensitivity_only</x:v>
      </x:c>
      <x:c r="N115" s="213" t="str">
        <x:v>Friday</x:v>
      </x:c>
      <x:c r="O115" s="213" t="str">
        <x:v>LottoMetrics full-history export</x:v>
      </x:c>
      <x:c r="P115" s="213" t="str">
        <x:v>Archive-sourced; calendar/range/uniqueness validated</x:v>
      </x:c>
      <x:c r="Q115" s="54" t="str"/>
    </x:row>
    <x:row r="116">
      <x:c r="A116" s="74" t="n">
        <x:v>113</x:v>
      </x:c>
      <x:c r="B116" s="217" t="n">
        <x:v>41775</x:v>
      </x:c>
      <x:c r="C116" s="75" t="n">
        <x:v>9</x:v>
      </x:c>
      <x:c r="D116" s="75" t="n">
        <x:v>28</x:v>
      </x:c>
      <x:c r="E116" s="75" t="n">
        <x:v>36</x:v>
      </x:c>
      <x:c r="F116" s="75" t="n">
        <x:v>42</x:v>
      </x:c>
      <x:c r="G116" s="75" t="n">
        <x:v>43</x:v>
      </x:c>
      <x:c r="H116" s="75" t="n">
        <x:v>2</x:v>
      </x:c>
      <x:c r="I116" s="75" t="n">
        <x:v>8</x:v>
      </x:c>
      <x:c r="J116" s="75" t="n">
        <x:v>50</x:v>
      </x:c>
      <x:c r="K116" s="75" t="n">
        <x:v>8</x:v>
      </x:c>
      <x:c r="L116" s="75" t="str">
        <x:v>R1_5of50_2of8</x:v>
      </x:c>
      <x:c r="M116" s="213" t="str">
        <x:v>S1_pre_2024_studio_change_sensitivity_only</x:v>
      </x:c>
      <x:c r="N116" s="213" t="str">
        <x:v>Friday</x:v>
      </x:c>
      <x:c r="O116" s="213" t="str">
        <x:v>LottoMetrics full-history export</x:v>
      </x:c>
      <x:c r="P116" s="213" t="str">
        <x:v>Archive-sourced; calendar/range/uniqueness validated</x:v>
      </x:c>
      <x:c r="Q116" s="54" t="str"/>
    </x:row>
    <x:row r="117">
      <x:c r="A117" s="74" t="n">
        <x:v>114</x:v>
      </x:c>
      <x:c r="B117" s="217" t="n">
        <x:v>41782</x:v>
      </x:c>
      <x:c r="C117" s="75" t="n">
        <x:v>6</x:v>
      </x:c>
      <x:c r="D117" s="75" t="n">
        <x:v>21</x:v>
      </x:c>
      <x:c r="E117" s="75" t="n">
        <x:v>33</x:v>
      </x:c>
      <x:c r="F117" s="75" t="n">
        <x:v>37</x:v>
      </x:c>
      <x:c r="G117" s="75" t="n">
        <x:v>47</x:v>
      </x:c>
      <x:c r="H117" s="75" t="n">
        <x:v>7</x:v>
      </x:c>
      <x:c r="I117" s="75" t="n">
        <x:v>8</x:v>
      </x:c>
      <x:c r="J117" s="75" t="n">
        <x:v>50</x:v>
      </x:c>
      <x:c r="K117" s="75" t="n">
        <x:v>8</x:v>
      </x:c>
      <x:c r="L117" s="75" t="str">
        <x:v>R1_5of50_2of8</x:v>
      </x:c>
      <x:c r="M117" s="213" t="str">
        <x:v>S1_pre_2024_studio_change_sensitivity_only</x:v>
      </x:c>
      <x:c r="N117" s="213" t="str">
        <x:v>Friday</x:v>
      </x:c>
      <x:c r="O117" s="213" t="str">
        <x:v>LottoMetrics full-history export</x:v>
      </x:c>
      <x:c r="P117" s="213" t="str">
        <x:v>Archive-sourced; calendar/range/uniqueness validated</x:v>
      </x:c>
      <x:c r="Q117" s="54" t="str"/>
    </x:row>
    <x:row r="118">
      <x:c r="A118" s="74" t="n">
        <x:v>115</x:v>
      </x:c>
      <x:c r="B118" s="217" t="n">
        <x:v>41789</x:v>
      </x:c>
      <x:c r="C118" s="75" t="n">
        <x:v>7</x:v>
      </x:c>
      <x:c r="D118" s="75" t="n">
        <x:v>17</x:v>
      </x:c>
      <x:c r="E118" s="75" t="n">
        <x:v>25</x:v>
      </x:c>
      <x:c r="F118" s="75" t="n">
        <x:v>26</x:v>
      </x:c>
      <x:c r="G118" s="75" t="n">
        <x:v>35</x:v>
      </x:c>
      <x:c r="H118" s="75" t="n">
        <x:v>4</x:v>
      </x:c>
      <x:c r="I118" s="75" t="n">
        <x:v>7</x:v>
      </x:c>
      <x:c r="J118" s="75" t="n">
        <x:v>50</x:v>
      </x:c>
      <x:c r="K118" s="75" t="n">
        <x:v>8</x:v>
      </x:c>
      <x:c r="L118" s="75" t="str">
        <x:v>R1_5of50_2of8</x:v>
      </x:c>
      <x:c r="M118" s="213" t="str">
        <x:v>S1_pre_2024_studio_change_sensitivity_only</x:v>
      </x:c>
      <x:c r="N118" s="213" t="str">
        <x:v>Friday</x:v>
      </x:c>
      <x:c r="O118" s="213" t="str">
        <x:v>LottoMetrics full-history export</x:v>
      </x:c>
      <x:c r="P118" s="213" t="str">
        <x:v>Archive-sourced; calendar/range/uniqueness validated</x:v>
      </x:c>
      <x:c r="Q118" s="54" t="str"/>
    </x:row>
    <x:row r="119">
      <x:c r="A119" s="74" t="n">
        <x:v>116</x:v>
      </x:c>
      <x:c r="B119" s="217" t="n">
        <x:v>41796</x:v>
      </x:c>
      <x:c r="C119" s="75" t="n">
        <x:v>6</x:v>
      </x:c>
      <x:c r="D119" s="75" t="n">
        <x:v>9</x:v>
      </x:c>
      <x:c r="E119" s="75" t="n">
        <x:v>19</x:v>
      </x:c>
      <x:c r="F119" s="75" t="n">
        <x:v>37</x:v>
      </x:c>
      <x:c r="G119" s="75" t="n">
        <x:v>38</x:v>
      </x:c>
      <x:c r="H119" s="75" t="n">
        <x:v>4</x:v>
      </x:c>
      <x:c r="I119" s="75" t="n">
        <x:v>8</x:v>
      </x:c>
      <x:c r="J119" s="75" t="n">
        <x:v>50</x:v>
      </x:c>
      <x:c r="K119" s="75" t="n">
        <x:v>8</x:v>
      </x:c>
      <x:c r="L119" s="75" t="str">
        <x:v>R1_5of50_2of8</x:v>
      </x:c>
      <x:c r="M119" s="213" t="str">
        <x:v>S1_pre_2024_studio_change_sensitivity_only</x:v>
      </x:c>
      <x:c r="N119" s="213" t="str">
        <x:v>Friday</x:v>
      </x:c>
      <x:c r="O119" s="213" t="str">
        <x:v>LottoMetrics full-history export</x:v>
      </x:c>
      <x:c r="P119" s="213" t="str">
        <x:v>Archive-sourced; calendar/range/uniqueness validated</x:v>
      </x:c>
      <x:c r="Q119" s="54" t="str"/>
    </x:row>
    <x:row r="120">
      <x:c r="A120" s="74" t="n">
        <x:v>117</x:v>
      </x:c>
      <x:c r="B120" s="217" t="n">
        <x:v>41803</x:v>
      </x:c>
      <x:c r="C120" s="75" t="n">
        <x:v>1</x:v>
      </x:c>
      <x:c r="D120" s="75" t="n">
        <x:v>8</x:v>
      </x:c>
      <x:c r="E120" s="75" t="n">
        <x:v>15</x:v>
      </x:c>
      <x:c r="F120" s="75" t="n">
        <x:v>18</x:v>
      </x:c>
      <x:c r="G120" s="75" t="n">
        <x:v>39</x:v>
      </x:c>
      <x:c r="H120" s="75" t="n">
        <x:v>1</x:v>
      </x:c>
      <x:c r="I120" s="75" t="n">
        <x:v>6</x:v>
      </x:c>
      <x:c r="J120" s="75" t="n">
        <x:v>50</x:v>
      </x:c>
      <x:c r="K120" s="75" t="n">
        <x:v>8</x:v>
      </x:c>
      <x:c r="L120" s="75" t="str">
        <x:v>R1_5of50_2of8</x:v>
      </x:c>
      <x:c r="M120" s="213" t="str">
        <x:v>S1_pre_2024_studio_change_sensitivity_only</x:v>
      </x:c>
      <x:c r="N120" s="213" t="str">
        <x:v>Friday</x:v>
      </x:c>
      <x:c r="O120" s="213" t="str">
        <x:v>LottoMetrics full-history export</x:v>
      </x:c>
      <x:c r="P120" s="213" t="str">
        <x:v>Archive-sourced; calendar/range/uniqueness validated</x:v>
      </x:c>
      <x:c r="Q120" s="54" t="str"/>
    </x:row>
    <x:row r="121">
      <x:c r="A121" s="74" t="n">
        <x:v>118</x:v>
      </x:c>
      <x:c r="B121" s="217" t="n">
        <x:v>41810</x:v>
      </x:c>
      <x:c r="C121" s="75" t="n">
        <x:v>6</x:v>
      </x:c>
      <x:c r="D121" s="75" t="n">
        <x:v>10</x:v>
      </x:c>
      <x:c r="E121" s="75" t="n">
        <x:v>23</x:v>
      </x:c>
      <x:c r="F121" s="75" t="n">
        <x:v>33</x:v>
      </x:c>
      <x:c r="G121" s="75" t="n">
        <x:v>41</x:v>
      </x:c>
      <x:c r="H121" s="75" t="n">
        <x:v>6</x:v>
      </x:c>
      <x:c r="I121" s="75" t="n">
        <x:v>8</x:v>
      </x:c>
      <x:c r="J121" s="75" t="n">
        <x:v>50</x:v>
      </x:c>
      <x:c r="K121" s="75" t="n">
        <x:v>8</x:v>
      </x:c>
      <x:c r="L121" s="75" t="str">
        <x:v>R1_5of50_2of8</x:v>
      </x:c>
      <x:c r="M121" s="213" t="str">
        <x:v>S1_pre_2024_studio_change_sensitivity_only</x:v>
      </x:c>
      <x:c r="N121" s="213" t="str">
        <x:v>Friday</x:v>
      </x:c>
      <x:c r="O121" s="213" t="str">
        <x:v>LottoMetrics full-history export</x:v>
      </x:c>
      <x:c r="P121" s="213" t="str">
        <x:v>Archive-sourced; calendar/range/uniqueness validated</x:v>
      </x:c>
      <x:c r="Q121" s="54" t="str"/>
    </x:row>
    <x:row r="122">
      <x:c r="A122" s="74" t="n">
        <x:v>119</x:v>
      </x:c>
      <x:c r="B122" s="217" t="n">
        <x:v>41817</x:v>
      </x:c>
      <x:c r="C122" s="75" t="n">
        <x:v>11</x:v>
      </x:c>
      <x:c r="D122" s="75" t="n">
        <x:v>33</x:v>
      </x:c>
      <x:c r="E122" s="75" t="n">
        <x:v>35</x:v>
      </x:c>
      <x:c r="F122" s="75" t="n">
        <x:v>42</x:v>
      </x:c>
      <x:c r="G122" s="75" t="n">
        <x:v>44</x:v>
      </x:c>
      <x:c r="H122" s="75" t="n">
        <x:v>4</x:v>
      </x:c>
      <x:c r="I122" s="75" t="n">
        <x:v>6</x:v>
      </x:c>
      <x:c r="J122" s="75" t="n">
        <x:v>50</x:v>
      </x:c>
      <x:c r="K122" s="75" t="n">
        <x:v>8</x:v>
      </x:c>
      <x:c r="L122" s="75" t="str">
        <x:v>R1_5of50_2of8</x:v>
      </x:c>
      <x:c r="M122" s="213" t="str">
        <x:v>S1_pre_2024_studio_change_sensitivity_only</x:v>
      </x:c>
      <x:c r="N122" s="213" t="str">
        <x:v>Friday</x:v>
      </x:c>
      <x:c r="O122" s="213" t="str">
        <x:v>LottoMetrics full-history export</x:v>
      </x:c>
      <x:c r="P122" s="213" t="str">
        <x:v>Archive-sourced; calendar/range/uniqueness validated</x:v>
      </x:c>
      <x:c r="Q122" s="54" t="str"/>
    </x:row>
    <x:row r="123">
      <x:c r="A123" s="74" t="n">
        <x:v>120</x:v>
      </x:c>
      <x:c r="B123" s="217" t="n">
        <x:v>41824</x:v>
      </x:c>
      <x:c r="C123" s="75" t="n">
        <x:v>3</x:v>
      </x:c>
      <x:c r="D123" s="75" t="n">
        <x:v>10</x:v>
      </x:c>
      <x:c r="E123" s="75" t="n">
        <x:v>11</x:v>
      </x:c>
      <x:c r="F123" s="75" t="n">
        <x:v>13</x:v>
      </x:c>
      <x:c r="G123" s="75" t="n">
        <x:v>42</x:v>
      </x:c>
      <x:c r="H123" s="75" t="n">
        <x:v>1</x:v>
      </x:c>
      <x:c r="I123" s="75" t="n">
        <x:v>8</x:v>
      </x:c>
      <x:c r="J123" s="75" t="n">
        <x:v>50</x:v>
      </x:c>
      <x:c r="K123" s="75" t="n">
        <x:v>8</x:v>
      </x:c>
      <x:c r="L123" s="75" t="str">
        <x:v>R1_5of50_2of8</x:v>
      </x:c>
      <x:c r="M123" s="213" t="str">
        <x:v>S1_pre_2024_studio_change_sensitivity_only</x:v>
      </x:c>
      <x:c r="N123" s="213" t="str">
        <x:v>Friday</x:v>
      </x:c>
      <x:c r="O123" s="213" t="str">
        <x:v>LottoMetrics full-history export</x:v>
      </x:c>
      <x:c r="P123" s="213" t="str">
        <x:v>Archive-sourced; calendar/range/uniqueness validated</x:v>
      </x:c>
      <x:c r="Q123" s="54" t="str"/>
    </x:row>
    <x:row r="124">
      <x:c r="A124" s="74" t="n">
        <x:v>121</x:v>
      </x:c>
      <x:c r="B124" s="217" t="n">
        <x:v>41831</x:v>
      </x:c>
      <x:c r="C124" s="75" t="n">
        <x:v>3</x:v>
      </x:c>
      <x:c r="D124" s="75" t="n">
        <x:v>10</x:v>
      </x:c>
      <x:c r="E124" s="75" t="n">
        <x:v>16</x:v>
      </x:c>
      <x:c r="F124" s="75" t="n">
        <x:v>35</x:v>
      </x:c>
      <x:c r="G124" s="75" t="n">
        <x:v>45</x:v>
      </x:c>
      <x:c r="H124" s="75" t="n">
        <x:v>4</x:v>
      </x:c>
      <x:c r="I124" s="75" t="n">
        <x:v>6</x:v>
      </x:c>
      <x:c r="J124" s="75" t="n">
        <x:v>50</x:v>
      </x:c>
      <x:c r="K124" s="75" t="n">
        <x:v>8</x:v>
      </x:c>
      <x:c r="L124" s="75" t="str">
        <x:v>R1_5of50_2of8</x:v>
      </x:c>
      <x:c r="M124" s="213" t="str">
        <x:v>S1_pre_2024_studio_change_sensitivity_only</x:v>
      </x:c>
      <x:c r="N124" s="213" t="str">
        <x:v>Friday</x:v>
      </x:c>
      <x:c r="O124" s="213" t="str">
        <x:v>LottoMetrics full-history export</x:v>
      </x:c>
      <x:c r="P124" s="213" t="str">
        <x:v>Archive-sourced; calendar/range/uniqueness validated</x:v>
      </x:c>
      <x:c r="Q124" s="54" t="str"/>
    </x:row>
    <x:row r="125">
      <x:c r="A125" s="74" t="n">
        <x:v>122</x:v>
      </x:c>
      <x:c r="B125" s="217" t="n">
        <x:v>41838</x:v>
      </x:c>
      <x:c r="C125" s="75" t="n">
        <x:v>6</x:v>
      </x:c>
      <x:c r="D125" s="75" t="n">
        <x:v>11</x:v>
      </x:c>
      <x:c r="E125" s="75" t="n">
        <x:v>15</x:v>
      </x:c>
      <x:c r="F125" s="75" t="n">
        <x:v>18</x:v>
      </x:c>
      <x:c r="G125" s="75" t="n">
        <x:v>45</x:v>
      </x:c>
      <x:c r="H125" s="75" t="n">
        <x:v>5</x:v>
      </x:c>
      <x:c r="I125" s="75" t="n">
        <x:v>8</x:v>
      </x:c>
      <x:c r="J125" s="75" t="n">
        <x:v>50</x:v>
      </x:c>
      <x:c r="K125" s="75" t="n">
        <x:v>8</x:v>
      </x:c>
      <x:c r="L125" s="75" t="str">
        <x:v>R1_5of50_2of8</x:v>
      </x:c>
      <x:c r="M125" s="213" t="str">
        <x:v>S1_pre_2024_studio_change_sensitivity_only</x:v>
      </x:c>
      <x:c r="N125" s="213" t="str">
        <x:v>Friday</x:v>
      </x:c>
      <x:c r="O125" s="213" t="str">
        <x:v>LottoMetrics full-history export</x:v>
      </x:c>
      <x:c r="P125" s="213" t="str">
        <x:v>Archive-sourced; calendar/range/uniqueness validated</x:v>
      </x:c>
      <x:c r="Q125" s="54" t="str"/>
    </x:row>
    <x:row r="126">
      <x:c r="A126" s="74" t="n">
        <x:v>123</x:v>
      </x:c>
      <x:c r="B126" s="217" t="n">
        <x:v>41845</x:v>
      </x:c>
      <x:c r="C126" s="75" t="n">
        <x:v>3</x:v>
      </x:c>
      <x:c r="D126" s="75" t="n">
        <x:v>10</x:v>
      </x:c>
      <x:c r="E126" s="75" t="n">
        <x:v>36</x:v>
      </x:c>
      <x:c r="F126" s="75" t="n">
        <x:v>43</x:v>
      </x:c>
      <x:c r="G126" s="75" t="n">
        <x:v>47</x:v>
      </x:c>
      <x:c r="H126" s="75" t="n">
        <x:v>2</x:v>
      </x:c>
      <x:c r="I126" s="75" t="n">
        <x:v>5</x:v>
      </x:c>
      <x:c r="J126" s="75" t="n">
        <x:v>50</x:v>
      </x:c>
      <x:c r="K126" s="75" t="n">
        <x:v>8</x:v>
      </x:c>
      <x:c r="L126" s="75" t="str">
        <x:v>R1_5of50_2of8</x:v>
      </x:c>
      <x:c r="M126" s="213" t="str">
        <x:v>S1_pre_2024_studio_change_sensitivity_only</x:v>
      </x:c>
      <x:c r="N126" s="213" t="str">
        <x:v>Friday</x:v>
      </x:c>
      <x:c r="O126" s="213" t="str">
        <x:v>LottoMetrics full-history export</x:v>
      </x:c>
      <x:c r="P126" s="213" t="str">
        <x:v>Archive-sourced; calendar/range/uniqueness validated</x:v>
      </x:c>
      <x:c r="Q126" s="54" t="str"/>
    </x:row>
    <x:row r="127">
      <x:c r="A127" s="74" t="n">
        <x:v>124</x:v>
      </x:c>
      <x:c r="B127" s="217" t="n">
        <x:v>41852</x:v>
      </x:c>
      <x:c r="C127" s="75" t="n">
        <x:v>5</x:v>
      </x:c>
      <x:c r="D127" s="75" t="n">
        <x:v>18</x:v>
      </x:c>
      <x:c r="E127" s="75" t="n">
        <x:v>33</x:v>
      </x:c>
      <x:c r="F127" s="75" t="n">
        <x:v>38</x:v>
      </x:c>
      <x:c r="G127" s="75" t="n">
        <x:v>47</x:v>
      </x:c>
      <x:c r="H127" s="75" t="n">
        <x:v>3</x:v>
      </x:c>
      <x:c r="I127" s="75" t="n">
        <x:v>6</x:v>
      </x:c>
      <x:c r="J127" s="75" t="n">
        <x:v>50</x:v>
      </x:c>
      <x:c r="K127" s="75" t="n">
        <x:v>8</x:v>
      </x:c>
      <x:c r="L127" s="75" t="str">
        <x:v>R1_5of50_2of8</x:v>
      </x:c>
      <x:c r="M127" s="213" t="str">
        <x:v>S1_pre_2024_studio_change_sensitivity_only</x:v>
      </x:c>
      <x:c r="N127" s="213" t="str">
        <x:v>Friday</x:v>
      </x:c>
      <x:c r="O127" s="213" t="str">
        <x:v>LottoMetrics full-history export</x:v>
      </x:c>
      <x:c r="P127" s="213" t="str">
        <x:v>Archive-sourced; calendar/range/uniqueness validated</x:v>
      </x:c>
      <x:c r="Q127" s="54" t="str"/>
    </x:row>
    <x:row r="128">
      <x:c r="A128" s="74" t="n">
        <x:v>125</x:v>
      </x:c>
      <x:c r="B128" s="217" t="n">
        <x:v>41859</x:v>
      </x:c>
      <x:c r="C128" s="75" t="n">
        <x:v>15</x:v>
      </x:c>
      <x:c r="D128" s="75" t="n">
        <x:v>19</x:v>
      </x:c>
      <x:c r="E128" s="75" t="n">
        <x:v>21</x:v>
      </x:c>
      <x:c r="F128" s="75" t="n">
        <x:v>34</x:v>
      </x:c>
      <x:c r="G128" s="75" t="n">
        <x:v>40</x:v>
      </x:c>
      <x:c r="H128" s="75" t="n">
        <x:v>3</x:v>
      </x:c>
      <x:c r="I128" s="75" t="n">
        <x:v>4</x:v>
      </x:c>
      <x:c r="J128" s="75" t="n">
        <x:v>50</x:v>
      </x:c>
      <x:c r="K128" s="75" t="n">
        <x:v>8</x:v>
      </x:c>
      <x:c r="L128" s="75" t="str">
        <x:v>R1_5of50_2of8</x:v>
      </x:c>
      <x:c r="M128" s="213" t="str">
        <x:v>S1_pre_2024_studio_change_sensitivity_only</x:v>
      </x:c>
      <x:c r="N128" s="213" t="str">
        <x:v>Friday</x:v>
      </x:c>
      <x:c r="O128" s="213" t="str">
        <x:v>LottoMetrics full-history export</x:v>
      </x:c>
      <x:c r="P128" s="213" t="str">
        <x:v>Archive-sourced; calendar/range/uniqueness validated</x:v>
      </x:c>
      <x:c r="Q128" s="54" t="str"/>
    </x:row>
    <x:row r="129">
      <x:c r="A129" s="74" t="n">
        <x:v>126</x:v>
      </x:c>
      <x:c r="B129" s="217" t="n">
        <x:v>41866</x:v>
      </x:c>
      <x:c r="C129" s="75" t="n">
        <x:v>17</x:v>
      </x:c>
      <x:c r="D129" s="75" t="n">
        <x:v>38</x:v>
      </x:c>
      <x:c r="E129" s="75" t="n">
        <x:v>41</x:v>
      </x:c>
      <x:c r="F129" s="75" t="n">
        <x:v>43</x:v>
      </x:c>
      <x:c r="G129" s="75" t="n">
        <x:v>47</x:v>
      </x:c>
      <x:c r="H129" s="75" t="n">
        <x:v>4</x:v>
      </x:c>
      <x:c r="I129" s="75" t="n">
        <x:v>6</x:v>
      </x:c>
      <x:c r="J129" s="75" t="n">
        <x:v>50</x:v>
      </x:c>
      <x:c r="K129" s="75" t="n">
        <x:v>8</x:v>
      </x:c>
      <x:c r="L129" s="75" t="str">
        <x:v>R1_5of50_2of8</x:v>
      </x:c>
      <x:c r="M129" s="213" t="str">
        <x:v>S1_pre_2024_studio_change_sensitivity_only</x:v>
      </x:c>
      <x:c r="N129" s="213" t="str">
        <x:v>Friday</x:v>
      </x:c>
      <x:c r="O129" s="213" t="str">
        <x:v>LottoMetrics full-history export</x:v>
      </x:c>
      <x:c r="P129" s="213" t="str">
        <x:v>Archive-sourced; calendar/range/uniqueness validated</x:v>
      </x:c>
      <x:c r="Q129" s="54" t="str"/>
    </x:row>
    <x:row r="130">
      <x:c r="A130" s="74" t="n">
        <x:v>127</x:v>
      </x:c>
      <x:c r="B130" s="217" t="n">
        <x:v>41873</x:v>
      </x:c>
      <x:c r="C130" s="75" t="n">
        <x:v>19</x:v>
      </x:c>
      <x:c r="D130" s="75" t="n">
        <x:v>20</x:v>
      </x:c>
      <x:c r="E130" s="75" t="n">
        <x:v>40</x:v>
      </x:c>
      <x:c r="F130" s="75" t="n">
        <x:v>42</x:v>
      </x:c>
      <x:c r="G130" s="75" t="n">
        <x:v>47</x:v>
      </x:c>
      <x:c r="H130" s="75" t="n">
        <x:v>2</x:v>
      </x:c>
      <x:c r="I130" s="75" t="n">
        <x:v>8</x:v>
      </x:c>
      <x:c r="J130" s="75" t="n">
        <x:v>50</x:v>
      </x:c>
      <x:c r="K130" s="75" t="n">
        <x:v>8</x:v>
      </x:c>
      <x:c r="L130" s="75" t="str">
        <x:v>R1_5of50_2of8</x:v>
      </x:c>
      <x:c r="M130" s="213" t="str">
        <x:v>S1_pre_2024_studio_change_sensitivity_only</x:v>
      </x:c>
      <x:c r="N130" s="213" t="str">
        <x:v>Friday</x:v>
      </x:c>
      <x:c r="O130" s="213" t="str">
        <x:v>LottoMetrics full-history export</x:v>
      </x:c>
      <x:c r="P130" s="213" t="str">
        <x:v>Archive-sourced; calendar/range/uniqueness validated</x:v>
      </x:c>
      <x:c r="Q130" s="54" t="str"/>
    </x:row>
    <x:row r="131">
      <x:c r="A131" s="74" t="n">
        <x:v>128</x:v>
      </x:c>
      <x:c r="B131" s="217" t="n">
        <x:v>41880</x:v>
      </x:c>
      <x:c r="C131" s="75" t="n">
        <x:v>1</x:v>
      </x:c>
      <x:c r="D131" s="75" t="n">
        <x:v>8</x:v>
      </x:c>
      <x:c r="E131" s="75" t="n">
        <x:v>9</x:v>
      </x:c>
      <x:c r="F131" s="75" t="n">
        <x:v>12</x:v>
      </x:c>
      <x:c r="G131" s="75" t="n">
        <x:v>37</x:v>
      </x:c>
      <x:c r="H131" s="75" t="n">
        <x:v>2</x:v>
      </x:c>
      <x:c r="I131" s="75" t="n">
        <x:v>6</x:v>
      </x:c>
      <x:c r="J131" s="75" t="n">
        <x:v>50</x:v>
      </x:c>
      <x:c r="K131" s="75" t="n">
        <x:v>8</x:v>
      </x:c>
      <x:c r="L131" s="75" t="str">
        <x:v>R1_5of50_2of8</x:v>
      </x:c>
      <x:c r="M131" s="213" t="str">
        <x:v>S1_pre_2024_studio_change_sensitivity_only</x:v>
      </x:c>
      <x:c r="N131" s="213" t="str">
        <x:v>Friday</x:v>
      </x:c>
      <x:c r="O131" s="213" t="str">
        <x:v>LottoMetrics full-history export</x:v>
      </x:c>
      <x:c r="P131" s="213" t="str">
        <x:v>Archive-sourced; calendar/range/uniqueness validated</x:v>
      </x:c>
      <x:c r="Q131" s="54" t="str"/>
    </x:row>
    <x:row r="132">
      <x:c r="A132" s="74" t="n">
        <x:v>129</x:v>
      </x:c>
      <x:c r="B132" s="217" t="n">
        <x:v>41887</x:v>
      </x:c>
      <x:c r="C132" s="75" t="n">
        <x:v>26</x:v>
      </x:c>
      <x:c r="D132" s="75" t="n">
        <x:v>31</x:v>
      </x:c>
      <x:c r="E132" s="75" t="n">
        <x:v>33</x:v>
      </x:c>
      <x:c r="F132" s="75" t="n">
        <x:v>39</x:v>
      </x:c>
      <x:c r="G132" s="75" t="n">
        <x:v>40</x:v>
      </x:c>
      <x:c r="H132" s="75" t="n">
        <x:v>5</x:v>
      </x:c>
      <x:c r="I132" s="75" t="n">
        <x:v>6</x:v>
      </x:c>
      <x:c r="J132" s="75" t="n">
        <x:v>50</x:v>
      </x:c>
      <x:c r="K132" s="75" t="n">
        <x:v>8</x:v>
      </x:c>
      <x:c r="L132" s="75" t="str">
        <x:v>R1_5of50_2of8</x:v>
      </x:c>
      <x:c r="M132" s="213" t="str">
        <x:v>S1_pre_2024_studio_change_sensitivity_only</x:v>
      </x:c>
      <x:c r="N132" s="213" t="str">
        <x:v>Friday</x:v>
      </x:c>
      <x:c r="O132" s="213" t="str">
        <x:v>LottoMetrics full-history export</x:v>
      </x:c>
      <x:c r="P132" s="213" t="str">
        <x:v>Archive-sourced; calendar/range/uniqueness validated</x:v>
      </x:c>
      <x:c r="Q132" s="54" t="str"/>
    </x:row>
    <x:row r="133">
      <x:c r="A133" s="74" t="n">
        <x:v>130</x:v>
      </x:c>
      <x:c r="B133" s="217" t="n">
        <x:v>41894</x:v>
      </x:c>
      <x:c r="C133" s="75" t="n">
        <x:v>2</x:v>
      </x:c>
      <x:c r="D133" s="75" t="n">
        <x:v>9</x:v>
      </x:c>
      <x:c r="E133" s="75" t="n">
        <x:v>17</x:v>
      </x:c>
      <x:c r="F133" s="75" t="n">
        <x:v>25</x:v>
      </x:c>
      <x:c r="G133" s="75" t="n">
        <x:v>29</x:v>
      </x:c>
      <x:c r="H133" s="75" t="n">
        <x:v>3</x:v>
      </x:c>
      <x:c r="I133" s="75" t="n">
        <x:v>5</x:v>
      </x:c>
      <x:c r="J133" s="75" t="n">
        <x:v>50</x:v>
      </x:c>
      <x:c r="K133" s="75" t="n">
        <x:v>8</x:v>
      </x:c>
      <x:c r="L133" s="75" t="str">
        <x:v>R1_5of50_2of8</x:v>
      </x:c>
      <x:c r="M133" s="213" t="str">
        <x:v>S1_pre_2024_studio_change_sensitivity_only</x:v>
      </x:c>
      <x:c r="N133" s="213" t="str">
        <x:v>Friday</x:v>
      </x:c>
      <x:c r="O133" s="213" t="str">
        <x:v>LottoMetrics full-history export</x:v>
      </x:c>
      <x:c r="P133" s="213" t="str">
        <x:v>Archive-sourced; calendar/range/uniqueness validated</x:v>
      </x:c>
      <x:c r="Q133" s="54" t="str"/>
    </x:row>
    <x:row r="134">
      <x:c r="A134" s="74" t="n">
        <x:v>131</x:v>
      </x:c>
      <x:c r="B134" s="217" t="n">
        <x:v>41901</x:v>
      </x:c>
      <x:c r="C134" s="75" t="n">
        <x:v>13</x:v>
      </x:c>
      <x:c r="D134" s="75" t="n">
        <x:v>18</x:v>
      </x:c>
      <x:c r="E134" s="75" t="n">
        <x:v>20</x:v>
      </x:c>
      <x:c r="F134" s="75" t="n">
        <x:v>38</x:v>
      </x:c>
      <x:c r="G134" s="75" t="n">
        <x:v>39</x:v>
      </x:c>
      <x:c r="H134" s="75" t="n">
        <x:v>1</x:v>
      </x:c>
      <x:c r="I134" s="75" t="n">
        <x:v>8</x:v>
      </x:c>
      <x:c r="J134" s="75" t="n">
        <x:v>50</x:v>
      </x:c>
      <x:c r="K134" s="75" t="n">
        <x:v>8</x:v>
      </x:c>
      <x:c r="L134" s="75" t="str">
        <x:v>R1_5of50_2of8</x:v>
      </x:c>
      <x:c r="M134" s="213" t="str">
        <x:v>S1_pre_2024_studio_change_sensitivity_only</x:v>
      </x:c>
      <x:c r="N134" s="213" t="str">
        <x:v>Friday</x:v>
      </x:c>
      <x:c r="O134" s="213" t="str">
        <x:v>LottoMetrics full-history export</x:v>
      </x:c>
      <x:c r="P134" s="213" t="str">
        <x:v>Archive-sourced; calendar/range/uniqueness validated</x:v>
      </x:c>
      <x:c r="Q134" s="54" t="str"/>
    </x:row>
    <x:row r="135">
      <x:c r="A135" s="74" t="n">
        <x:v>132</x:v>
      </x:c>
      <x:c r="B135" s="217" t="n">
        <x:v>41908</x:v>
      </x:c>
      <x:c r="C135" s="75" t="n">
        <x:v>8</x:v>
      </x:c>
      <x:c r="D135" s="75" t="n">
        <x:v>26</x:v>
      </x:c>
      <x:c r="E135" s="75" t="n">
        <x:v>32</x:v>
      </x:c>
      <x:c r="F135" s="75" t="n">
        <x:v>44</x:v>
      </x:c>
      <x:c r="G135" s="75" t="n">
        <x:v>50</x:v>
      </x:c>
      <x:c r="H135" s="75" t="n">
        <x:v>4</x:v>
      </x:c>
      <x:c r="I135" s="75" t="n">
        <x:v>7</x:v>
      </x:c>
      <x:c r="J135" s="75" t="n">
        <x:v>50</x:v>
      </x:c>
      <x:c r="K135" s="75" t="n">
        <x:v>8</x:v>
      </x:c>
      <x:c r="L135" s="75" t="str">
        <x:v>R1_5of50_2of8</x:v>
      </x:c>
      <x:c r="M135" s="213" t="str">
        <x:v>S1_pre_2024_studio_change_sensitivity_only</x:v>
      </x:c>
      <x:c r="N135" s="213" t="str">
        <x:v>Friday</x:v>
      </x:c>
      <x:c r="O135" s="213" t="str">
        <x:v>LottoMetrics full-history export</x:v>
      </x:c>
      <x:c r="P135" s="213" t="str">
        <x:v>Archive-sourced; calendar/range/uniqueness validated</x:v>
      </x:c>
      <x:c r="Q135" s="54" t="str"/>
    </x:row>
    <x:row r="136">
      <x:c r="A136" s="74" t="n">
        <x:v>133</x:v>
      </x:c>
      <x:c r="B136" s="217" t="n">
        <x:v>41915</x:v>
      </x:c>
      <x:c r="C136" s="75" t="n">
        <x:v>8</x:v>
      </x:c>
      <x:c r="D136" s="75" t="n">
        <x:v>15</x:v>
      </x:c>
      <x:c r="E136" s="75" t="n">
        <x:v>34</x:v>
      </x:c>
      <x:c r="F136" s="75" t="n">
        <x:v>44</x:v>
      </x:c>
      <x:c r="G136" s="75" t="n">
        <x:v>49</x:v>
      </x:c>
      <x:c r="H136" s="75" t="n">
        <x:v>4</x:v>
      </x:c>
      <x:c r="I136" s="75" t="n">
        <x:v>8</x:v>
      </x:c>
      <x:c r="J136" s="75" t="n">
        <x:v>50</x:v>
      </x:c>
      <x:c r="K136" s="75" t="n">
        <x:v>8</x:v>
      </x:c>
      <x:c r="L136" s="75" t="str">
        <x:v>R1_5of50_2of8</x:v>
      </x:c>
      <x:c r="M136" s="213" t="str">
        <x:v>S1_pre_2024_studio_change_sensitivity_only</x:v>
      </x:c>
      <x:c r="N136" s="213" t="str">
        <x:v>Friday</x:v>
      </x:c>
      <x:c r="O136" s="213" t="str">
        <x:v>LottoMetrics full-history export</x:v>
      </x:c>
      <x:c r="P136" s="213" t="str">
        <x:v>Archive-sourced; calendar/range/uniqueness validated</x:v>
      </x:c>
      <x:c r="Q136" s="54" t="str"/>
    </x:row>
    <x:row r="137">
      <x:c r="A137" s="74" t="n">
        <x:v>134</x:v>
      </x:c>
      <x:c r="B137" s="217" t="n">
        <x:v>41922</x:v>
      </x:c>
      <x:c r="C137" s="75" t="n">
        <x:v>11</x:v>
      </x:c>
      <x:c r="D137" s="75" t="n">
        <x:v>17</x:v>
      </x:c>
      <x:c r="E137" s="75" t="n">
        <x:v>20</x:v>
      </x:c>
      <x:c r="F137" s="75" t="n">
        <x:v>22</x:v>
      </x:c>
      <x:c r="G137" s="75" t="n">
        <x:v>29</x:v>
      </x:c>
      <x:c r="H137" s="75" t="n">
        <x:v>4</x:v>
      </x:c>
      <x:c r="I137" s="75" t="n">
        <x:v>6</x:v>
      </x:c>
      <x:c r="J137" s="75" t="n">
        <x:v>50</x:v>
      </x:c>
      <x:c r="K137" s="75" t="n">
        <x:v>10</x:v>
      </x:c>
      <x:c r="L137" s="75" t="str">
        <x:v>R2_5of50_2of10</x:v>
      </x:c>
      <x:c r="M137" s="213" t="str">
        <x:v>S1_pre_2024_studio_change_sensitivity_only</x:v>
      </x:c>
      <x:c r="N137" s="213" t="str">
        <x:v>Friday</x:v>
      </x:c>
      <x:c r="O137" s="213" t="str">
        <x:v>LottoMetrics full-history export</x:v>
      </x:c>
      <x:c r="P137" s="213" t="str">
        <x:v>Archive-sourced; calendar/range/uniqueness validated</x:v>
      </x:c>
      <x:c r="Q137" s="54" t="str"/>
    </x:row>
    <x:row r="138">
      <x:c r="A138" s="74" t="n">
        <x:v>135</x:v>
      </x:c>
      <x:c r="B138" s="217" t="n">
        <x:v>41929</x:v>
      </x:c>
      <x:c r="C138" s="75" t="n">
        <x:v>14</x:v>
      </x:c>
      <x:c r="D138" s="75" t="n">
        <x:v>24</x:v>
      </x:c>
      <x:c r="E138" s="75" t="n">
        <x:v>27</x:v>
      </x:c>
      <x:c r="F138" s="75" t="n">
        <x:v>35</x:v>
      </x:c>
      <x:c r="G138" s="75" t="n">
        <x:v>39</x:v>
      </x:c>
      <x:c r="H138" s="75" t="n">
        <x:v>7</x:v>
      </x:c>
      <x:c r="I138" s="75" t="n">
        <x:v>8</x:v>
      </x:c>
      <x:c r="J138" s="75" t="n">
        <x:v>50</x:v>
      </x:c>
      <x:c r="K138" s="75" t="n">
        <x:v>10</x:v>
      </x:c>
      <x:c r="L138" s="75" t="str">
        <x:v>R2_5of50_2of10</x:v>
      </x:c>
      <x:c r="M138" s="213" t="str">
        <x:v>S1_pre_2024_studio_change_sensitivity_only</x:v>
      </x:c>
      <x:c r="N138" s="213" t="str">
        <x:v>Friday</x:v>
      </x:c>
      <x:c r="O138" s="213" t="str">
        <x:v>LottoMetrics full-history export</x:v>
      </x:c>
      <x:c r="P138" s="213" t="str">
        <x:v>Archive-sourced; calendar/range/uniqueness validated</x:v>
      </x:c>
      <x:c r="Q138" s="54" t="str"/>
    </x:row>
    <x:row r="139">
      <x:c r="A139" s="74" t="n">
        <x:v>136</x:v>
      </x:c>
      <x:c r="B139" s="217" t="n">
        <x:v>41936</x:v>
      </x:c>
      <x:c r="C139" s="75" t="n">
        <x:v>3</x:v>
      </x:c>
      <x:c r="D139" s="75" t="n">
        <x:v>15</x:v>
      </x:c>
      <x:c r="E139" s="75" t="n">
        <x:v>22</x:v>
      </x:c>
      <x:c r="F139" s="75" t="n">
        <x:v>26</x:v>
      </x:c>
      <x:c r="G139" s="75" t="n">
        <x:v>37</x:v>
      </x:c>
      <x:c r="H139" s="75" t="n">
        <x:v>2</x:v>
      </x:c>
      <x:c r="I139" s="75" t="n">
        <x:v>4</x:v>
      </x:c>
      <x:c r="J139" s="75" t="n">
        <x:v>50</x:v>
      </x:c>
      <x:c r="K139" s="75" t="n">
        <x:v>10</x:v>
      </x:c>
      <x:c r="L139" s="75" t="str">
        <x:v>R2_5of50_2of10</x:v>
      </x:c>
      <x:c r="M139" s="213" t="str">
        <x:v>S1_pre_2024_studio_change_sensitivity_only</x:v>
      </x:c>
      <x:c r="N139" s="213" t="str">
        <x:v>Friday</x:v>
      </x:c>
      <x:c r="O139" s="213" t="str">
        <x:v>LottoMetrics full-history export</x:v>
      </x:c>
      <x:c r="P139" s="213" t="str">
        <x:v>Archive-sourced; calendar/range/uniqueness validated</x:v>
      </x:c>
      <x:c r="Q139" s="54" t="str"/>
    </x:row>
    <x:row r="140">
      <x:c r="A140" s="74" t="n">
        <x:v>137</x:v>
      </x:c>
      <x:c r="B140" s="217" t="n">
        <x:v>41943</x:v>
      </x:c>
      <x:c r="C140" s="75" t="n">
        <x:v>3</x:v>
      </x:c>
      <x:c r="D140" s="75" t="n">
        <x:v>7</x:v>
      </x:c>
      <x:c r="E140" s="75" t="n">
        <x:v>27</x:v>
      </x:c>
      <x:c r="F140" s="75" t="n">
        <x:v>43</x:v>
      </x:c>
      <x:c r="G140" s="75" t="n">
        <x:v>46</x:v>
      </x:c>
      <x:c r="H140" s="75" t="n">
        <x:v>3</x:v>
      </x:c>
      <x:c r="I140" s="75" t="n">
        <x:v>8</x:v>
      </x:c>
      <x:c r="J140" s="75" t="n">
        <x:v>50</x:v>
      </x:c>
      <x:c r="K140" s="75" t="n">
        <x:v>10</x:v>
      </x:c>
      <x:c r="L140" s="75" t="str">
        <x:v>R2_5of50_2of10</x:v>
      </x:c>
      <x:c r="M140" s="213" t="str">
        <x:v>S1_pre_2024_studio_change_sensitivity_only</x:v>
      </x:c>
      <x:c r="N140" s="213" t="str">
        <x:v>Friday</x:v>
      </x:c>
      <x:c r="O140" s="213" t="str">
        <x:v>LottoMetrics full-history export</x:v>
      </x:c>
      <x:c r="P140" s="213" t="str">
        <x:v>Archive-sourced; calendar/range/uniqueness validated</x:v>
      </x:c>
      <x:c r="Q140" s="54" t="str"/>
    </x:row>
    <x:row r="141">
      <x:c r="A141" s="74" t="n">
        <x:v>138</x:v>
      </x:c>
      <x:c r="B141" s="217" t="n">
        <x:v>41950</x:v>
      </x:c>
      <x:c r="C141" s="75" t="n">
        <x:v>5</x:v>
      </x:c>
      <x:c r="D141" s="75" t="n">
        <x:v>13</x:v>
      </x:c>
      <x:c r="E141" s="75" t="n">
        <x:v>25</x:v>
      </x:c>
      <x:c r="F141" s="75" t="n">
        <x:v>33</x:v>
      </x:c>
      <x:c r="G141" s="75" t="n">
        <x:v>35</x:v>
      </x:c>
      <x:c r="H141" s="75" t="n">
        <x:v>4</x:v>
      </x:c>
      <x:c r="I141" s="75" t="n">
        <x:v>8</x:v>
      </x:c>
      <x:c r="J141" s="75" t="n">
        <x:v>50</x:v>
      </x:c>
      <x:c r="K141" s="75" t="n">
        <x:v>10</x:v>
      </x:c>
      <x:c r="L141" s="75" t="str">
        <x:v>R2_5of50_2of10</x:v>
      </x:c>
      <x:c r="M141" s="213" t="str">
        <x:v>S1_pre_2024_studio_change_sensitivity_only</x:v>
      </x:c>
      <x:c r="N141" s="213" t="str">
        <x:v>Friday</x:v>
      </x:c>
      <x:c r="O141" s="213" t="str">
        <x:v>LottoMetrics full-history export</x:v>
      </x:c>
      <x:c r="P141" s="213" t="str">
        <x:v>Archive-sourced; calendar/range/uniqueness validated</x:v>
      </x:c>
      <x:c r="Q141" s="54" t="str"/>
    </x:row>
    <x:row r="142">
      <x:c r="A142" s="74" t="n">
        <x:v>139</x:v>
      </x:c>
      <x:c r="B142" s="217" t="n">
        <x:v>41957</x:v>
      </x:c>
      <x:c r="C142" s="75" t="n">
        <x:v>22</x:v>
      </x:c>
      <x:c r="D142" s="75" t="n">
        <x:v>25</x:v>
      </x:c>
      <x:c r="E142" s="75" t="n">
        <x:v>41</x:v>
      </x:c>
      <x:c r="F142" s="75" t="n">
        <x:v>45</x:v>
      </x:c>
      <x:c r="G142" s="75" t="n">
        <x:v>49</x:v>
      </x:c>
      <x:c r="H142" s="75" t="n">
        <x:v>2</x:v>
      </x:c>
      <x:c r="I142" s="75" t="n">
        <x:v>5</x:v>
      </x:c>
      <x:c r="J142" s="75" t="n">
        <x:v>50</x:v>
      </x:c>
      <x:c r="K142" s="75" t="n">
        <x:v>10</x:v>
      </x:c>
      <x:c r="L142" s="75" t="str">
        <x:v>R2_5of50_2of10</x:v>
      </x:c>
      <x:c r="M142" s="213" t="str">
        <x:v>S1_pre_2024_studio_change_sensitivity_only</x:v>
      </x:c>
      <x:c r="N142" s="213" t="str">
        <x:v>Friday</x:v>
      </x:c>
      <x:c r="O142" s="213" t="str">
        <x:v>LottoMetrics full-history export</x:v>
      </x:c>
      <x:c r="P142" s="213" t="str">
        <x:v>Archive-sourced; calendar/range/uniqueness validated</x:v>
      </x:c>
      <x:c r="Q142" s="54" t="str"/>
    </x:row>
    <x:row r="143">
      <x:c r="A143" s="74" t="n">
        <x:v>140</x:v>
      </x:c>
      <x:c r="B143" s="217" t="n">
        <x:v>41964</x:v>
      </x:c>
      <x:c r="C143" s="75" t="n">
        <x:v>4</x:v>
      </x:c>
      <x:c r="D143" s="75" t="n">
        <x:v>18</x:v>
      </x:c>
      <x:c r="E143" s="75" t="n">
        <x:v>35</x:v>
      </x:c>
      <x:c r="F143" s="75" t="n">
        <x:v>41</x:v>
      </x:c>
      <x:c r="G143" s="75" t="n">
        <x:v>43</x:v>
      </x:c>
      <x:c r="H143" s="75" t="n">
        <x:v>4</x:v>
      </x:c>
      <x:c r="I143" s="75" t="n">
        <x:v>5</x:v>
      </x:c>
      <x:c r="J143" s="75" t="n">
        <x:v>50</x:v>
      </x:c>
      <x:c r="K143" s="75" t="n">
        <x:v>10</x:v>
      </x:c>
      <x:c r="L143" s="75" t="str">
        <x:v>R2_5of50_2of10</x:v>
      </x:c>
      <x:c r="M143" s="213" t="str">
        <x:v>S1_pre_2024_studio_change_sensitivity_only</x:v>
      </x:c>
      <x:c r="N143" s="213" t="str">
        <x:v>Friday</x:v>
      </x:c>
      <x:c r="O143" s="213" t="str">
        <x:v>LottoMetrics full-history export</x:v>
      </x:c>
      <x:c r="P143" s="213" t="str">
        <x:v>Archive-sourced; calendar/range/uniqueness validated</x:v>
      </x:c>
      <x:c r="Q143" s="54" t="str"/>
    </x:row>
    <x:row r="144">
      <x:c r="A144" s="74" t="n">
        <x:v>141</x:v>
      </x:c>
      <x:c r="B144" s="217" t="n">
        <x:v>41971</x:v>
      </x:c>
      <x:c r="C144" s="75" t="n">
        <x:v>6</x:v>
      </x:c>
      <x:c r="D144" s="75" t="n">
        <x:v>16</x:v>
      </x:c>
      <x:c r="E144" s="75" t="n">
        <x:v>18</x:v>
      </x:c>
      <x:c r="F144" s="75" t="n">
        <x:v>29</x:v>
      </x:c>
      <x:c r="G144" s="75" t="n">
        <x:v>35</x:v>
      </x:c>
      <x:c r="H144" s="75" t="n">
        <x:v>6</x:v>
      </x:c>
      <x:c r="I144" s="75" t="n">
        <x:v>9</x:v>
      </x:c>
      <x:c r="J144" s="75" t="n">
        <x:v>50</x:v>
      </x:c>
      <x:c r="K144" s="75" t="n">
        <x:v>10</x:v>
      </x:c>
      <x:c r="L144" s="75" t="str">
        <x:v>R2_5of50_2of10</x:v>
      </x:c>
      <x:c r="M144" s="213" t="str">
        <x:v>S1_pre_2024_studio_change_sensitivity_only</x:v>
      </x:c>
      <x:c r="N144" s="213" t="str">
        <x:v>Friday</x:v>
      </x:c>
      <x:c r="O144" s="213" t="str">
        <x:v>LottoMetrics full-history export</x:v>
      </x:c>
      <x:c r="P144" s="213" t="str">
        <x:v>Archive-sourced; calendar/range/uniqueness validated</x:v>
      </x:c>
      <x:c r="Q144" s="54" t="str"/>
    </x:row>
    <x:row r="145">
      <x:c r="A145" s="74" t="n">
        <x:v>142</x:v>
      </x:c>
      <x:c r="B145" s="217" t="n">
        <x:v>41978</x:v>
      </x:c>
      <x:c r="C145" s="75" t="n">
        <x:v>11</x:v>
      </x:c>
      <x:c r="D145" s="75" t="n">
        <x:v>25</x:v>
      </x:c>
      <x:c r="E145" s="75" t="n">
        <x:v>32</x:v>
      </x:c>
      <x:c r="F145" s="75" t="n">
        <x:v>42</x:v>
      </x:c>
      <x:c r="G145" s="75" t="n">
        <x:v>47</x:v>
      </x:c>
      <x:c r="H145" s="75" t="n">
        <x:v>4</x:v>
      </x:c>
      <x:c r="I145" s="75" t="n">
        <x:v>9</x:v>
      </x:c>
      <x:c r="J145" s="75" t="n">
        <x:v>50</x:v>
      </x:c>
      <x:c r="K145" s="75" t="n">
        <x:v>10</x:v>
      </x:c>
      <x:c r="L145" s="75" t="str">
        <x:v>R2_5of50_2of10</x:v>
      </x:c>
      <x:c r="M145" s="213" t="str">
        <x:v>S1_pre_2024_studio_change_sensitivity_only</x:v>
      </x:c>
      <x:c r="N145" s="213" t="str">
        <x:v>Friday</x:v>
      </x:c>
      <x:c r="O145" s="213" t="str">
        <x:v>LottoMetrics full-history export</x:v>
      </x:c>
      <x:c r="P145" s="213" t="str">
        <x:v>Archive-sourced; calendar/range/uniqueness validated</x:v>
      </x:c>
      <x:c r="Q145" s="54" t="str"/>
    </x:row>
    <x:row r="146">
      <x:c r="A146" s="74" t="n">
        <x:v>143</x:v>
      </x:c>
      <x:c r="B146" s="217" t="n">
        <x:v>41985</x:v>
      </x:c>
      <x:c r="C146" s="75" t="n">
        <x:v>1</x:v>
      </x:c>
      <x:c r="D146" s="75" t="n">
        <x:v>8</x:v>
      </x:c>
      <x:c r="E146" s="75" t="n">
        <x:v>15</x:v>
      </x:c>
      <x:c r="F146" s="75" t="n">
        <x:v>19</x:v>
      </x:c>
      <x:c r="G146" s="75" t="n">
        <x:v>37</x:v>
      </x:c>
      <x:c r="H146" s="75" t="n">
        <x:v>7</x:v>
      </x:c>
      <x:c r="I146" s="75" t="n">
        <x:v>9</x:v>
      </x:c>
      <x:c r="J146" s="75" t="n">
        <x:v>50</x:v>
      </x:c>
      <x:c r="K146" s="75" t="n">
        <x:v>10</x:v>
      </x:c>
      <x:c r="L146" s="75" t="str">
        <x:v>R2_5of50_2of10</x:v>
      </x:c>
      <x:c r="M146" s="213" t="str">
        <x:v>S1_pre_2024_studio_change_sensitivity_only</x:v>
      </x:c>
      <x:c r="N146" s="213" t="str">
        <x:v>Friday</x:v>
      </x:c>
      <x:c r="O146" s="213" t="str">
        <x:v>LottoMetrics full-history export</x:v>
      </x:c>
      <x:c r="P146" s="213" t="str">
        <x:v>Archive-sourced; calendar/range/uniqueness validated</x:v>
      </x:c>
      <x:c r="Q146" s="54" t="str"/>
    </x:row>
    <x:row r="147">
      <x:c r="A147" s="74" t="n">
        <x:v>144</x:v>
      </x:c>
      <x:c r="B147" s="217" t="n">
        <x:v>41992</x:v>
      </x:c>
      <x:c r="C147" s="75" t="n">
        <x:v>10</x:v>
      </x:c>
      <x:c r="D147" s="75" t="n">
        <x:v>11</x:v>
      </x:c>
      <x:c r="E147" s="75" t="n">
        <x:v>25</x:v>
      </x:c>
      <x:c r="F147" s="75" t="n">
        <x:v>32</x:v>
      </x:c>
      <x:c r="G147" s="75" t="n">
        <x:v>49</x:v>
      </x:c>
      <x:c r="H147" s="75" t="n">
        <x:v>5</x:v>
      </x:c>
      <x:c r="I147" s="75" t="n">
        <x:v>9</x:v>
      </x:c>
      <x:c r="J147" s="75" t="n">
        <x:v>50</x:v>
      </x:c>
      <x:c r="K147" s="75" t="n">
        <x:v>10</x:v>
      </x:c>
      <x:c r="L147" s="75" t="str">
        <x:v>R2_5of50_2of10</x:v>
      </x:c>
      <x:c r="M147" s="213" t="str">
        <x:v>S1_pre_2024_studio_change_sensitivity_only</x:v>
      </x:c>
      <x:c r="N147" s="213" t="str">
        <x:v>Friday</x:v>
      </x:c>
      <x:c r="O147" s="213" t="str">
        <x:v>LottoMetrics full-history export</x:v>
      </x:c>
      <x:c r="P147" s="213" t="str">
        <x:v>Archive-sourced; calendar/range/uniqueness validated</x:v>
      </x:c>
      <x:c r="Q147" s="54" t="str"/>
    </x:row>
    <x:row r="148">
      <x:c r="A148" s="74" t="n">
        <x:v>145</x:v>
      </x:c>
      <x:c r="B148" s="217" t="n">
        <x:v>41999</x:v>
      </x:c>
      <x:c r="C148" s="75" t="n">
        <x:v>2</x:v>
      </x:c>
      <x:c r="D148" s="75" t="n">
        <x:v>21</x:v>
      </x:c>
      <x:c r="E148" s="75" t="n">
        <x:v>30</x:v>
      </x:c>
      <x:c r="F148" s="75" t="n">
        <x:v>39</x:v>
      </x:c>
      <x:c r="G148" s="75" t="n">
        <x:v>43</x:v>
      </x:c>
      <x:c r="H148" s="75" t="n">
        <x:v>5</x:v>
      </x:c>
      <x:c r="I148" s="75" t="n">
        <x:v>7</x:v>
      </x:c>
      <x:c r="J148" s="75" t="n">
        <x:v>50</x:v>
      </x:c>
      <x:c r="K148" s="75" t="n">
        <x:v>10</x:v>
      </x:c>
      <x:c r="L148" s="75" t="str">
        <x:v>R2_5of50_2of10</x:v>
      </x:c>
      <x:c r="M148" s="213" t="str">
        <x:v>S1_pre_2024_studio_change_sensitivity_only</x:v>
      </x:c>
      <x:c r="N148" s="213" t="str">
        <x:v>Friday</x:v>
      </x:c>
      <x:c r="O148" s="213" t="str">
        <x:v>LottoMetrics full-history export</x:v>
      </x:c>
      <x:c r="P148" s="213" t="str">
        <x:v>Archive-sourced; calendar/range/uniqueness validated</x:v>
      </x:c>
      <x:c r="Q148" s="54" t="str"/>
    </x:row>
    <x:row r="149">
      <x:c r="A149" s="74" t="n">
        <x:v>146</x:v>
      </x:c>
      <x:c r="B149" s="217" t="n">
        <x:v>42006</x:v>
      </x:c>
      <x:c r="C149" s="75" t="n">
        <x:v>16</x:v>
      </x:c>
      <x:c r="D149" s="75" t="n">
        <x:v>29</x:v>
      </x:c>
      <x:c r="E149" s="75" t="n">
        <x:v>38</x:v>
      </x:c>
      <x:c r="F149" s="75" t="n">
        <x:v>42</x:v>
      </x:c>
      <x:c r="G149" s="75" t="n">
        <x:v>48</x:v>
      </x:c>
      <x:c r="H149" s="75" t="n">
        <x:v>5</x:v>
      </x:c>
      <x:c r="I149" s="75" t="n">
        <x:v>6</x:v>
      </x:c>
      <x:c r="J149" s="75" t="n">
        <x:v>50</x:v>
      </x:c>
      <x:c r="K149" s="75" t="n">
        <x:v>10</x:v>
      </x:c>
      <x:c r="L149" s="75" t="str">
        <x:v>R2_5of50_2of10</x:v>
      </x:c>
      <x:c r="M149" s="213" t="str">
        <x:v>S1_pre_2024_studio_change_sensitivity_only</x:v>
      </x:c>
      <x:c r="N149" s="213" t="str">
        <x:v>Friday</x:v>
      </x:c>
      <x:c r="O149" s="213" t="str">
        <x:v>LottoMetrics full-history export</x:v>
      </x:c>
      <x:c r="P149" s="213" t="str">
        <x:v>Archive-sourced; calendar/range/uniqueness validated</x:v>
      </x:c>
      <x:c r="Q149" s="54" t="str"/>
    </x:row>
    <x:row r="150">
      <x:c r="A150" s="74" t="n">
        <x:v>147</x:v>
      </x:c>
      <x:c r="B150" s="217" t="n">
        <x:v>42013</x:v>
      </x:c>
      <x:c r="C150" s="75" t="n">
        <x:v>13</x:v>
      </x:c>
      <x:c r="D150" s="75" t="n">
        <x:v>19</x:v>
      </x:c>
      <x:c r="E150" s="75" t="n">
        <x:v>20</x:v>
      </x:c>
      <x:c r="F150" s="75" t="n">
        <x:v>27</x:v>
      </x:c>
      <x:c r="G150" s="75" t="n">
        <x:v>41</x:v>
      </x:c>
      <x:c r="H150" s="75" t="n">
        <x:v>5</x:v>
      </x:c>
      <x:c r="I150" s="75" t="n">
        <x:v>9</x:v>
      </x:c>
      <x:c r="J150" s="75" t="n">
        <x:v>50</x:v>
      </x:c>
      <x:c r="K150" s="75" t="n">
        <x:v>10</x:v>
      </x:c>
      <x:c r="L150" s="75" t="str">
        <x:v>R2_5of50_2of10</x:v>
      </x:c>
      <x:c r="M150" s="213" t="str">
        <x:v>S1_pre_2024_studio_change_sensitivity_only</x:v>
      </x:c>
      <x:c r="N150" s="213" t="str">
        <x:v>Friday</x:v>
      </x:c>
      <x:c r="O150" s="213" t="str">
        <x:v>LottoMetrics full-history export</x:v>
      </x:c>
      <x:c r="P150" s="213" t="str">
        <x:v>Archive-sourced; calendar/range/uniqueness validated</x:v>
      </x:c>
      <x:c r="Q150" s="54" t="str"/>
    </x:row>
    <x:row r="151">
      <x:c r="A151" s="74" t="n">
        <x:v>148</x:v>
      </x:c>
      <x:c r="B151" s="217" t="n">
        <x:v>42020</x:v>
      </x:c>
      <x:c r="C151" s="75" t="n">
        <x:v>1</x:v>
      </x:c>
      <x:c r="D151" s="75" t="n">
        <x:v>4</x:v>
      </x:c>
      <x:c r="E151" s="75" t="n">
        <x:v>14</x:v>
      </x:c>
      <x:c r="F151" s="75" t="n">
        <x:v>32</x:v>
      </x:c>
      <x:c r="G151" s="75" t="n">
        <x:v>48</x:v>
      </x:c>
      <x:c r="H151" s="75" t="n">
        <x:v>5</x:v>
      </x:c>
      <x:c r="I151" s="75" t="n">
        <x:v>6</x:v>
      </x:c>
      <x:c r="J151" s="75" t="n">
        <x:v>50</x:v>
      </x:c>
      <x:c r="K151" s="75" t="n">
        <x:v>10</x:v>
      </x:c>
      <x:c r="L151" s="75" t="str">
        <x:v>R2_5of50_2of10</x:v>
      </x:c>
      <x:c r="M151" s="213" t="str">
        <x:v>S1_pre_2024_studio_change_sensitivity_only</x:v>
      </x:c>
      <x:c r="N151" s="213" t="str">
        <x:v>Friday</x:v>
      </x:c>
      <x:c r="O151" s="213" t="str">
        <x:v>LottoMetrics full-history export</x:v>
      </x:c>
      <x:c r="P151" s="213" t="str">
        <x:v>Archive-sourced; calendar/range/uniqueness validated</x:v>
      </x:c>
      <x:c r="Q151" s="54" t="str"/>
    </x:row>
    <x:row r="152">
      <x:c r="A152" s="74" t="n">
        <x:v>149</x:v>
      </x:c>
      <x:c r="B152" s="217" t="n">
        <x:v>42027</x:v>
      </x:c>
      <x:c r="C152" s="75" t="n">
        <x:v>2</x:v>
      </x:c>
      <x:c r="D152" s="75" t="n">
        <x:v>13</x:v>
      </x:c>
      <x:c r="E152" s="75" t="n">
        <x:v>14</x:v>
      </x:c>
      <x:c r="F152" s="75" t="n">
        <x:v>30</x:v>
      </x:c>
      <x:c r="G152" s="75" t="n">
        <x:v>32</x:v>
      </x:c>
      <x:c r="H152" s="75" t="n">
        <x:v>1</x:v>
      </x:c>
      <x:c r="I152" s="75" t="n">
        <x:v>3</x:v>
      </x:c>
      <x:c r="J152" s="75" t="n">
        <x:v>50</x:v>
      </x:c>
      <x:c r="K152" s="75" t="n">
        <x:v>10</x:v>
      </x:c>
      <x:c r="L152" s="75" t="str">
        <x:v>R2_5of50_2of10</x:v>
      </x:c>
      <x:c r="M152" s="213" t="str">
        <x:v>S1_pre_2024_studio_change_sensitivity_only</x:v>
      </x:c>
      <x:c r="N152" s="213" t="str">
        <x:v>Friday</x:v>
      </x:c>
      <x:c r="O152" s="213" t="str">
        <x:v>LottoMetrics full-history export</x:v>
      </x:c>
      <x:c r="P152" s="213" t="str">
        <x:v>Archive-sourced; calendar/range/uniqueness validated</x:v>
      </x:c>
      <x:c r="Q152" s="54" t="str"/>
    </x:row>
    <x:row r="153">
      <x:c r="A153" s="74" t="n">
        <x:v>150</x:v>
      </x:c>
      <x:c r="B153" s="217" t="n">
        <x:v>42034</x:v>
      </x:c>
      <x:c r="C153" s="75" t="n">
        <x:v>3</x:v>
      </x:c>
      <x:c r="D153" s="75" t="n">
        <x:v>4</x:v>
      </x:c>
      <x:c r="E153" s="75" t="n">
        <x:v>8</x:v>
      </x:c>
      <x:c r="F153" s="75" t="n">
        <x:v>11</x:v>
      </x:c>
      <x:c r="G153" s="75" t="n">
        <x:v>41</x:v>
      </x:c>
      <x:c r="H153" s="75" t="n">
        <x:v>2</x:v>
      </x:c>
      <x:c r="I153" s="75" t="n">
        <x:v>8</x:v>
      </x:c>
      <x:c r="J153" s="75" t="n">
        <x:v>50</x:v>
      </x:c>
      <x:c r="K153" s="75" t="n">
        <x:v>10</x:v>
      </x:c>
      <x:c r="L153" s="75" t="str">
        <x:v>R2_5of50_2of10</x:v>
      </x:c>
      <x:c r="M153" s="213" t="str">
        <x:v>S1_pre_2024_studio_change_sensitivity_only</x:v>
      </x:c>
      <x:c r="N153" s="213" t="str">
        <x:v>Friday</x:v>
      </x:c>
      <x:c r="O153" s="213" t="str">
        <x:v>LottoMetrics full-history export</x:v>
      </x:c>
      <x:c r="P153" s="213" t="str">
        <x:v>Archive-sourced; calendar/range/uniqueness validated</x:v>
      </x:c>
      <x:c r="Q153" s="54" t="str"/>
    </x:row>
    <x:row r="154">
      <x:c r="A154" s="74" t="n">
        <x:v>151</x:v>
      </x:c>
      <x:c r="B154" s="217" t="n">
        <x:v>42041</x:v>
      </x:c>
      <x:c r="C154" s="75" t="n">
        <x:v>3</x:v>
      </x:c>
      <x:c r="D154" s="75" t="n">
        <x:v>19</x:v>
      </x:c>
      <x:c r="E154" s="75" t="n">
        <x:v>22</x:v>
      </x:c>
      <x:c r="F154" s="75" t="n">
        <x:v>37</x:v>
      </x:c>
      <x:c r="G154" s="75" t="n">
        <x:v>39</x:v>
      </x:c>
      <x:c r="H154" s="75" t="n">
        <x:v>5</x:v>
      </x:c>
      <x:c r="I154" s="75" t="n">
        <x:v>10</x:v>
      </x:c>
      <x:c r="J154" s="75" t="n">
        <x:v>50</x:v>
      </x:c>
      <x:c r="K154" s="75" t="n">
        <x:v>10</x:v>
      </x:c>
      <x:c r="L154" s="75" t="str">
        <x:v>R2_5of50_2of10</x:v>
      </x:c>
      <x:c r="M154" s="213" t="str">
        <x:v>S1_pre_2024_studio_change_sensitivity_only</x:v>
      </x:c>
      <x:c r="N154" s="213" t="str">
        <x:v>Friday</x:v>
      </x:c>
      <x:c r="O154" s="213" t="str">
        <x:v>LottoMetrics full-history export</x:v>
      </x:c>
      <x:c r="P154" s="213" t="str">
        <x:v>Archive-sourced; calendar/range/uniqueness validated</x:v>
      </x:c>
      <x:c r="Q154" s="54" t="str"/>
    </x:row>
    <x:row r="155">
      <x:c r="A155" s="74" t="n">
        <x:v>152</x:v>
      </x:c>
      <x:c r="B155" s="217" t="n">
        <x:v>42048</x:v>
      </x:c>
      <x:c r="C155" s="75" t="n">
        <x:v>3</x:v>
      </x:c>
      <x:c r="D155" s="75" t="n">
        <x:v>7</x:v>
      </x:c>
      <x:c r="E155" s="75" t="n">
        <x:v>14</x:v>
      </x:c>
      <x:c r="F155" s="75" t="n">
        <x:v>46</x:v>
      </x:c>
      <x:c r="G155" s="75" t="n">
        <x:v>48</x:v>
      </x:c>
      <x:c r="H155" s="75" t="n">
        <x:v>6</x:v>
      </x:c>
      <x:c r="I155" s="75" t="n">
        <x:v>9</x:v>
      </x:c>
      <x:c r="J155" s="75" t="n">
        <x:v>50</x:v>
      </x:c>
      <x:c r="K155" s="75" t="n">
        <x:v>10</x:v>
      </x:c>
      <x:c r="L155" s="75" t="str">
        <x:v>R2_5of50_2of10</x:v>
      </x:c>
      <x:c r="M155" s="213" t="str">
        <x:v>S1_pre_2024_studio_change_sensitivity_only</x:v>
      </x:c>
      <x:c r="N155" s="213" t="str">
        <x:v>Friday</x:v>
      </x:c>
      <x:c r="O155" s="213" t="str">
        <x:v>LottoMetrics full-history export</x:v>
      </x:c>
      <x:c r="P155" s="213" t="str">
        <x:v>Archive-sourced; calendar/range/uniqueness validated</x:v>
      </x:c>
      <x:c r="Q155" s="54" t="str"/>
    </x:row>
    <x:row r="156">
      <x:c r="A156" s="74" t="n">
        <x:v>153</x:v>
      </x:c>
      <x:c r="B156" s="217" t="n">
        <x:v>42055</x:v>
      </x:c>
      <x:c r="C156" s="75" t="n">
        <x:v>1</x:v>
      </x:c>
      <x:c r="D156" s="75" t="n">
        <x:v>16</x:v>
      </x:c>
      <x:c r="E156" s="75" t="n">
        <x:v>18</x:v>
      </x:c>
      <x:c r="F156" s="75" t="n">
        <x:v>29</x:v>
      </x:c>
      <x:c r="G156" s="75" t="n">
        <x:v>44</x:v>
      </x:c>
      <x:c r="H156" s="75" t="n">
        <x:v>2</x:v>
      </x:c>
      <x:c r="I156" s="75" t="n">
        <x:v>7</x:v>
      </x:c>
      <x:c r="J156" s="75" t="n">
        <x:v>50</x:v>
      </x:c>
      <x:c r="K156" s="75" t="n">
        <x:v>10</x:v>
      </x:c>
      <x:c r="L156" s="75" t="str">
        <x:v>R2_5of50_2of10</x:v>
      </x:c>
      <x:c r="M156" s="213" t="str">
        <x:v>S1_pre_2024_studio_change_sensitivity_only</x:v>
      </x:c>
      <x:c r="N156" s="213" t="str">
        <x:v>Friday</x:v>
      </x:c>
      <x:c r="O156" s="213" t="str">
        <x:v>LottoMetrics full-history export</x:v>
      </x:c>
      <x:c r="P156" s="213" t="str">
        <x:v>Archive-sourced; calendar/range/uniqueness validated</x:v>
      </x:c>
      <x:c r="Q156" s="54" t="str"/>
    </x:row>
    <x:row r="157">
      <x:c r="A157" s="74" t="n">
        <x:v>154</x:v>
      </x:c>
      <x:c r="B157" s="217" t="n">
        <x:v>42062</x:v>
      </x:c>
      <x:c r="C157" s="75" t="n">
        <x:v>9</x:v>
      </x:c>
      <x:c r="D157" s="75" t="n">
        <x:v>28</x:v>
      </x:c>
      <x:c r="E157" s="75" t="n">
        <x:v>30</x:v>
      </x:c>
      <x:c r="F157" s="75" t="n">
        <x:v>43</x:v>
      </x:c>
      <x:c r="G157" s="75" t="n">
        <x:v>49</x:v>
      </x:c>
      <x:c r="H157" s="75" t="n">
        <x:v>8</x:v>
      </x:c>
      <x:c r="I157" s="75" t="n">
        <x:v>10</x:v>
      </x:c>
      <x:c r="J157" s="75" t="n">
        <x:v>50</x:v>
      </x:c>
      <x:c r="K157" s="75" t="n">
        <x:v>10</x:v>
      </x:c>
      <x:c r="L157" s="75" t="str">
        <x:v>R2_5of50_2of10</x:v>
      </x:c>
      <x:c r="M157" s="213" t="str">
        <x:v>S1_pre_2024_studio_change_sensitivity_only</x:v>
      </x:c>
      <x:c r="N157" s="213" t="str">
        <x:v>Friday</x:v>
      </x:c>
      <x:c r="O157" s="213" t="str">
        <x:v>LottoMetrics full-history export</x:v>
      </x:c>
      <x:c r="P157" s="213" t="str">
        <x:v>Archive-sourced; calendar/range/uniqueness validated</x:v>
      </x:c>
      <x:c r="Q157" s="54" t="str"/>
    </x:row>
    <x:row r="158">
      <x:c r="A158" s="74" t="n">
        <x:v>155</x:v>
      </x:c>
      <x:c r="B158" s="217" t="n">
        <x:v>42069</x:v>
      </x:c>
      <x:c r="C158" s="75" t="n">
        <x:v>9</x:v>
      </x:c>
      <x:c r="D158" s="75" t="n">
        <x:v>16</x:v>
      </x:c>
      <x:c r="E158" s="75" t="n">
        <x:v>17</x:v>
      </x:c>
      <x:c r="F158" s="75" t="n">
        <x:v>20</x:v>
      </x:c>
      <x:c r="G158" s="75" t="n">
        <x:v>32</x:v>
      </x:c>
      <x:c r="H158" s="75" t="n">
        <x:v>2</x:v>
      </x:c>
      <x:c r="I158" s="75" t="n">
        <x:v>3</x:v>
      </x:c>
      <x:c r="J158" s="75" t="n">
        <x:v>50</x:v>
      </x:c>
      <x:c r="K158" s="75" t="n">
        <x:v>10</x:v>
      </x:c>
      <x:c r="L158" s="75" t="str">
        <x:v>R2_5of50_2of10</x:v>
      </x:c>
      <x:c r="M158" s="213" t="str">
        <x:v>S1_pre_2024_studio_change_sensitivity_only</x:v>
      </x:c>
      <x:c r="N158" s="213" t="str">
        <x:v>Friday</x:v>
      </x:c>
      <x:c r="O158" s="213" t="str">
        <x:v>LottoMetrics full-history export</x:v>
      </x:c>
      <x:c r="P158" s="213" t="str">
        <x:v>Archive-sourced; calendar/range/uniqueness validated</x:v>
      </x:c>
      <x:c r="Q158" s="54" t="str"/>
    </x:row>
    <x:row r="159">
      <x:c r="A159" s="74" t="n">
        <x:v>156</x:v>
      </x:c>
      <x:c r="B159" s="217" t="n">
        <x:v>42076</x:v>
      </x:c>
      <x:c r="C159" s="75" t="n">
        <x:v>1</x:v>
      </x:c>
      <x:c r="D159" s="75" t="n">
        <x:v>10</x:v>
      </x:c>
      <x:c r="E159" s="75" t="n">
        <x:v>25</x:v>
      </x:c>
      <x:c r="F159" s="75" t="n">
        <x:v>39</x:v>
      </x:c>
      <x:c r="G159" s="75" t="n">
        <x:v>44</x:v>
      </x:c>
      <x:c r="H159" s="75" t="n">
        <x:v>1</x:v>
      </x:c>
      <x:c r="I159" s="75" t="n">
        <x:v>2</x:v>
      </x:c>
      <x:c r="J159" s="75" t="n">
        <x:v>50</x:v>
      </x:c>
      <x:c r="K159" s="75" t="n">
        <x:v>10</x:v>
      </x:c>
      <x:c r="L159" s="75" t="str">
        <x:v>R2_5of50_2of10</x:v>
      </x:c>
      <x:c r="M159" s="213" t="str">
        <x:v>S1_pre_2024_studio_change_sensitivity_only</x:v>
      </x:c>
      <x:c r="N159" s="213" t="str">
        <x:v>Friday</x:v>
      </x:c>
      <x:c r="O159" s="213" t="str">
        <x:v>LottoMetrics full-history export</x:v>
      </x:c>
      <x:c r="P159" s="213" t="str">
        <x:v>Archive-sourced; calendar/range/uniqueness validated</x:v>
      </x:c>
      <x:c r="Q159" s="54" t="str"/>
    </x:row>
    <x:row r="160">
      <x:c r="A160" s="74" t="n">
        <x:v>157</x:v>
      </x:c>
      <x:c r="B160" s="217" t="n">
        <x:v>42083</x:v>
      </x:c>
      <x:c r="C160" s="75" t="n">
        <x:v>9</x:v>
      </x:c>
      <x:c r="D160" s="75" t="n">
        <x:v>11</x:v>
      </x:c>
      <x:c r="E160" s="75" t="n">
        <x:v>13</x:v>
      </x:c>
      <x:c r="F160" s="75" t="n">
        <x:v>35</x:v>
      </x:c>
      <x:c r="G160" s="75" t="n">
        <x:v>38</x:v>
      </x:c>
      <x:c r="H160" s="75" t="n">
        <x:v>5</x:v>
      </x:c>
      <x:c r="I160" s="75" t="n">
        <x:v>7</x:v>
      </x:c>
      <x:c r="J160" s="75" t="n">
        <x:v>50</x:v>
      </x:c>
      <x:c r="K160" s="75" t="n">
        <x:v>10</x:v>
      </x:c>
      <x:c r="L160" s="75" t="str">
        <x:v>R2_5of50_2of10</x:v>
      </x:c>
      <x:c r="M160" s="213" t="str">
        <x:v>S1_pre_2024_studio_change_sensitivity_only</x:v>
      </x:c>
      <x:c r="N160" s="213" t="str">
        <x:v>Friday</x:v>
      </x:c>
      <x:c r="O160" s="213" t="str">
        <x:v>LottoMetrics full-history export</x:v>
      </x:c>
      <x:c r="P160" s="213" t="str">
        <x:v>Archive-sourced; calendar/range/uniqueness validated</x:v>
      </x:c>
      <x:c r="Q160" s="54" t="str"/>
    </x:row>
    <x:row r="161">
      <x:c r="A161" s="74" t="n">
        <x:v>158</x:v>
      </x:c>
      <x:c r="B161" s="217" t="n">
        <x:v>42090</x:v>
      </x:c>
      <x:c r="C161" s="75" t="n">
        <x:v>3</x:v>
      </x:c>
      <x:c r="D161" s="75" t="n">
        <x:v>26</x:v>
      </x:c>
      <x:c r="E161" s="75" t="n">
        <x:v>31</x:v>
      </x:c>
      <x:c r="F161" s="75" t="n">
        <x:v>33</x:v>
      </x:c>
      <x:c r="G161" s="75" t="n">
        <x:v>50</x:v>
      </x:c>
      <x:c r="H161" s="75" t="n">
        <x:v>3</x:v>
      </x:c>
      <x:c r="I161" s="75" t="n">
        <x:v>9</x:v>
      </x:c>
      <x:c r="J161" s="75" t="n">
        <x:v>50</x:v>
      </x:c>
      <x:c r="K161" s="75" t="n">
        <x:v>10</x:v>
      </x:c>
      <x:c r="L161" s="75" t="str">
        <x:v>R2_5of50_2of10</x:v>
      </x:c>
      <x:c r="M161" s="213" t="str">
        <x:v>S1_pre_2024_studio_change_sensitivity_only</x:v>
      </x:c>
      <x:c r="N161" s="213" t="str">
        <x:v>Friday</x:v>
      </x:c>
      <x:c r="O161" s="213" t="str">
        <x:v>LottoMetrics full-history export</x:v>
      </x:c>
      <x:c r="P161" s="213" t="str">
        <x:v>Archive-sourced; calendar/range/uniqueness validated</x:v>
      </x:c>
      <x:c r="Q161" s="54" t="str"/>
    </x:row>
    <x:row r="162">
      <x:c r="A162" s="74" t="n">
        <x:v>159</x:v>
      </x:c>
      <x:c r="B162" s="217" t="n">
        <x:v>42097</x:v>
      </x:c>
      <x:c r="C162" s="75" t="n">
        <x:v>5</x:v>
      </x:c>
      <x:c r="D162" s="75" t="n">
        <x:v>34</x:v>
      </x:c>
      <x:c r="E162" s="75" t="n">
        <x:v>37</x:v>
      </x:c>
      <x:c r="F162" s="75" t="n">
        <x:v>43</x:v>
      </x:c>
      <x:c r="G162" s="75" t="n">
        <x:v>48</x:v>
      </x:c>
      <x:c r="H162" s="75" t="n">
        <x:v>2</x:v>
      </x:c>
      <x:c r="I162" s="75" t="n">
        <x:v>4</x:v>
      </x:c>
      <x:c r="J162" s="75" t="n">
        <x:v>50</x:v>
      </x:c>
      <x:c r="K162" s="75" t="n">
        <x:v>10</x:v>
      </x:c>
      <x:c r="L162" s="75" t="str">
        <x:v>R2_5of50_2of10</x:v>
      </x:c>
      <x:c r="M162" s="213" t="str">
        <x:v>S1_pre_2024_studio_change_sensitivity_only</x:v>
      </x:c>
      <x:c r="N162" s="213" t="str">
        <x:v>Friday</x:v>
      </x:c>
      <x:c r="O162" s="213" t="str">
        <x:v>LottoMetrics full-history export</x:v>
      </x:c>
      <x:c r="P162" s="213" t="str">
        <x:v>Archive-sourced; calendar/range/uniqueness validated</x:v>
      </x:c>
      <x:c r="Q162" s="54" t="str"/>
    </x:row>
    <x:row r="163">
      <x:c r="A163" s="74" t="n">
        <x:v>160</x:v>
      </x:c>
      <x:c r="B163" s="217" t="n">
        <x:v>42104</x:v>
      </x:c>
      <x:c r="C163" s="75" t="n">
        <x:v>1</x:v>
      </x:c>
      <x:c r="D163" s="75" t="n">
        <x:v>18</x:v>
      </x:c>
      <x:c r="E163" s="75" t="n">
        <x:v>26</x:v>
      </x:c>
      <x:c r="F163" s="75" t="n">
        <x:v>40</x:v>
      </x:c>
      <x:c r="G163" s="75" t="n">
        <x:v>47</x:v>
      </x:c>
      <x:c r="H163" s="75" t="n">
        <x:v>3</x:v>
      </x:c>
      <x:c r="I163" s="75" t="n">
        <x:v>4</x:v>
      </x:c>
      <x:c r="J163" s="75" t="n">
        <x:v>50</x:v>
      </x:c>
      <x:c r="K163" s="75" t="n">
        <x:v>10</x:v>
      </x:c>
      <x:c r="L163" s="75" t="str">
        <x:v>R2_5of50_2of10</x:v>
      </x:c>
      <x:c r="M163" s="213" t="str">
        <x:v>S1_pre_2024_studio_change_sensitivity_only</x:v>
      </x:c>
      <x:c r="N163" s="213" t="str">
        <x:v>Friday</x:v>
      </x:c>
      <x:c r="O163" s="213" t="str">
        <x:v>LottoMetrics full-history export</x:v>
      </x:c>
      <x:c r="P163" s="213" t="str">
        <x:v>Archive-sourced; calendar/range/uniqueness validated</x:v>
      </x:c>
      <x:c r="Q163" s="54" t="str"/>
    </x:row>
    <x:row r="164">
      <x:c r="A164" s="74" t="n">
        <x:v>161</x:v>
      </x:c>
      <x:c r="B164" s="217" t="n">
        <x:v>42111</x:v>
      </x:c>
      <x:c r="C164" s="75" t="n">
        <x:v>5</x:v>
      </x:c>
      <x:c r="D164" s="75" t="n">
        <x:v>6</x:v>
      </x:c>
      <x:c r="E164" s="75" t="n">
        <x:v>13</x:v>
      </x:c>
      <x:c r="F164" s="75" t="n">
        <x:v>20</x:v>
      </x:c>
      <x:c r="G164" s="75" t="n">
        <x:v>33</x:v>
      </x:c>
      <x:c r="H164" s="75" t="n">
        <x:v>3</x:v>
      </x:c>
      <x:c r="I164" s="75" t="n">
        <x:v>8</x:v>
      </x:c>
      <x:c r="J164" s="75" t="n">
        <x:v>50</x:v>
      </x:c>
      <x:c r="K164" s="75" t="n">
        <x:v>10</x:v>
      </x:c>
      <x:c r="L164" s="75" t="str">
        <x:v>R2_5of50_2of10</x:v>
      </x:c>
      <x:c r="M164" s="213" t="str">
        <x:v>S1_pre_2024_studio_change_sensitivity_only</x:v>
      </x:c>
      <x:c r="N164" s="213" t="str">
        <x:v>Friday</x:v>
      </x:c>
      <x:c r="O164" s="213" t="str">
        <x:v>LottoMetrics full-history export</x:v>
      </x:c>
      <x:c r="P164" s="213" t="str">
        <x:v>Archive-sourced; calendar/range/uniqueness validated</x:v>
      </x:c>
      <x:c r="Q164" s="54" t="str"/>
    </x:row>
    <x:row r="165">
      <x:c r="A165" s="74" t="n">
        <x:v>162</x:v>
      </x:c>
      <x:c r="B165" s="217" t="n">
        <x:v>42118</x:v>
      </x:c>
      <x:c r="C165" s="75" t="n">
        <x:v>4</x:v>
      </x:c>
      <x:c r="D165" s="75" t="n">
        <x:v>17</x:v>
      </x:c>
      <x:c r="E165" s="75" t="n">
        <x:v>27</x:v>
      </x:c>
      <x:c r="F165" s="75" t="n">
        <x:v>33</x:v>
      </x:c>
      <x:c r="G165" s="75" t="n">
        <x:v>46</x:v>
      </x:c>
      <x:c r="H165" s="75" t="n">
        <x:v>3</x:v>
      </x:c>
      <x:c r="I165" s="75" t="n">
        <x:v>9</x:v>
      </x:c>
      <x:c r="J165" s="75" t="n">
        <x:v>50</x:v>
      </x:c>
      <x:c r="K165" s="75" t="n">
        <x:v>10</x:v>
      </x:c>
      <x:c r="L165" s="75" t="str">
        <x:v>R2_5of50_2of10</x:v>
      </x:c>
      <x:c r="M165" s="213" t="str">
        <x:v>S1_pre_2024_studio_change_sensitivity_only</x:v>
      </x:c>
      <x:c r="N165" s="213" t="str">
        <x:v>Friday</x:v>
      </x:c>
      <x:c r="O165" s="213" t="str">
        <x:v>LottoMetrics full-history export</x:v>
      </x:c>
      <x:c r="P165" s="213" t="str">
        <x:v>Archive-sourced; calendar/range/uniqueness validated</x:v>
      </x:c>
      <x:c r="Q165" s="54" t="str"/>
    </x:row>
    <x:row r="166">
      <x:c r="A166" s="74" t="n">
        <x:v>163</x:v>
      </x:c>
      <x:c r="B166" s="217" t="n">
        <x:v>42125</x:v>
      </x:c>
      <x:c r="C166" s="75" t="n">
        <x:v>8</x:v>
      </x:c>
      <x:c r="D166" s="75" t="n">
        <x:v>24</x:v>
      </x:c>
      <x:c r="E166" s="75" t="n">
        <x:v>25</x:v>
      </x:c>
      <x:c r="F166" s="75" t="n">
        <x:v>30</x:v>
      </x:c>
      <x:c r="G166" s="75" t="n">
        <x:v>50</x:v>
      </x:c>
      <x:c r="H166" s="75" t="n">
        <x:v>4</x:v>
      </x:c>
      <x:c r="I166" s="75" t="n">
        <x:v>6</x:v>
      </x:c>
      <x:c r="J166" s="75" t="n">
        <x:v>50</x:v>
      </x:c>
      <x:c r="K166" s="75" t="n">
        <x:v>10</x:v>
      </x:c>
      <x:c r="L166" s="75" t="str">
        <x:v>R2_5of50_2of10</x:v>
      </x:c>
      <x:c r="M166" s="213" t="str">
        <x:v>S1_pre_2024_studio_change_sensitivity_only</x:v>
      </x:c>
      <x:c r="N166" s="213" t="str">
        <x:v>Friday</x:v>
      </x:c>
      <x:c r="O166" s="213" t="str">
        <x:v>LottoMetrics full-history export</x:v>
      </x:c>
      <x:c r="P166" s="213" t="str">
        <x:v>Archive-sourced; calendar/range/uniqueness validated</x:v>
      </x:c>
      <x:c r="Q166" s="54" t="str"/>
    </x:row>
    <x:row r="167">
      <x:c r="A167" s="74" t="n">
        <x:v>164</x:v>
      </x:c>
      <x:c r="B167" s="217" t="n">
        <x:v>42132</x:v>
      </x:c>
      <x:c r="C167" s="75" t="n">
        <x:v>19</x:v>
      </x:c>
      <x:c r="D167" s="75" t="n">
        <x:v>31</x:v>
      </x:c>
      <x:c r="E167" s="75" t="n">
        <x:v>32</x:v>
      </x:c>
      <x:c r="F167" s="75" t="n">
        <x:v>40</x:v>
      </x:c>
      <x:c r="G167" s="75" t="n">
        <x:v>46</x:v>
      </x:c>
      <x:c r="H167" s="75" t="n">
        <x:v>8</x:v>
      </x:c>
      <x:c r="I167" s="75" t="n">
        <x:v>9</x:v>
      </x:c>
      <x:c r="J167" s="75" t="n">
        <x:v>50</x:v>
      </x:c>
      <x:c r="K167" s="75" t="n">
        <x:v>10</x:v>
      </x:c>
      <x:c r="L167" s="75" t="str">
        <x:v>R2_5of50_2of10</x:v>
      </x:c>
      <x:c r="M167" s="213" t="str">
        <x:v>S1_pre_2024_studio_change_sensitivity_only</x:v>
      </x:c>
      <x:c r="N167" s="213" t="str">
        <x:v>Friday</x:v>
      </x:c>
      <x:c r="O167" s="213" t="str">
        <x:v>LottoMetrics full-history export</x:v>
      </x:c>
      <x:c r="P167" s="213" t="str">
        <x:v>Archive-sourced; calendar/range/uniqueness validated</x:v>
      </x:c>
      <x:c r="Q167" s="54" t="str"/>
    </x:row>
    <x:row r="168">
      <x:c r="A168" s="74" t="n">
        <x:v>165</x:v>
      </x:c>
      <x:c r="B168" s="217" t="n">
        <x:v>42139</x:v>
      </x:c>
      <x:c r="C168" s="75" t="n">
        <x:v>12</x:v>
      </x:c>
      <x:c r="D168" s="75" t="n">
        <x:v>14</x:v>
      </x:c>
      <x:c r="E168" s="75" t="n">
        <x:v>18</x:v>
      </x:c>
      <x:c r="F168" s="75" t="n">
        <x:v>38</x:v>
      </x:c>
      <x:c r="G168" s="75" t="n">
        <x:v>46</x:v>
      </x:c>
      <x:c r="H168" s="75" t="n">
        <x:v>9</x:v>
      </x:c>
      <x:c r="I168" s="75" t="n">
        <x:v>10</x:v>
      </x:c>
      <x:c r="J168" s="75" t="n">
        <x:v>50</x:v>
      </x:c>
      <x:c r="K168" s="75" t="n">
        <x:v>10</x:v>
      </x:c>
      <x:c r="L168" s="75" t="str">
        <x:v>R2_5of50_2of10</x:v>
      </x:c>
      <x:c r="M168" s="213" t="str">
        <x:v>S1_pre_2024_studio_change_sensitivity_only</x:v>
      </x:c>
      <x:c r="N168" s="213" t="str">
        <x:v>Friday</x:v>
      </x:c>
      <x:c r="O168" s="213" t="str">
        <x:v>LottoMetrics full-history export</x:v>
      </x:c>
      <x:c r="P168" s="213" t="str">
        <x:v>Archive-sourced; calendar/range/uniqueness validated</x:v>
      </x:c>
      <x:c r="Q168" s="54" t="str"/>
    </x:row>
    <x:row r="169">
      <x:c r="A169" s="74" t="n">
        <x:v>166</x:v>
      </x:c>
      <x:c r="B169" s="217" t="n">
        <x:v>42146</x:v>
      </x:c>
      <x:c r="C169" s="75" t="n">
        <x:v>8</x:v>
      </x:c>
      <x:c r="D169" s="75" t="n">
        <x:v>23</x:v>
      </x:c>
      <x:c r="E169" s="75" t="n">
        <x:v>24</x:v>
      </x:c>
      <x:c r="F169" s="75" t="n">
        <x:v>39</x:v>
      </x:c>
      <x:c r="G169" s="75" t="n">
        <x:v>50</x:v>
      </x:c>
      <x:c r="H169" s="75" t="n">
        <x:v>1</x:v>
      </x:c>
      <x:c r="I169" s="75" t="n">
        <x:v>5</x:v>
      </x:c>
      <x:c r="J169" s="75" t="n">
        <x:v>50</x:v>
      </x:c>
      <x:c r="K169" s="75" t="n">
        <x:v>10</x:v>
      </x:c>
      <x:c r="L169" s="75" t="str">
        <x:v>R2_5of50_2of10</x:v>
      </x:c>
      <x:c r="M169" s="213" t="str">
        <x:v>S1_pre_2024_studio_change_sensitivity_only</x:v>
      </x:c>
      <x:c r="N169" s="213" t="str">
        <x:v>Friday</x:v>
      </x:c>
      <x:c r="O169" s="213" t="str">
        <x:v>LottoMetrics full-history export</x:v>
      </x:c>
      <x:c r="P169" s="213" t="str">
        <x:v>Archive-sourced; calendar/range/uniqueness validated</x:v>
      </x:c>
      <x:c r="Q169" s="54" t="str"/>
    </x:row>
    <x:row r="170">
      <x:c r="A170" s="74" t="n">
        <x:v>167</x:v>
      </x:c>
      <x:c r="B170" s="217" t="n">
        <x:v>42153</x:v>
      </x:c>
      <x:c r="C170" s="75" t="n">
        <x:v>1</x:v>
      </x:c>
      <x:c r="D170" s="75" t="n">
        <x:v>6</x:v>
      </x:c>
      <x:c r="E170" s="75" t="n">
        <x:v>16</x:v>
      </x:c>
      <x:c r="F170" s="75" t="n">
        <x:v>28</x:v>
      </x:c>
      <x:c r="G170" s="75" t="n">
        <x:v>38</x:v>
      </x:c>
      <x:c r="H170" s="75" t="n">
        <x:v>1</x:v>
      </x:c>
      <x:c r="I170" s="75" t="n">
        <x:v>6</x:v>
      </x:c>
      <x:c r="J170" s="75" t="n">
        <x:v>50</x:v>
      </x:c>
      <x:c r="K170" s="75" t="n">
        <x:v>10</x:v>
      </x:c>
      <x:c r="L170" s="75" t="str">
        <x:v>R2_5of50_2of10</x:v>
      </x:c>
      <x:c r="M170" s="213" t="str">
        <x:v>S1_pre_2024_studio_change_sensitivity_only</x:v>
      </x:c>
      <x:c r="N170" s="213" t="str">
        <x:v>Friday</x:v>
      </x:c>
      <x:c r="O170" s="213" t="str">
        <x:v>LottoMetrics full-history export</x:v>
      </x:c>
      <x:c r="P170" s="213" t="str">
        <x:v>Archive-sourced; calendar/range/uniqueness validated</x:v>
      </x:c>
      <x:c r="Q170" s="54" t="str"/>
    </x:row>
    <x:row r="171">
      <x:c r="A171" s="74" t="n">
        <x:v>168</x:v>
      </x:c>
      <x:c r="B171" s="217" t="n">
        <x:v>42160</x:v>
      </x:c>
      <x:c r="C171" s="75" t="n">
        <x:v>19</x:v>
      </x:c>
      <x:c r="D171" s="75" t="n">
        <x:v>38</x:v>
      </x:c>
      <x:c r="E171" s="75" t="n">
        <x:v>40</x:v>
      </x:c>
      <x:c r="F171" s="75" t="n">
        <x:v>41</x:v>
      </x:c>
      <x:c r="G171" s="75" t="n">
        <x:v>50</x:v>
      </x:c>
      <x:c r="H171" s="75" t="n">
        <x:v>1</x:v>
      </x:c>
      <x:c r="I171" s="75" t="n">
        <x:v>5</x:v>
      </x:c>
      <x:c r="J171" s="75" t="n">
        <x:v>50</x:v>
      </x:c>
      <x:c r="K171" s="75" t="n">
        <x:v>10</x:v>
      </x:c>
      <x:c r="L171" s="75" t="str">
        <x:v>R2_5of50_2of10</x:v>
      </x:c>
      <x:c r="M171" s="213" t="str">
        <x:v>S1_pre_2024_studio_change_sensitivity_only</x:v>
      </x:c>
      <x:c r="N171" s="213" t="str">
        <x:v>Friday</x:v>
      </x:c>
      <x:c r="O171" s="213" t="str">
        <x:v>LottoMetrics full-history export</x:v>
      </x:c>
      <x:c r="P171" s="213" t="str">
        <x:v>Archive-sourced; calendar/range/uniqueness validated</x:v>
      </x:c>
      <x:c r="Q171" s="54" t="str"/>
    </x:row>
    <x:row r="172">
      <x:c r="A172" s="74" t="n">
        <x:v>169</x:v>
      </x:c>
      <x:c r="B172" s="217" t="n">
        <x:v>42167</x:v>
      </x:c>
      <x:c r="C172" s="75" t="n">
        <x:v>17</x:v>
      </x:c>
      <x:c r="D172" s="75" t="n">
        <x:v>23</x:v>
      </x:c>
      <x:c r="E172" s="75" t="n">
        <x:v>27</x:v>
      </x:c>
      <x:c r="F172" s="75" t="n">
        <x:v>30</x:v>
      </x:c>
      <x:c r="G172" s="75" t="n">
        <x:v>39</x:v>
      </x:c>
      <x:c r="H172" s="75" t="n">
        <x:v>6</x:v>
      </x:c>
      <x:c r="I172" s="75" t="n">
        <x:v>8</x:v>
      </x:c>
      <x:c r="J172" s="75" t="n">
        <x:v>50</x:v>
      </x:c>
      <x:c r="K172" s="75" t="n">
        <x:v>10</x:v>
      </x:c>
      <x:c r="L172" s="75" t="str">
        <x:v>R2_5of50_2of10</x:v>
      </x:c>
      <x:c r="M172" s="213" t="str">
        <x:v>S1_pre_2024_studio_change_sensitivity_only</x:v>
      </x:c>
      <x:c r="N172" s="213" t="str">
        <x:v>Friday</x:v>
      </x:c>
      <x:c r="O172" s="213" t="str">
        <x:v>LottoMetrics full-history export</x:v>
      </x:c>
      <x:c r="P172" s="213" t="str">
        <x:v>Archive-sourced; calendar/range/uniqueness validated</x:v>
      </x:c>
      <x:c r="Q172" s="54" t="str"/>
    </x:row>
    <x:row r="173">
      <x:c r="A173" s="74" t="n">
        <x:v>170</x:v>
      </x:c>
      <x:c r="B173" s="217" t="n">
        <x:v>42174</x:v>
      </x:c>
      <x:c r="C173" s="75" t="n">
        <x:v>12</x:v>
      </x:c>
      <x:c r="D173" s="75" t="n">
        <x:v>14</x:v>
      </x:c>
      <x:c r="E173" s="75" t="n">
        <x:v>20</x:v>
      </x:c>
      <x:c r="F173" s="75" t="n">
        <x:v>21</x:v>
      </x:c>
      <x:c r="G173" s="75" t="n">
        <x:v>39</x:v>
      </x:c>
      <x:c r="H173" s="75" t="n">
        <x:v>5</x:v>
      </x:c>
      <x:c r="I173" s="75" t="n">
        <x:v>10</x:v>
      </x:c>
      <x:c r="J173" s="75" t="n">
        <x:v>50</x:v>
      </x:c>
      <x:c r="K173" s="75" t="n">
        <x:v>10</x:v>
      </x:c>
      <x:c r="L173" s="75" t="str">
        <x:v>R2_5of50_2of10</x:v>
      </x:c>
      <x:c r="M173" s="213" t="str">
        <x:v>S1_pre_2024_studio_change_sensitivity_only</x:v>
      </x:c>
      <x:c r="N173" s="213" t="str">
        <x:v>Friday</x:v>
      </x:c>
      <x:c r="O173" s="213" t="str">
        <x:v>LottoMetrics full-history export</x:v>
      </x:c>
      <x:c r="P173" s="213" t="str">
        <x:v>Archive-sourced; calendar/range/uniqueness validated</x:v>
      </x:c>
      <x:c r="Q173" s="54" t="str"/>
    </x:row>
    <x:row r="174">
      <x:c r="A174" s="74" t="n">
        <x:v>171</x:v>
      </x:c>
      <x:c r="B174" s="217" t="n">
        <x:v>42181</x:v>
      </x:c>
      <x:c r="C174" s="75" t="n">
        <x:v>14</x:v>
      </x:c>
      <x:c r="D174" s="75" t="n">
        <x:v>27</x:v>
      </x:c>
      <x:c r="E174" s="75" t="n">
        <x:v>28</x:v>
      </x:c>
      <x:c r="F174" s="75" t="n">
        <x:v>35</x:v>
      </x:c>
      <x:c r="G174" s="75" t="n">
        <x:v>47</x:v>
      </x:c>
      <x:c r="H174" s="75" t="n">
        <x:v>1</x:v>
      </x:c>
      <x:c r="I174" s="75" t="n">
        <x:v>8</x:v>
      </x:c>
      <x:c r="J174" s="75" t="n">
        <x:v>50</x:v>
      </x:c>
      <x:c r="K174" s="75" t="n">
        <x:v>10</x:v>
      </x:c>
      <x:c r="L174" s="75" t="str">
        <x:v>R2_5of50_2of10</x:v>
      </x:c>
      <x:c r="M174" s="213" t="str">
        <x:v>S1_pre_2024_studio_change_sensitivity_only</x:v>
      </x:c>
      <x:c r="N174" s="213" t="str">
        <x:v>Friday</x:v>
      </x:c>
      <x:c r="O174" s="213" t="str">
        <x:v>LottoMetrics full-history export</x:v>
      </x:c>
      <x:c r="P174" s="213" t="str">
        <x:v>Archive-sourced; calendar/range/uniqueness validated</x:v>
      </x:c>
      <x:c r="Q174" s="54" t="str"/>
    </x:row>
    <x:row r="175">
      <x:c r="A175" s="74" t="n">
        <x:v>172</x:v>
      </x:c>
      <x:c r="B175" s="217" t="n">
        <x:v>42188</x:v>
      </x:c>
      <x:c r="C175" s="75" t="n">
        <x:v>1</x:v>
      </x:c>
      <x:c r="D175" s="75" t="n">
        <x:v>31</x:v>
      </x:c>
      <x:c r="E175" s="75" t="n">
        <x:v>40</x:v>
      </x:c>
      <x:c r="F175" s="75" t="n">
        <x:v>41</x:v>
      </x:c>
      <x:c r="G175" s="75" t="n">
        <x:v>45</x:v>
      </x:c>
      <x:c r="H175" s="75" t="n">
        <x:v>5</x:v>
      </x:c>
      <x:c r="I175" s="75" t="n">
        <x:v>9</x:v>
      </x:c>
      <x:c r="J175" s="75" t="n">
        <x:v>50</x:v>
      </x:c>
      <x:c r="K175" s="75" t="n">
        <x:v>10</x:v>
      </x:c>
      <x:c r="L175" s="75" t="str">
        <x:v>R2_5of50_2of10</x:v>
      </x:c>
      <x:c r="M175" s="213" t="str">
        <x:v>S1_pre_2024_studio_change_sensitivity_only</x:v>
      </x:c>
      <x:c r="N175" s="213" t="str">
        <x:v>Friday</x:v>
      </x:c>
      <x:c r="O175" s="213" t="str">
        <x:v>LottoMetrics full-history export</x:v>
      </x:c>
      <x:c r="P175" s="213" t="str">
        <x:v>Archive-sourced; calendar/range/uniqueness validated</x:v>
      </x:c>
      <x:c r="Q175" s="54" t="str"/>
    </x:row>
    <x:row r="176">
      <x:c r="A176" s="74" t="n">
        <x:v>173</x:v>
      </x:c>
      <x:c r="B176" s="217" t="n">
        <x:v>42195</x:v>
      </x:c>
      <x:c r="C176" s="75" t="n">
        <x:v>12</x:v>
      </x:c>
      <x:c r="D176" s="75" t="n">
        <x:v>35</x:v>
      </x:c>
      <x:c r="E176" s="75" t="n">
        <x:v>36</x:v>
      </x:c>
      <x:c r="F176" s="75" t="n">
        <x:v>39</x:v>
      </x:c>
      <x:c r="G176" s="75" t="n">
        <x:v>47</x:v>
      </x:c>
      <x:c r="H176" s="75" t="n">
        <x:v>3</x:v>
      </x:c>
      <x:c r="I176" s="75" t="n">
        <x:v>6</x:v>
      </x:c>
      <x:c r="J176" s="75" t="n">
        <x:v>50</x:v>
      </x:c>
      <x:c r="K176" s="75" t="n">
        <x:v>10</x:v>
      </x:c>
      <x:c r="L176" s="75" t="str">
        <x:v>R2_5of50_2of10</x:v>
      </x:c>
      <x:c r="M176" s="213" t="str">
        <x:v>S1_pre_2024_studio_change_sensitivity_only</x:v>
      </x:c>
      <x:c r="N176" s="213" t="str">
        <x:v>Friday</x:v>
      </x:c>
      <x:c r="O176" s="213" t="str">
        <x:v>LottoMetrics full-history export</x:v>
      </x:c>
      <x:c r="P176" s="213" t="str">
        <x:v>Archive-sourced; calendar/range/uniqueness validated</x:v>
      </x:c>
      <x:c r="Q176" s="54" t="str"/>
    </x:row>
    <x:row r="177">
      <x:c r="A177" s="74" t="n">
        <x:v>174</x:v>
      </x:c>
      <x:c r="B177" s="217" t="n">
        <x:v>42202</x:v>
      </x:c>
      <x:c r="C177" s="75" t="n">
        <x:v>6</x:v>
      </x:c>
      <x:c r="D177" s="75" t="n">
        <x:v>21</x:v>
      </x:c>
      <x:c r="E177" s="75" t="n">
        <x:v>30</x:v>
      </x:c>
      <x:c r="F177" s="75" t="n">
        <x:v>37</x:v>
      </x:c>
      <x:c r="G177" s="75" t="n">
        <x:v>44</x:v>
      </x:c>
      <x:c r="H177" s="75" t="n">
        <x:v>1</x:v>
      </x:c>
      <x:c r="I177" s="75" t="n">
        <x:v>3</x:v>
      </x:c>
      <x:c r="J177" s="75" t="n">
        <x:v>50</x:v>
      </x:c>
      <x:c r="K177" s="75" t="n">
        <x:v>10</x:v>
      </x:c>
      <x:c r="L177" s="75" t="str">
        <x:v>R2_5of50_2of10</x:v>
      </x:c>
      <x:c r="M177" s="213" t="str">
        <x:v>S1_pre_2024_studio_change_sensitivity_only</x:v>
      </x:c>
      <x:c r="N177" s="213" t="str">
        <x:v>Friday</x:v>
      </x:c>
      <x:c r="O177" s="213" t="str">
        <x:v>LottoMetrics full-history export</x:v>
      </x:c>
      <x:c r="P177" s="213" t="str">
        <x:v>Archive-sourced; calendar/range/uniqueness validated</x:v>
      </x:c>
      <x:c r="Q177" s="54" t="str"/>
    </x:row>
    <x:row r="178">
      <x:c r="A178" s="74" t="n">
        <x:v>175</x:v>
      </x:c>
      <x:c r="B178" s="217" t="n">
        <x:v>42209</x:v>
      </x:c>
      <x:c r="C178" s="75" t="n">
        <x:v>6</x:v>
      </x:c>
      <x:c r="D178" s="75" t="n">
        <x:v>12</x:v>
      </x:c>
      <x:c r="E178" s="75" t="n">
        <x:v>15</x:v>
      </x:c>
      <x:c r="F178" s="75" t="n">
        <x:v>20</x:v>
      </x:c>
      <x:c r="G178" s="75" t="n">
        <x:v>30</x:v>
      </x:c>
      <x:c r="H178" s="75" t="n">
        <x:v>3</x:v>
      </x:c>
      <x:c r="I178" s="75" t="n">
        <x:v>6</x:v>
      </x:c>
      <x:c r="J178" s="75" t="n">
        <x:v>50</x:v>
      </x:c>
      <x:c r="K178" s="75" t="n">
        <x:v>10</x:v>
      </x:c>
      <x:c r="L178" s="75" t="str">
        <x:v>R2_5of50_2of10</x:v>
      </x:c>
      <x:c r="M178" s="213" t="str">
        <x:v>S1_pre_2024_studio_change_sensitivity_only</x:v>
      </x:c>
      <x:c r="N178" s="213" t="str">
        <x:v>Friday</x:v>
      </x:c>
      <x:c r="O178" s="213" t="str">
        <x:v>LottoMetrics full-history export</x:v>
      </x:c>
      <x:c r="P178" s="213" t="str">
        <x:v>Archive-sourced; calendar/range/uniqueness validated</x:v>
      </x:c>
      <x:c r="Q178" s="54" t="str"/>
    </x:row>
    <x:row r="179">
      <x:c r="A179" s="74" t="n">
        <x:v>176</x:v>
      </x:c>
      <x:c r="B179" s="217" t="n">
        <x:v>42216</x:v>
      </x:c>
      <x:c r="C179" s="75" t="n">
        <x:v>11</x:v>
      </x:c>
      <x:c r="D179" s="75" t="n">
        <x:v>19</x:v>
      </x:c>
      <x:c r="E179" s="75" t="n">
        <x:v>24</x:v>
      </x:c>
      <x:c r="F179" s="75" t="n">
        <x:v>46</x:v>
      </x:c>
      <x:c r="G179" s="75" t="n">
        <x:v>49</x:v>
      </x:c>
      <x:c r="H179" s="75" t="n">
        <x:v>1</x:v>
      </x:c>
      <x:c r="I179" s="75" t="n">
        <x:v>5</x:v>
      </x:c>
      <x:c r="J179" s="75" t="n">
        <x:v>50</x:v>
      </x:c>
      <x:c r="K179" s="75" t="n">
        <x:v>10</x:v>
      </x:c>
      <x:c r="L179" s="75" t="str">
        <x:v>R2_5of50_2of10</x:v>
      </x:c>
      <x:c r="M179" s="213" t="str">
        <x:v>S1_pre_2024_studio_change_sensitivity_only</x:v>
      </x:c>
      <x:c r="N179" s="213" t="str">
        <x:v>Friday</x:v>
      </x:c>
      <x:c r="O179" s="213" t="str">
        <x:v>LottoMetrics full-history export</x:v>
      </x:c>
      <x:c r="P179" s="213" t="str">
        <x:v>Archive-sourced; calendar/range/uniqueness validated</x:v>
      </x:c>
      <x:c r="Q179" s="54" t="str"/>
    </x:row>
    <x:row r="180">
      <x:c r="A180" s="74" t="n">
        <x:v>177</x:v>
      </x:c>
      <x:c r="B180" s="217" t="n">
        <x:v>42223</x:v>
      </x:c>
      <x:c r="C180" s="75" t="n">
        <x:v>1</x:v>
      </x:c>
      <x:c r="D180" s="75" t="n">
        <x:v>9</x:v>
      </x:c>
      <x:c r="E180" s="75" t="n">
        <x:v>15</x:v>
      </x:c>
      <x:c r="F180" s="75" t="n">
        <x:v>22</x:v>
      </x:c>
      <x:c r="G180" s="75" t="n">
        <x:v>49</x:v>
      </x:c>
      <x:c r="H180" s="75" t="n">
        <x:v>4</x:v>
      </x:c>
      <x:c r="I180" s="75" t="n">
        <x:v>7</x:v>
      </x:c>
      <x:c r="J180" s="75" t="n">
        <x:v>50</x:v>
      </x:c>
      <x:c r="K180" s="75" t="n">
        <x:v>10</x:v>
      </x:c>
      <x:c r="L180" s="75" t="str">
        <x:v>R2_5of50_2of10</x:v>
      </x:c>
      <x:c r="M180" s="213" t="str">
        <x:v>S1_pre_2024_studio_change_sensitivity_only</x:v>
      </x:c>
      <x:c r="N180" s="213" t="str">
        <x:v>Friday</x:v>
      </x:c>
      <x:c r="O180" s="213" t="str">
        <x:v>LottoMetrics full-history export</x:v>
      </x:c>
      <x:c r="P180" s="213" t="str">
        <x:v>Archive-sourced; calendar/range/uniqueness validated</x:v>
      </x:c>
      <x:c r="Q180" s="54" t="str"/>
    </x:row>
    <x:row r="181">
      <x:c r="A181" s="74" t="n">
        <x:v>178</x:v>
      </x:c>
      <x:c r="B181" s="217" t="n">
        <x:v>42230</x:v>
      </x:c>
      <x:c r="C181" s="75" t="n">
        <x:v>1</x:v>
      </x:c>
      <x:c r="D181" s="75" t="n">
        <x:v>7</x:v>
      </x:c>
      <x:c r="E181" s="75" t="n">
        <x:v>27</x:v>
      </x:c>
      <x:c r="F181" s="75" t="n">
        <x:v>28</x:v>
      </x:c>
      <x:c r="G181" s="75" t="n">
        <x:v>41</x:v>
      </x:c>
      <x:c r="H181" s="75" t="n">
        <x:v>2</x:v>
      </x:c>
      <x:c r="I181" s="75" t="n">
        <x:v>6</x:v>
      </x:c>
      <x:c r="J181" s="75" t="n">
        <x:v>50</x:v>
      </x:c>
      <x:c r="K181" s="75" t="n">
        <x:v>10</x:v>
      </x:c>
      <x:c r="L181" s="75" t="str">
        <x:v>R2_5of50_2of10</x:v>
      </x:c>
      <x:c r="M181" s="213" t="str">
        <x:v>S1_pre_2024_studio_change_sensitivity_only</x:v>
      </x:c>
      <x:c r="N181" s="213" t="str">
        <x:v>Friday</x:v>
      </x:c>
      <x:c r="O181" s="213" t="str">
        <x:v>LottoMetrics full-history export</x:v>
      </x:c>
      <x:c r="P181" s="213" t="str">
        <x:v>Archive-sourced; calendar/range/uniqueness validated</x:v>
      </x:c>
      <x:c r="Q181" s="54" t="str"/>
    </x:row>
    <x:row r="182">
      <x:c r="A182" s="74" t="n">
        <x:v>179</x:v>
      </x:c>
      <x:c r="B182" s="217" t="n">
        <x:v>42237</x:v>
      </x:c>
      <x:c r="C182" s="75" t="n">
        <x:v>13</x:v>
      </x:c>
      <x:c r="D182" s="75" t="n">
        <x:v>20</x:v>
      </x:c>
      <x:c r="E182" s="75" t="n">
        <x:v>39</x:v>
      </x:c>
      <x:c r="F182" s="75" t="n">
        <x:v>40</x:v>
      </x:c>
      <x:c r="G182" s="75" t="n">
        <x:v>42</x:v>
      </x:c>
      <x:c r="H182" s="75" t="n">
        <x:v>3</x:v>
      </x:c>
      <x:c r="I182" s="75" t="n">
        <x:v>9</x:v>
      </x:c>
      <x:c r="J182" s="75" t="n">
        <x:v>50</x:v>
      </x:c>
      <x:c r="K182" s="75" t="n">
        <x:v>10</x:v>
      </x:c>
      <x:c r="L182" s="75" t="str">
        <x:v>R2_5of50_2of10</x:v>
      </x:c>
      <x:c r="M182" s="213" t="str">
        <x:v>S1_pre_2024_studio_change_sensitivity_only</x:v>
      </x:c>
      <x:c r="N182" s="213" t="str">
        <x:v>Friday</x:v>
      </x:c>
      <x:c r="O182" s="213" t="str">
        <x:v>LottoMetrics full-history export</x:v>
      </x:c>
      <x:c r="P182" s="213" t="str">
        <x:v>Archive-sourced; calendar/range/uniqueness validated</x:v>
      </x:c>
      <x:c r="Q182" s="54" t="str"/>
    </x:row>
    <x:row r="183">
      <x:c r="A183" s="74" t="n">
        <x:v>180</x:v>
      </x:c>
      <x:c r="B183" s="217" t="n">
        <x:v>42244</x:v>
      </x:c>
      <x:c r="C183" s="75" t="n">
        <x:v>5</x:v>
      </x:c>
      <x:c r="D183" s="75" t="n">
        <x:v>8</x:v>
      </x:c>
      <x:c r="E183" s="75" t="n">
        <x:v>33</x:v>
      </x:c>
      <x:c r="F183" s="75" t="n">
        <x:v>34</x:v>
      </x:c>
      <x:c r="G183" s="75" t="n">
        <x:v>46</x:v>
      </x:c>
      <x:c r="H183" s="75" t="n">
        <x:v>3</x:v>
      </x:c>
      <x:c r="I183" s="75" t="n">
        <x:v>8</x:v>
      </x:c>
      <x:c r="J183" s="75" t="n">
        <x:v>50</x:v>
      </x:c>
      <x:c r="K183" s="75" t="n">
        <x:v>10</x:v>
      </x:c>
      <x:c r="L183" s="75" t="str">
        <x:v>R2_5of50_2of10</x:v>
      </x:c>
      <x:c r="M183" s="213" t="str">
        <x:v>S1_pre_2024_studio_change_sensitivity_only</x:v>
      </x:c>
      <x:c r="N183" s="213" t="str">
        <x:v>Friday</x:v>
      </x:c>
      <x:c r="O183" s="213" t="str">
        <x:v>LottoMetrics full-history export</x:v>
      </x:c>
      <x:c r="P183" s="213" t="str">
        <x:v>Archive-sourced; calendar/range/uniqueness validated</x:v>
      </x:c>
      <x:c r="Q183" s="54" t="str"/>
    </x:row>
    <x:row r="184">
      <x:c r="A184" s="74" t="n">
        <x:v>181</x:v>
      </x:c>
      <x:c r="B184" s="217" t="n">
        <x:v>42251</x:v>
      </x:c>
      <x:c r="C184" s="75" t="n">
        <x:v>12</x:v>
      </x:c>
      <x:c r="D184" s="75" t="n">
        <x:v>23</x:v>
      </x:c>
      <x:c r="E184" s="75" t="n">
        <x:v>37</x:v>
      </x:c>
      <x:c r="F184" s="75" t="n">
        <x:v>41</x:v>
      </x:c>
      <x:c r="G184" s="75" t="n">
        <x:v>46</x:v>
      </x:c>
      <x:c r="H184" s="75" t="n">
        <x:v>3</x:v>
      </x:c>
      <x:c r="I184" s="75" t="n">
        <x:v>7</x:v>
      </x:c>
      <x:c r="J184" s="75" t="n">
        <x:v>50</x:v>
      </x:c>
      <x:c r="K184" s="75" t="n">
        <x:v>10</x:v>
      </x:c>
      <x:c r="L184" s="75" t="str">
        <x:v>R2_5of50_2of10</x:v>
      </x:c>
      <x:c r="M184" s="213" t="str">
        <x:v>S1_pre_2024_studio_change_sensitivity_only</x:v>
      </x:c>
      <x:c r="N184" s="213" t="str">
        <x:v>Friday</x:v>
      </x:c>
      <x:c r="O184" s="213" t="str">
        <x:v>LottoMetrics full-history export</x:v>
      </x:c>
      <x:c r="P184" s="213" t="str">
        <x:v>Archive-sourced; calendar/range/uniqueness validated</x:v>
      </x:c>
      <x:c r="Q184" s="54" t="str"/>
    </x:row>
    <x:row r="185">
      <x:c r="A185" s="74" t="n">
        <x:v>182</x:v>
      </x:c>
      <x:c r="B185" s="217" t="n">
        <x:v>42258</x:v>
      </x:c>
      <x:c r="C185" s="75" t="n">
        <x:v>7</x:v>
      </x:c>
      <x:c r="D185" s="75" t="n">
        <x:v>22</x:v>
      </x:c>
      <x:c r="E185" s="75" t="n">
        <x:v>27</x:v>
      </x:c>
      <x:c r="F185" s="75" t="n">
        <x:v>30</x:v>
      </x:c>
      <x:c r="G185" s="75" t="n">
        <x:v>31</x:v>
      </x:c>
      <x:c r="H185" s="75" t="n">
        <x:v>5</x:v>
      </x:c>
      <x:c r="I185" s="75" t="n">
        <x:v>7</x:v>
      </x:c>
      <x:c r="J185" s="75" t="n">
        <x:v>50</x:v>
      </x:c>
      <x:c r="K185" s="75" t="n">
        <x:v>10</x:v>
      </x:c>
      <x:c r="L185" s="75" t="str">
        <x:v>R2_5of50_2of10</x:v>
      </x:c>
      <x:c r="M185" s="213" t="str">
        <x:v>S1_pre_2024_studio_change_sensitivity_only</x:v>
      </x:c>
      <x:c r="N185" s="213" t="str">
        <x:v>Friday</x:v>
      </x:c>
      <x:c r="O185" s="213" t="str">
        <x:v>LottoMetrics full-history export</x:v>
      </x:c>
      <x:c r="P185" s="213" t="str">
        <x:v>Archive-sourced; calendar/range/uniqueness validated</x:v>
      </x:c>
      <x:c r="Q185" s="54" t="str"/>
    </x:row>
    <x:row r="186">
      <x:c r="A186" s="74" t="n">
        <x:v>183</x:v>
      </x:c>
      <x:c r="B186" s="217" t="n">
        <x:v>42265</x:v>
      </x:c>
      <x:c r="C186" s="75" t="n">
        <x:v>3</x:v>
      </x:c>
      <x:c r="D186" s="75" t="n">
        <x:v>7</x:v>
      </x:c>
      <x:c r="E186" s="75" t="n">
        <x:v>13</x:v>
      </x:c>
      <x:c r="F186" s="75" t="n">
        <x:v>41</x:v>
      </x:c>
      <x:c r="G186" s="75" t="n">
        <x:v>48</x:v>
      </x:c>
      <x:c r="H186" s="75" t="n">
        <x:v>1</x:v>
      </x:c>
      <x:c r="I186" s="75" t="n">
        <x:v>7</x:v>
      </x:c>
      <x:c r="J186" s="75" t="n">
        <x:v>50</x:v>
      </x:c>
      <x:c r="K186" s="75" t="n">
        <x:v>10</x:v>
      </x:c>
      <x:c r="L186" s="75" t="str">
        <x:v>R2_5of50_2of10</x:v>
      </x:c>
      <x:c r="M186" s="213" t="str">
        <x:v>S1_pre_2024_studio_change_sensitivity_only</x:v>
      </x:c>
      <x:c r="N186" s="213" t="str">
        <x:v>Friday</x:v>
      </x:c>
      <x:c r="O186" s="213" t="str">
        <x:v>LottoMetrics full-history export</x:v>
      </x:c>
      <x:c r="P186" s="213" t="str">
        <x:v>Archive-sourced; calendar/range/uniqueness validated</x:v>
      </x:c>
      <x:c r="Q186" s="54" t="str"/>
    </x:row>
    <x:row r="187">
      <x:c r="A187" s="74" t="n">
        <x:v>184</x:v>
      </x:c>
      <x:c r="B187" s="217" t="n">
        <x:v>42272</x:v>
      </x:c>
      <x:c r="C187" s="75" t="n">
        <x:v>3</x:v>
      </x:c>
      <x:c r="D187" s="75" t="n">
        <x:v>5</x:v>
      </x:c>
      <x:c r="E187" s="75" t="n">
        <x:v>13</x:v>
      </x:c>
      <x:c r="F187" s="75" t="n">
        <x:v>16</x:v>
      </x:c>
      <x:c r="G187" s="75" t="n">
        <x:v>30</x:v>
      </x:c>
      <x:c r="H187" s="75" t="n">
        <x:v>3</x:v>
      </x:c>
      <x:c r="I187" s="75" t="n">
        <x:v>6</x:v>
      </x:c>
      <x:c r="J187" s="75" t="n">
        <x:v>50</x:v>
      </x:c>
      <x:c r="K187" s="75" t="n">
        <x:v>10</x:v>
      </x:c>
      <x:c r="L187" s="75" t="str">
        <x:v>R2_5of50_2of10</x:v>
      </x:c>
      <x:c r="M187" s="213" t="str">
        <x:v>S1_pre_2024_studio_change_sensitivity_only</x:v>
      </x:c>
      <x:c r="N187" s="213" t="str">
        <x:v>Friday</x:v>
      </x:c>
      <x:c r="O187" s="213" t="str">
        <x:v>LottoMetrics full-history export</x:v>
      </x:c>
      <x:c r="P187" s="213" t="str">
        <x:v>Archive-sourced; calendar/range/uniqueness validated</x:v>
      </x:c>
      <x:c r="Q187" s="54" t="str"/>
    </x:row>
    <x:row r="188">
      <x:c r="A188" s="74" t="n">
        <x:v>185</x:v>
      </x:c>
      <x:c r="B188" s="217" t="n">
        <x:v>42279</x:v>
      </x:c>
      <x:c r="C188" s="75" t="n">
        <x:v>7</x:v>
      </x:c>
      <x:c r="D188" s="75" t="n">
        <x:v>9</x:v>
      </x:c>
      <x:c r="E188" s="75" t="n">
        <x:v>28</x:v>
      </x:c>
      <x:c r="F188" s="75" t="n">
        <x:v>39</x:v>
      </x:c>
      <x:c r="G188" s="75" t="n">
        <x:v>47</x:v>
      </x:c>
      <x:c r="H188" s="75" t="n">
        <x:v>2</x:v>
      </x:c>
      <x:c r="I188" s="75" t="n">
        <x:v>8</x:v>
      </x:c>
      <x:c r="J188" s="75" t="n">
        <x:v>50</x:v>
      </x:c>
      <x:c r="K188" s="75" t="n">
        <x:v>10</x:v>
      </x:c>
      <x:c r="L188" s="75" t="str">
        <x:v>R2_5of50_2of10</x:v>
      </x:c>
      <x:c r="M188" s="213" t="str">
        <x:v>S1_pre_2024_studio_change_sensitivity_only</x:v>
      </x:c>
      <x:c r="N188" s="213" t="str">
        <x:v>Friday</x:v>
      </x:c>
      <x:c r="O188" s="213" t="str">
        <x:v>LottoMetrics full-history export</x:v>
      </x:c>
      <x:c r="P188" s="213" t="str">
        <x:v>Archive-sourced; calendar/range/uniqueness validated</x:v>
      </x:c>
      <x:c r="Q188" s="54" t="str"/>
    </x:row>
    <x:row r="189">
      <x:c r="A189" s="74" t="n">
        <x:v>186</x:v>
      </x:c>
      <x:c r="B189" s="217" t="n">
        <x:v>42286</x:v>
      </x:c>
      <x:c r="C189" s="75" t="n">
        <x:v>13</x:v>
      </x:c>
      <x:c r="D189" s="75" t="n">
        <x:v>14</x:v>
      </x:c>
      <x:c r="E189" s="75" t="n">
        <x:v>23</x:v>
      </x:c>
      <x:c r="F189" s="75" t="n">
        <x:v>26</x:v>
      </x:c>
      <x:c r="G189" s="75" t="n">
        <x:v>31</x:v>
      </x:c>
      <x:c r="H189" s="75" t="n">
        <x:v>3</x:v>
      </x:c>
      <x:c r="I189" s="75" t="n">
        <x:v>9</x:v>
      </x:c>
      <x:c r="J189" s="75" t="n">
        <x:v>50</x:v>
      </x:c>
      <x:c r="K189" s="75" t="n">
        <x:v>10</x:v>
      </x:c>
      <x:c r="L189" s="75" t="str">
        <x:v>R2_5of50_2of10</x:v>
      </x:c>
      <x:c r="M189" s="213" t="str">
        <x:v>S1_pre_2024_studio_change_sensitivity_only</x:v>
      </x:c>
      <x:c r="N189" s="213" t="str">
        <x:v>Friday</x:v>
      </x:c>
      <x:c r="O189" s="213" t="str">
        <x:v>LottoMetrics full-history export</x:v>
      </x:c>
      <x:c r="P189" s="213" t="str">
        <x:v>Archive-sourced; calendar/range/uniqueness validated</x:v>
      </x:c>
      <x:c r="Q189" s="54" t="str"/>
    </x:row>
    <x:row r="190">
      <x:c r="A190" s="74" t="n">
        <x:v>187</x:v>
      </x:c>
      <x:c r="B190" s="217" t="n">
        <x:v>42293</x:v>
      </x:c>
      <x:c r="C190" s="75" t="n">
        <x:v>11</x:v>
      </x:c>
      <x:c r="D190" s="75" t="n">
        <x:v>19</x:v>
      </x:c>
      <x:c r="E190" s="75" t="n">
        <x:v>38</x:v>
      </x:c>
      <x:c r="F190" s="75" t="n">
        <x:v>42</x:v>
      </x:c>
      <x:c r="G190" s="75" t="n">
        <x:v>46</x:v>
      </x:c>
      <x:c r="H190" s="75" t="n">
        <x:v>3</x:v>
      </x:c>
      <x:c r="I190" s="75" t="n">
        <x:v>9</x:v>
      </x:c>
      <x:c r="J190" s="75" t="n">
        <x:v>50</x:v>
      </x:c>
      <x:c r="K190" s="75" t="n">
        <x:v>10</x:v>
      </x:c>
      <x:c r="L190" s="75" t="str">
        <x:v>R2_5of50_2of10</x:v>
      </x:c>
      <x:c r="M190" s="213" t="str">
        <x:v>S1_pre_2024_studio_change_sensitivity_only</x:v>
      </x:c>
      <x:c r="N190" s="213" t="str">
        <x:v>Friday</x:v>
      </x:c>
      <x:c r="O190" s="213" t="str">
        <x:v>LottoMetrics full-history export</x:v>
      </x:c>
      <x:c r="P190" s="213" t="str">
        <x:v>Archive-sourced; calendar/range/uniqueness validated</x:v>
      </x:c>
      <x:c r="Q190" s="54" t="str"/>
    </x:row>
    <x:row r="191">
      <x:c r="A191" s="74" t="n">
        <x:v>188</x:v>
      </x:c>
      <x:c r="B191" s="217" t="n">
        <x:v>42300</x:v>
      </x:c>
      <x:c r="C191" s="75" t="n">
        <x:v>16</x:v>
      </x:c>
      <x:c r="D191" s="75" t="n">
        <x:v>18</x:v>
      </x:c>
      <x:c r="E191" s="75" t="n">
        <x:v>34</x:v>
      </x:c>
      <x:c r="F191" s="75" t="n">
        <x:v>36</x:v>
      </x:c>
      <x:c r="G191" s="75" t="n">
        <x:v>49</x:v>
      </x:c>
      <x:c r="H191" s="75" t="n">
        <x:v>6</x:v>
      </x:c>
      <x:c r="I191" s="75" t="n">
        <x:v>8</x:v>
      </x:c>
      <x:c r="J191" s="75" t="n">
        <x:v>50</x:v>
      </x:c>
      <x:c r="K191" s="75" t="n">
        <x:v>10</x:v>
      </x:c>
      <x:c r="L191" s="75" t="str">
        <x:v>R2_5of50_2of10</x:v>
      </x:c>
      <x:c r="M191" s="213" t="str">
        <x:v>S1_pre_2024_studio_change_sensitivity_only</x:v>
      </x:c>
      <x:c r="N191" s="213" t="str">
        <x:v>Friday</x:v>
      </x:c>
      <x:c r="O191" s="213" t="str">
        <x:v>LottoMetrics full-history export</x:v>
      </x:c>
      <x:c r="P191" s="213" t="str">
        <x:v>Archive-sourced; calendar/range/uniqueness validated</x:v>
      </x:c>
      <x:c r="Q191" s="54" t="str"/>
    </x:row>
    <x:row r="192">
      <x:c r="A192" s="74" t="n">
        <x:v>189</x:v>
      </x:c>
      <x:c r="B192" s="217" t="n">
        <x:v>42307</x:v>
      </x:c>
      <x:c r="C192" s="75" t="n">
        <x:v>5</x:v>
      </x:c>
      <x:c r="D192" s="75" t="n">
        <x:v>15</x:v>
      </x:c>
      <x:c r="E192" s="75" t="n">
        <x:v>16</x:v>
      </x:c>
      <x:c r="F192" s="75" t="n">
        <x:v>36</x:v>
      </x:c>
      <x:c r="G192" s="75" t="n">
        <x:v>37</x:v>
      </x:c>
      <x:c r="H192" s="75" t="n">
        <x:v>3</x:v>
      </x:c>
      <x:c r="I192" s="75" t="n">
        <x:v>5</x:v>
      </x:c>
      <x:c r="J192" s="75" t="n">
        <x:v>50</x:v>
      </x:c>
      <x:c r="K192" s="75" t="n">
        <x:v>10</x:v>
      </x:c>
      <x:c r="L192" s="75" t="str">
        <x:v>R2_5of50_2of10</x:v>
      </x:c>
      <x:c r="M192" s="213" t="str">
        <x:v>S1_pre_2024_studio_change_sensitivity_only</x:v>
      </x:c>
      <x:c r="N192" s="213" t="str">
        <x:v>Friday</x:v>
      </x:c>
      <x:c r="O192" s="213" t="str">
        <x:v>LottoMetrics full-history export</x:v>
      </x:c>
      <x:c r="P192" s="213" t="str">
        <x:v>Archive-sourced; calendar/range/uniqueness validated</x:v>
      </x:c>
      <x:c r="Q192" s="54" t="str"/>
    </x:row>
    <x:row r="193">
      <x:c r="A193" s="74" t="n">
        <x:v>190</x:v>
      </x:c>
      <x:c r="B193" s="217" t="n">
        <x:v>42314</x:v>
      </x:c>
      <x:c r="C193" s="75" t="n">
        <x:v>2</x:v>
      </x:c>
      <x:c r="D193" s="75" t="n">
        <x:v>4</x:v>
      </x:c>
      <x:c r="E193" s="75" t="n">
        <x:v>8</x:v>
      </x:c>
      <x:c r="F193" s="75" t="n">
        <x:v>22</x:v>
      </x:c>
      <x:c r="G193" s="75" t="n">
        <x:v>24</x:v>
      </x:c>
      <x:c r="H193" s="75" t="n">
        <x:v>3</x:v>
      </x:c>
      <x:c r="I193" s="75" t="n">
        <x:v>9</x:v>
      </x:c>
      <x:c r="J193" s="75" t="n">
        <x:v>50</x:v>
      </x:c>
      <x:c r="K193" s="75" t="n">
        <x:v>10</x:v>
      </x:c>
      <x:c r="L193" s="75" t="str">
        <x:v>R2_5of50_2of10</x:v>
      </x:c>
      <x:c r="M193" s="213" t="str">
        <x:v>S1_pre_2024_studio_change_sensitivity_only</x:v>
      </x:c>
      <x:c r="N193" s="213" t="str">
        <x:v>Friday</x:v>
      </x:c>
      <x:c r="O193" s="213" t="str">
        <x:v>LottoMetrics full-history export</x:v>
      </x:c>
      <x:c r="P193" s="213" t="str">
        <x:v>Archive-sourced; calendar/range/uniqueness validated</x:v>
      </x:c>
      <x:c r="Q193" s="54" t="str"/>
    </x:row>
    <x:row r="194">
      <x:c r="A194" s="74" t="n">
        <x:v>191</x:v>
      </x:c>
      <x:c r="B194" s="217" t="n">
        <x:v>42321</x:v>
      </x:c>
      <x:c r="C194" s="75" t="n">
        <x:v>19</x:v>
      </x:c>
      <x:c r="D194" s="75" t="n">
        <x:v>23</x:v>
      </x:c>
      <x:c r="E194" s="75" t="n">
        <x:v>26</x:v>
      </x:c>
      <x:c r="F194" s="75" t="n">
        <x:v>27</x:v>
      </x:c>
      <x:c r="G194" s="75" t="n">
        <x:v>49</x:v>
      </x:c>
      <x:c r="H194" s="75" t="n">
        <x:v>3</x:v>
      </x:c>
      <x:c r="I194" s="75" t="n">
        <x:v>10</x:v>
      </x:c>
      <x:c r="J194" s="75" t="n">
        <x:v>50</x:v>
      </x:c>
      <x:c r="K194" s="75" t="n">
        <x:v>10</x:v>
      </x:c>
      <x:c r="L194" s="75" t="str">
        <x:v>R2_5of50_2of10</x:v>
      </x:c>
      <x:c r="M194" s="213" t="str">
        <x:v>S1_pre_2024_studio_change_sensitivity_only</x:v>
      </x:c>
      <x:c r="N194" s="213" t="str">
        <x:v>Friday</x:v>
      </x:c>
      <x:c r="O194" s="213" t="str">
        <x:v>LottoMetrics full-history export</x:v>
      </x:c>
      <x:c r="P194" s="213" t="str">
        <x:v>Archive-sourced; calendar/range/uniqueness validated</x:v>
      </x:c>
      <x:c r="Q194" s="54" t="str"/>
    </x:row>
    <x:row r="195">
      <x:c r="A195" s="74" t="n">
        <x:v>192</x:v>
      </x:c>
      <x:c r="B195" s="217" t="n">
        <x:v>42328</x:v>
      </x:c>
      <x:c r="C195" s="75" t="n">
        <x:v>1</x:v>
      </x:c>
      <x:c r="D195" s="75" t="n">
        <x:v>18</x:v>
      </x:c>
      <x:c r="E195" s="75" t="n">
        <x:v>20</x:v>
      </x:c>
      <x:c r="F195" s="75" t="n">
        <x:v>31</x:v>
      </x:c>
      <x:c r="G195" s="75" t="n">
        <x:v>36</x:v>
      </x:c>
      <x:c r="H195" s="75" t="n">
        <x:v>5</x:v>
      </x:c>
      <x:c r="I195" s="75" t="n">
        <x:v>9</x:v>
      </x:c>
      <x:c r="J195" s="75" t="n">
        <x:v>50</x:v>
      </x:c>
      <x:c r="K195" s="75" t="n">
        <x:v>10</x:v>
      </x:c>
      <x:c r="L195" s="75" t="str">
        <x:v>R2_5of50_2of10</x:v>
      </x:c>
      <x:c r="M195" s="213" t="str">
        <x:v>S1_pre_2024_studio_change_sensitivity_only</x:v>
      </x:c>
      <x:c r="N195" s="213" t="str">
        <x:v>Friday</x:v>
      </x:c>
      <x:c r="O195" s="213" t="str">
        <x:v>LottoMetrics full-history export</x:v>
      </x:c>
      <x:c r="P195" s="213" t="str">
        <x:v>Archive-sourced; calendar/range/uniqueness validated</x:v>
      </x:c>
      <x:c r="Q195" s="54" t="str"/>
    </x:row>
    <x:row r="196">
      <x:c r="A196" s="74" t="n">
        <x:v>193</x:v>
      </x:c>
      <x:c r="B196" s="217" t="n">
        <x:v>42335</x:v>
      </x:c>
      <x:c r="C196" s="75" t="n">
        <x:v>2</x:v>
      </x:c>
      <x:c r="D196" s="75" t="n">
        <x:v>7</x:v>
      </x:c>
      <x:c r="E196" s="75" t="n">
        <x:v>13</x:v>
      </x:c>
      <x:c r="F196" s="75" t="n">
        <x:v>26</x:v>
      </x:c>
      <x:c r="G196" s="75" t="n">
        <x:v>49</x:v>
      </x:c>
      <x:c r="H196" s="75" t="n">
        <x:v>3</x:v>
      </x:c>
      <x:c r="I196" s="75" t="n">
        <x:v>4</x:v>
      </x:c>
      <x:c r="J196" s="75" t="n">
        <x:v>50</x:v>
      </x:c>
      <x:c r="K196" s="75" t="n">
        <x:v>10</x:v>
      </x:c>
      <x:c r="L196" s="75" t="str">
        <x:v>R2_5of50_2of10</x:v>
      </x:c>
      <x:c r="M196" s="213" t="str">
        <x:v>S1_pre_2024_studio_change_sensitivity_only</x:v>
      </x:c>
      <x:c r="N196" s="213" t="str">
        <x:v>Friday</x:v>
      </x:c>
      <x:c r="O196" s="213" t="str">
        <x:v>LottoMetrics full-history export</x:v>
      </x:c>
      <x:c r="P196" s="213" t="str">
        <x:v>Archive-sourced; calendar/range/uniqueness validated</x:v>
      </x:c>
      <x:c r="Q196" s="54" t="str"/>
    </x:row>
    <x:row r="197">
      <x:c r="A197" s="74" t="n">
        <x:v>194</x:v>
      </x:c>
      <x:c r="B197" s="217" t="n">
        <x:v>42342</x:v>
      </x:c>
      <x:c r="C197" s="75" t="n">
        <x:v>14</x:v>
      </x:c>
      <x:c r="D197" s="75" t="n">
        <x:v>16</x:v>
      </x:c>
      <x:c r="E197" s="75" t="n">
        <x:v>26</x:v>
      </x:c>
      <x:c r="F197" s="75" t="n">
        <x:v>34</x:v>
      </x:c>
      <x:c r="G197" s="75" t="n">
        <x:v>38</x:v>
      </x:c>
      <x:c r="H197" s="75" t="n">
        <x:v>2</x:v>
      </x:c>
      <x:c r="I197" s="75" t="n">
        <x:v>8</x:v>
      </x:c>
      <x:c r="J197" s="75" t="n">
        <x:v>50</x:v>
      </x:c>
      <x:c r="K197" s="75" t="n">
        <x:v>10</x:v>
      </x:c>
      <x:c r="L197" s="75" t="str">
        <x:v>R2_5of50_2of10</x:v>
      </x:c>
      <x:c r="M197" s="213" t="str">
        <x:v>S1_pre_2024_studio_change_sensitivity_only</x:v>
      </x:c>
      <x:c r="N197" s="213" t="str">
        <x:v>Friday</x:v>
      </x:c>
      <x:c r="O197" s="213" t="str">
        <x:v>LottoMetrics full-history export</x:v>
      </x:c>
      <x:c r="P197" s="213" t="str">
        <x:v>Archive-sourced; calendar/range/uniqueness validated</x:v>
      </x:c>
      <x:c r="Q197" s="54" t="str"/>
    </x:row>
    <x:row r="198">
      <x:c r="A198" s="74" t="n">
        <x:v>195</x:v>
      </x:c>
      <x:c r="B198" s="217" t="n">
        <x:v>42349</x:v>
      </x:c>
      <x:c r="C198" s="75" t="n">
        <x:v>34</x:v>
      </x:c>
      <x:c r="D198" s="75" t="n">
        <x:v>36</x:v>
      </x:c>
      <x:c r="E198" s="75" t="n">
        <x:v>37</x:v>
      </x:c>
      <x:c r="F198" s="75" t="n">
        <x:v>39</x:v>
      </x:c>
      <x:c r="G198" s="75" t="n">
        <x:v>49</x:v>
      </x:c>
      <x:c r="H198" s="75" t="n">
        <x:v>8</x:v>
      </x:c>
      <x:c r="I198" s="75" t="n">
        <x:v>10</x:v>
      </x:c>
      <x:c r="J198" s="75" t="n">
        <x:v>50</x:v>
      </x:c>
      <x:c r="K198" s="75" t="n">
        <x:v>10</x:v>
      </x:c>
      <x:c r="L198" s="75" t="str">
        <x:v>R2_5of50_2of10</x:v>
      </x:c>
      <x:c r="M198" s="213" t="str">
        <x:v>S1_pre_2024_studio_change_sensitivity_only</x:v>
      </x:c>
      <x:c r="N198" s="213" t="str">
        <x:v>Friday</x:v>
      </x:c>
      <x:c r="O198" s="213" t="str">
        <x:v>LottoMetrics full-history export</x:v>
      </x:c>
      <x:c r="P198" s="213" t="str">
        <x:v>Archive-sourced; calendar/range/uniqueness validated</x:v>
      </x:c>
      <x:c r="Q198" s="54" t="str"/>
    </x:row>
    <x:row r="199">
      <x:c r="A199" s="74" t="n">
        <x:v>196</x:v>
      </x:c>
      <x:c r="B199" s="217" t="n">
        <x:v>42356</x:v>
      </x:c>
      <x:c r="C199" s="75" t="n">
        <x:v>11</x:v>
      </x:c>
      <x:c r="D199" s="75" t="n">
        <x:v>19</x:v>
      </x:c>
      <x:c r="E199" s="75" t="n">
        <x:v>27</x:v>
      </x:c>
      <x:c r="F199" s="75" t="n">
        <x:v>32</x:v>
      </x:c>
      <x:c r="G199" s="75" t="n">
        <x:v>42</x:v>
      </x:c>
      <x:c r="H199" s="75" t="n">
        <x:v>5</x:v>
      </x:c>
      <x:c r="I199" s="75" t="n">
        <x:v>9</x:v>
      </x:c>
      <x:c r="J199" s="75" t="n">
        <x:v>50</x:v>
      </x:c>
      <x:c r="K199" s="75" t="n">
        <x:v>10</x:v>
      </x:c>
      <x:c r="L199" s="75" t="str">
        <x:v>R2_5of50_2of10</x:v>
      </x:c>
      <x:c r="M199" s="213" t="str">
        <x:v>S1_pre_2024_studio_change_sensitivity_only</x:v>
      </x:c>
      <x:c r="N199" s="213" t="str">
        <x:v>Friday</x:v>
      </x:c>
      <x:c r="O199" s="213" t="str">
        <x:v>LottoMetrics full-history export</x:v>
      </x:c>
      <x:c r="P199" s="213" t="str">
        <x:v>Archive-sourced; calendar/range/uniqueness validated</x:v>
      </x:c>
      <x:c r="Q199" s="54" t="str"/>
    </x:row>
    <x:row r="200">
      <x:c r="A200" s="74" t="n">
        <x:v>197</x:v>
      </x:c>
      <x:c r="B200" s="217" t="n">
        <x:v>42363</x:v>
      </x:c>
      <x:c r="C200" s="75" t="n">
        <x:v>8</x:v>
      </x:c>
      <x:c r="D200" s="75" t="n">
        <x:v>9</x:v>
      </x:c>
      <x:c r="E200" s="75" t="n">
        <x:v>33</x:v>
      </x:c>
      <x:c r="F200" s="75" t="n">
        <x:v>34</x:v>
      </x:c>
      <x:c r="G200" s="75" t="n">
        <x:v>36</x:v>
      </x:c>
      <x:c r="H200" s="75" t="n">
        <x:v>3</x:v>
      </x:c>
      <x:c r="I200" s="75" t="n">
        <x:v>9</x:v>
      </x:c>
      <x:c r="J200" s="75" t="n">
        <x:v>50</x:v>
      </x:c>
      <x:c r="K200" s="75" t="n">
        <x:v>10</x:v>
      </x:c>
      <x:c r="L200" s="75" t="str">
        <x:v>R2_5of50_2of10</x:v>
      </x:c>
      <x:c r="M200" s="213" t="str">
        <x:v>S1_pre_2024_studio_change_sensitivity_only</x:v>
      </x:c>
      <x:c r="N200" s="213" t="str">
        <x:v>Friday</x:v>
      </x:c>
      <x:c r="O200" s="213" t="str">
        <x:v>LottoMetrics full-history export</x:v>
      </x:c>
      <x:c r="P200" s="213" t="str">
        <x:v>Archive-sourced; calendar/range/uniqueness validated</x:v>
      </x:c>
      <x:c r="Q200" s="54" t="str"/>
    </x:row>
    <x:row r="201">
      <x:c r="A201" s="74" t="n">
        <x:v>198</x:v>
      </x:c>
      <x:c r="B201" s="217" t="n">
        <x:v>42370</x:v>
      </x:c>
      <x:c r="C201" s="75" t="n">
        <x:v>11</x:v>
      </x:c>
      <x:c r="D201" s="75" t="n">
        <x:v>14</x:v>
      </x:c>
      <x:c r="E201" s="75" t="n">
        <x:v>35</x:v>
      </x:c>
      <x:c r="F201" s="75" t="n">
        <x:v>44</x:v>
      </x:c>
      <x:c r="G201" s="75" t="n">
        <x:v>45</x:v>
      </x:c>
      <x:c r="H201" s="75" t="n">
        <x:v>5</x:v>
      </x:c>
      <x:c r="I201" s="75" t="n">
        <x:v>6</x:v>
      </x:c>
      <x:c r="J201" s="75" t="n">
        <x:v>50</x:v>
      </x:c>
      <x:c r="K201" s="75" t="n">
        <x:v>10</x:v>
      </x:c>
      <x:c r="L201" s="75" t="str">
        <x:v>R2_5of50_2of10</x:v>
      </x:c>
      <x:c r="M201" s="213" t="str">
        <x:v>S1_pre_2024_studio_change_sensitivity_only</x:v>
      </x:c>
      <x:c r="N201" s="213" t="str">
        <x:v>Friday</x:v>
      </x:c>
      <x:c r="O201" s="213" t="str">
        <x:v>LottoMetrics full-history export</x:v>
      </x:c>
      <x:c r="P201" s="213" t="str">
        <x:v>Archive-sourced; calendar/range/uniqueness validated</x:v>
      </x:c>
      <x:c r="Q201" s="54" t="str"/>
    </x:row>
    <x:row r="202">
      <x:c r="A202" s="74" t="n">
        <x:v>199</x:v>
      </x:c>
      <x:c r="B202" s="217" t="n">
        <x:v>42377</x:v>
      </x:c>
      <x:c r="C202" s="75" t="n">
        <x:v>1</x:v>
      </x:c>
      <x:c r="D202" s="75" t="n">
        <x:v>2</x:v>
      </x:c>
      <x:c r="E202" s="75" t="n">
        <x:v>5</x:v>
      </x:c>
      <x:c r="F202" s="75" t="n">
        <x:v>24</x:v>
      </x:c>
      <x:c r="G202" s="75" t="n">
        <x:v>47</x:v>
      </x:c>
      <x:c r="H202" s="75" t="n">
        <x:v>3</x:v>
      </x:c>
      <x:c r="I202" s="75" t="n">
        <x:v>8</x:v>
      </x:c>
      <x:c r="J202" s="75" t="n">
        <x:v>50</x:v>
      </x:c>
      <x:c r="K202" s="75" t="n">
        <x:v>10</x:v>
      </x:c>
      <x:c r="L202" s="75" t="str">
        <x:v>R2_5of50_2of10</x:v>
      </x:c>
      <x:c r="M202" s="213" t="str">
        <x:v>S1_pre_2024_studio_change_sensitivity_only</x:v>
      </x:c>
      <x:c r="N202" s="213" t="str">
        <x:v>Friday</x:v>
      </x:c>
      <x:c r="O202" s="213" t="str">
        <x:v>LottoMetrics full-history export</x:v>
      </x:c>
      <x:c r="P202" s="213" t="str">
        <x:v>Archive-sourced; calendar/range/uniqueness validated</x:v>
      </x:c>
      <x:c r="Q202" s="54" t="str"/>
    </x:row>
    <x:row r="203">
      <x:c r="A203" s="74" t="n">
        <x:v>200</x:v>
      </x:c>
      <x:c r="B203" s="217" t="n">
        <x:v>42384</x:v>
      </x:c>
      <x:c r="C203" s="75" t="n">
        <x:v>4</x:v>
      </x:c>
      <x:c r="D203" s="75" t="n">
        <x:v>23</x:v>
      </x:c>
      <x:c r="E203" s="75" t="n">
        <x:v>25</x:v>
      </x:c>
      <x:c r="F203" s="75" t="n">
        <x:v>37</x:v>
      </x:c>
      <x:c r="G203" s="75" t="n">
        <x:v>39</x:v>
      </x:c>
      <x:c r="H203" s="75" t="n">
        <x:v>1</x:v>
      </x:c>
      <x:c r="I203" s="75" t="n">
        <x:v>9</x:v>
      </x:c>
      <x:c r="J203" s="75" t="n">
        <x:v>50</x:v>
      </x:c>
      <x:c r="K203" s="75" t="n">
        <x:v>10</x:v>
      </x:c>
      <x:c r="L203" s="75" t="str">
        <x:v>R2_5of50_2of10</x:v>
      </x:c>
      <x:c r="M203" s="213" t="str">
        <x:v>S1_pre_2024_studio_change_sensitivity_only</x:v>
      </x:c>
      <x:c r="N203" s="213" t="str">
        <x:v>Friday</x:v>
      </x:c>
      <x:c r="O203" s="213" t="str">
        <x:v>LottoMetrics full-history export</x:v>
      </x:c>
      <x:c r="P203" s="213" t="str">
        <x:v>Archive-sourced; calendar/range/uniqueness validated</x:v>
      </x:c>
      <x:c r="Q203" s="54" t="str"/>
    </x:row>
    <x:row r="204">
      <x:c r="A204" s="74" t="n">
        <x:v>201</x:v>
      </x:c>
      <x:c r="B204" s="217" t="n">
        <x:v>42391</x:v>
      </x:c>
      <x:c r="C204" s="75" t="n">
        <x:v>3</x:v>
      </x:c>
      <x:c r="D204" s="75" t="n">
        <x:v>19</x:v>
      </x:c>
      <x:c r="E204" s="75" t="n">
        <x:v>26</x:v>
      </x:c>
      <x:c r="F204" s="75" t="n">
        <x:v>29</x:v>
      </x:c>
      <x:c r="G204" s="75" t="n">
        <x:v>36</x:v>
      </x:c>
      <x:c r="H204" s="75" t="n">
        <x:v>4</x:v>
      </x:c>
      <x:c r="I204" s="75" t="n">
        <x:v>9</x:v>
      </x:c>
      <x:c r="J204" s="75" t="n">
        <x:v>50</x:v>
      </x:c>
      <x:c r="K204" s="75" t="n">
        <x:v>10</x:v>
      </x:c>
      <x:c r="L204" s="75" t="str">
        <x:v>R2_5of50_2of10</x:v>
      </x:c>
      <x:c r="M204" s="213" t="str">
        <x:v>S1_pre_2024_studio_change_sensitivity_only</x:v>
      </x:c>
      <x:c r="N204" s="213" t="str">
        <x:v>Friday</x:v>
      </x:c>
      <x:c r="O204" s="213" t="str">
        <x:v>LottoMetrics full-history export</x:v>
      </x:c>
      <x:c r="P204" s="213" t="str">
        <x:v>Archive-sourced; calendar/range/uniqueness validated</x:v>
      </x:c>
      <x:c r="Q204" s="54" t="str"/>
    </x:row>
    <x:row r="205">
      <x:c r="A205" s="74" t="n">
        <x:v>202</x:v>
      </x:c>
      <x:c r="B205" s="217" t="n">
        <x:v>42398</x:v>
      </x:c>
      <x:c r="C205" s="75" t="n">
        <x:v>3</x:v>
      </x:c>
      <x:c r="D205" s="75" t="n">
        <x:v>20</x:v>
      </x:c>
      <x:c r="E205" s="75" t="n">
        <x:v>32</x:v>
      </x:c>
      <x:c r="F205" s="75" t="n">
        <x:v>40</x:v>
      </x:c>
      <x:c r="G205" s="75" t="n">
        <x:v>42</x:v>
      </x:c>
      <x:c r="H205" s="75" t="n">
        <x:v>4</x:v>
      </x:c>
      <x:c r="I205" s="75" t="n">
        <x:v>9</x:v>
      </x:c>
      <x:c r="J205" s="75" t="n">
        <x:v>50</x:v>
      </x:c>
      <x:c r="K205" s="75" t="n">
        <x:v>10</x:v>
      </x:c>
      <x:c r="L205" s="75" t="str">
        <x:v>R2_5of50_2of10</x:v>
      </x:c>
      <x:c r="M205" s="213" t="str">
        <x:v>S1_pre_2024_studio_change_sensitivity_only</x:v>
      </x:c>
      <x:c r="N205" s="213" t="str">
        <x:v>Friday</x:v>
      </x:c>
      <x:c r="O205" s="213" t="str">
        <x:v>LottoMetrics full-history export</x:v>
      </x:c>
      <x:c r="P205" s="213" t="str">
        <x:v>Archive-sourced; calendar/range/uniqueness validated</x:v>
      </x:c>
      <x:c r="Q205" s="54" t="str"/>
    </x:row>
    <x:row r="206">
      <x:c r="A206" s="74" t="n">
        <x:v>203</x:v>
      </x:c>
      <x:c r="B206" s="217" t="n">
        <x:v>42405</x:v>
      </x:c>
      <x:c r="C206" s="75" t="n">
        <x:v>10</x:v>
      </x:c>
      <x:c r="D206" s="75" t="n">
        <x:v>25</x:v>
      </x:c>
      <x:c r="E206" s="75" t="n">
        <x:v>35</x:v>
      </x:c>
      <x:c r="F206" s="75" t="n">
        <x:v>37</x:v>
      </x:c>
      <x:c r="G206" s="75" t="n">
        <x:v>43</x:v>
      </x:c>
      <x:c r="H206" s="75" t="n">
        <x:v>5</x:v>
      </x:c>
      <x:c r="I206" s="75" t="n">
        <x:v>8</x:v>
      </x:c>
      <x:c r="J206" s="75" t="n">
        <x:v>50</x:v>
      </x:c>
      <x:c r="K206" s="75" t="n">
        <x:v>10</x:v>
      </x:c>
      <x:c r="L206" s="75" t="str">
        <x:v>R2_5of50_2of10</x:v>
      </x:c>
      <x:c r="M206" s="213" t="str">
        <x:v>S1_pre_2024_studio_change_sensitivity_only</x:v>
      </x:c>
      <x:c r="N206" s="213" t="str">
        <x:v>Friday</x:v>
      </x:c>
      <x:c r="O206" s="213" t="str">
        <x:v>LottoMetrics full-history export</x:v>
      </x:c>
      <x:c r="P206" s="213" t="str">
        <x:v>Archive-sourced; calendar/range/uniqueness validated</x:v>
      </x:c>
      <x:c r="Q206" s="54" t="str"/>
    </x:row>
    <x:row r="207">
      <x:c r="A207" s="74" t="n">
        <x:v>204</x:v>
      </x:c>
      <x:c r="B207" s="217" t="n">
        <x:v>42412</x:v>
      </x:c>
      <x:c r="C207" s="75" t="n">
        <x:v>7</x:v>
      </x:c>
      <x:c r="D207" s="75" t="n">
        <x:v>20</x:v>
      </x:c>
      <x:c r="E207" s="75" t="n">
        <x:v>21</x:v>
      </x:c>
      <x:c r="F207" s="75" t="n">
        <x:v>33</x:v>
      </x:c>
      <x:c r="G207" s="75" t="n">
        <x:v>41</x:v>
      </x:c>
      <x:c r="H207" s="75" t="n">
        <x:v>1</x:v>
      </x:c>
      <x:c r="I207" s="75" t="n">
        <x:v>2</x:v>
      </x:c>
      <x:c r="J207" s="75" t="n">
        <x:v>50</x:v>
      </x:c>
      <x:c r="K207" s="75" t="n">
        <x:v>10</x:v>
      </x:c>
      <x:c r="L207" s="75" t="str">
        <x:v>R2_5of50_2of10</x:v>
      </x:c>
      <x:c r="M207" s="213" t="str">
        <x:v>S1_pre_2024_studio_change_sensitivity_only</x:v>
      </x:c>
      <x:c r="N207" s="213" t="str">
        <x:v>Friday</x:v>
      </x:c>
      <x:c r="O207" s="213" t="str">
        <x:v>LottoMetrics full-history export</x:v>
      </x:c>
      <x:c r="P207" s="213" t="str">
        <x:v>Archive-sourced; calendar/range/uniqueness validated</x:v>
      </x:c>
      <x:c r="Q207" s="54" t="str"/>
    </x:row>
    <x:row r="208">
      <x:c r="A208" s="74" t="n">
        <x:v>205</x:v>
      </x:c>
      <x:c r="B208" s="217" t="n">
        <x:v>42419</x:v>
      </x:c>
      <x:c r="C208" s="75" t="n">
        <x:v>10</x:v>
      </x:c>
      <x:c r="D208" s="75" t="n">
        <x:v>12</x:v>
      </x:c>
      <x:c r="E208" s="75" t="n">
        <x:v>28</x:v>
      </x:c>
      <x:c r="F208" s="75" t="n">
        <x:v>29</x:v>
      </x:c>
      <x:c r="G208" s="75" t="n">
        <x:v>49</x:v>
      </x:c>
      <x:c r="H208" s="75" t="n">
        <x:v>3</x:v>
      </x:c>
      <x:c r="I208" s="75" t="n">
        <x:v>4</x:v>
      </x:c>
      <x:c r="J208" s="75" t="n">
        <x:v>50</x:v>
      </x:c>
      <x:c r="K208" s="75" t="n">
        <x:v>10</x:v>
      </x:c>
      <x:c r="L208" s="75" t="str">
        <x:v>R2_5of50_2of10</x:v>
      </x:c>
      <x:c r="M208" s="213" t="str">
        <x:v>S1_pre_2024_studio_change_sensitivity_only</x:v>
      </x:c>
      <x:c r="N208" s="213" t="str">
        <x:v>Friday</x:v>
      </x:c>
      <x:c r="O208" s="213" t="str">
        <x:v>LottoMetrics full-history export</x:v>
      </x:c>
      <x:c r="P208" s="213" t="str">
        <x:v>Archive-sourced; calendar/range/uniqueness validated</x:v>
      </x:c>
      <x:c r="Q208" s="54" t="str"/>
    </x:row>
    <x:row r="209">
      <x:c r="A209" s="74" t="n">
        <x:v>206</x:v>
      </x:c>
      <x:c r="B209" s="217" t="n">
        <x:v>42426</x:v>
      </x:c>
      <x:c r="C209" s="75" t="n">
        <x:v>9</x:v>
      </x:c>
      <x:c r="D209" s="75" t="n">
        <x:v>11</x:v>
      </x:c>
      <x:c r="E209" s="75" t="n">
        <x:v>19</x:v>
      </x:c>
      <x:c r="F209" s="75" t="n">
        <x:v>42</x:v>
      </x:c>
      <x:c r="G209" s="75" t="n">
        <x:v>45</x:v>
      </x:c>
      <x:c r="H209" s="75" t="n">
        <x:v>7</x:v>
      </x:c>
      <x:c r="I209" s="75" t="n">
        <x:v>10</x:v>
      </x:c>
      <x:c r="J209" s="75" t="n">
        <x:v>50</x:v>
      </x:c>
      <x:c r="K209" s="75" t="n">
        <x:v>10</x:v>
      </x:c>
      <x:c r="L209" s="75" t="str">
        <x:v>R2_5of50_2of10</x:v>
      </x:c>
      <x:c r="M209" s="213" t="str">
        <x:v>S1_pre_2024_studio_change_sensitivity_only</x:v>
      </x:c>
      <x:c r="N209" s="213" t="str">
        <x:v>Friday</x:v>
      </x:c>
      <x:c r="O209" s="213" t="str">
        <x:v>LottoMetrics full-history export</x:v>
      </x:c>
      <x:c r="P209" s="213" t="str">
        <x:v>Archive-sourced; calendar/range/uniqueness validated</x:v>
      </x:c>
      <x:c r="Q209" s="54" t="str"/>
    </x:row>
    <x:row r="210">
      <x:c r="A210" s="74" t="n">
        <x:v>207</x:v>
      </x:c>
      <x:c r="B210" s="217" t="n">
        <x:v>42433</x:v>
      </x:c>
      <x:c r="C210" s="75" t="n">
        <x:v>2</x:v>
      </x:c>
      <x:c r="D210" s="75" t="n">
        <x:v>5</x:v>
      </x:c>
      <x:c r="E210" s="75" t="n">
        <x:v>10</x:v>
      </x:c>
      <x:c r="F210" s="75" t="n">
        <x:v>13</x:v>
      </x:c>
      <x:c r="G210" s="75" t="n">
        <x:v>28</x:v>
      </x:c>
      <x:c r="H210" s="75" t="n">
        <x:v>3</x:v>
      </x:c>
      <x:c r="I210" s="75" t="n">
        <x:v>10</x:v>
      </x:c>
      <x:c r="J210" s="75" t="n">
        <x:v>50</x:v>
      </x:c>
      <x:c r="K210" s="75" t="n">
        <x:v>10</x:v>
      </x:c>
      <x:c r="L210" s="75" t="str">
        <x:v>R2_5of50_2of10</x:v>
      </x:c>
      <x:c r="M210" s="213" t="str">
        <x:v>S1_pre_2024_studio_change_sensitivity_only</x:v>
      </x:c>
      <x:c r="N210" s="213" t="str">
        <x:v>Friday</x:v>
      </x:c>
      <x:c r="O210" s="213" t="str">
        <x:v>LottoMetrics full-history export</x:v>
      </x:c>
      <x:c r="P210" s="213" t="str">
        <x:v>Archive-sourced; calendar/range/uniqueness validated</x:v>
      </x:c>
      <x:c r="Q210" s="54" t="str"/>
    </x:row>
    <x:row r="211">
      <x:c r="A211" s="74" t="n">
        <x:v>208</x:v>
      </x:c>
      <x:c r="B211" s="217" t="n">
        <x:v>42440</x:v>
      </x:c>
      <x:c r="C211" s="75" t="n">
        <x:v>10</x:v>
      </x:c>
      <x:c r="D211" s="75" t="n">
        <x:v>16</x:v>
      </x:c>
      <x:c r="E211" s="75" t="n">
        <x:v>31</x:v>
      </x:c>
      <x:c r="F211" s="75" t="n">
        <x:v>37</x:v>
      </x:c>
      <x:c r="G211" s="75" t="n">
        <x:v>40</x:v>
      </x:c>
      <x:c r="H211" s="75" t="n">
        <x:v>3</x:v>
      </x:c>
      <x:c r="I211" s="75" t="n">
        <x:v>9</x:v>
      </x:c>
      <x:c r="J211" s="75" t="n">
        <x:v>50</x:v>
      </x:c>
      <x:c r="K211" s="75" t="n">
        <x:v>10</x:v>
      </x:c>
      <x:c r="L211" s="75" t="str">
        <x:v>R2_5of50_2of10</x:v>
      </x:c>
      <x:c r="M211" s="213" t="str">
        <x:v>S1_pre_2024_studio_change_sensitivity_only</x:v>
      </x:c>
      <x:c r="N211" s="213" t="str">
        <x:v>Friday</x:v>
      </x:c>
      <x:c r="O211" s="213" t="str">
        <x:v>LottoMetrics full-history export</x:v>
      </x:c>
      <x:c r="P211" s="213" t="str">
        <x:v>Archive-sourced; calendar/range/uniqueness validated</x:v>
      </x:c>
      <x:c r="Q211" s="54" t="str"/>
    </x:row>
    <x:row r="212">
      <x:c r="A212" s="74" t="n">
        <x:v>209</x:v>
      </x:c>
      <x:c r="B212" s="217" t="n">
        <x:v>42447</x:v>
      </x:c>
      <x:c r="C212" s="75" t="n">
        <x:v>10</x:v>
      </x:c>
      <x:c r="D212" s="75" t="n">
        <x:v>20</x:v>
      </x:c>
      <x:c r="E212" s="75" t="n">
        <x:v>35</x:v>
      </x:c>
      <x:c r="F212" s="75" t="n">
        <x:v>47</x:v>
      </x:c>
      <x:c r="G212" s="75" t="n">
        <x:v>50</x:v>
      </x:c>
      <x:c r="H212" s="75" t="n">
        <x:v>4</x:v>
      </x:c>
      <x:c r="I212" s="75" t="n">
        <x:v>7</x:v>
      </x:c>
      <x:c r="J212" s="75" t="n">
        <x:v>50</x:v>
      </x:c>
      <x:c r="K212" s="75" t="n">
        <x:v>10</x:v>
      </x:c>
      <x:c r="L212" s="75" t="str">
        <x:v>R2_5of50_2of10</x:v>
      </x:c>
      <x:c r="M212" s="213" t="str">
        <x:v>S1_pre_2024_studio_change_sensitivity_only</x:v>
      </x:c>
      <x:c r="N212" s="213" t="str">
        <x:v>Friday</x:v>
      </x:c>
      <x:c r="O212" s="213" t="str">
        <x:v>LottoMetrics full-history export</x:v>
      </x:c>
      <x:c r="P212" s="213" t="str">
        <x:v>Archive-sourced; calendar/range/uniqueness validated</x:v>
      </x:c>
      <x:c r="Q212" s="54" t="str"/>
    </x:row>
    <x:row r="213">
      <x:c r="A213" s="74" t="n">
        <x:v>210</x:v>
      </x:c>
      <x:c r="B213" s="217" t="n">
        <x:v>42454</x:v>
      </x:c>
      <x:c r="C213" s="75" t="n">
        <x:v>9</x:v>
      </x:c>
      <x:c r="D213" s="75" t="n">
        <x:v>10</x:v>
      </x:c>
      <x:c r="E213" s="75" t="n">
        <x:v>19</x:v>
      </x:c>
      <x:c r="F213" s="75" t="n">
        <x:v>20</x:v>
      </x:c>
      <x:c r="G213" s="75" t="n">
        <x:v>35</x:v>
      </x:c>
      <x:c r="H213" s="75" t="n">
        <x:v>3</x:v>
      </x:c>
      <x:c r="I213" s="75" t="n">
        <x:v>4</x:v>
      </x:c>
      <x:c r="J213" s="75" t="n">
        <x:v>50</x:v>
      </x:c>
      <x:c r="K213" s="75" t="n">
        <x:v>10</x:v>
      </x:c>
      <x:c r="L213" s="75" t="str">
        <x:v>R2_5of50_2of10</x:v>
      </x:c>
      <x:c r="M213" s="213" t="str">
        <x:v>S1_pre_2024_studio_change_sensitivity_only</x:v>
      </x:c>
      <x:c r="N213" s="213" t="str">
        <x:v>Friday</x:v>
      </x:c>
      <x:c r="O213" s="213" t="str">
        <x:v>LottoMetrics full-history export</x:v>
      </x:c>
      <x:c r="P213" s="213" t="str">
        <x:v>Archive-sourced; calendar/range/uniqueness validated</x:v>
      </x:c>
      <x:c r="Q213" s="54" t="str"/>
    </x:row>
    <x:row r="214">
      <x:c r="A214" s="74" t="n">
        <x:v>211</x:v>
      </x:c>
      <x:c r="B214" s="217" t="n">
        <x:v>42461</x:v>
      </x:c>
      <x:c r="C214" s="75" t="n">
        <x:v>6</x:v>
      </x:c>
      <x:c r="D214" s="75" t="n">
        <x:v>12</x:v>
      </x:c>
      <x:c r="E214" s="75" t="n">
        <x:v>21</x:v>
      </x:c>
      <x:c r="F214" s="75" t="n">
        <x:v>40</x:v>
      </x:c>
      <x:c r="G214" s="75" t="n">
        <x:v>49</x:v>
      </x:c>
      <x:c r="H214" s="75" t="n">
        <x:v>8</x:v>
      </x:c>
      <x:c r="I214" s="75" t="n">
        <x:v>10</x:v>
      </x:c>
      <x:c r="J214" s="75" t="n">
        <x:v>50</x:v>
      </x:c>
      <x:c r="K214" s="75" t="n">
        <x:v>10</x:v>
      </x:c>
      <x:c r="L214" s="75" t="str">
        <x:v>R2_5of50_2of10</x:v>
      </x:c>
      <x:c r="M214" s="213" t="str">
        <x:v>S1_pre_2024_studio_change_sensitivity_only</x:v>
      </x:c>
      <x:c r="N214" s="213" t="str">
        <x:v>Friday</x:v>
      </x:c>
      <x:c r="O214" s="213" t="str">
        <x:v>LottoMetrics full-history export</x:v>
      </x:c>
      <x:c r="P214" s="213" t="str">
        <x:v>Archive-sourced; calendar/range/uniqueness validated</x:v>
      </x:c>
      <x:c r="Q214" s="54" t="str"/>
    </x:row>
    <x:row r="215">
      <x:c r="A215" s="74" t="n">
        <x:v>212</x:v>
      </x:c>
      <x:c r="B215" s="217" t="n">
        <x:v>42468</x:v>
      </x:c>
      <x:c r="C215" s="75" t="n">
        <x:v>1</x:v>
      </x:c>
      <x:c r="D215" s="75" t="n">
        <x:v>2</x:v>
      </x:c>
      <x:c r="E215" s="75" t="n">
        <x:v>16</x:v>
      </x:c>
      <x:c r="F215" s="75" t="n">
        <x:v>31</x:v>
      </x:c>
      <x:c r="G215" s="75" t="n">
        <x:v>50</x:v>
      </x:c>
      <x:c r="H215" s="75" t="n">
        <x:v>1</x:v>
      </x:c>
      <x:c r="I215" s="75" t="n">
        <x:v>7</x:v>
      </x:c>
      <x:c r="J215" s="75" t="n">
        <x:v>50</x:v>
      </x:c>
      <x:c r="K215" s="75" t="n">
        <x:v>10</x:v>
      </x:c>
      <x:c r="L215" s="75" t="str">
        <x:v>R2_5of50_2of10</x:v>
      </x:c>
      <x:c r="M215" s="213" t="str">
        <x:v>S1_pre_2024_studio_change_sensitivity_only</x:v>
      </x:c>
      <x:c r="N215" s="213" t="str">
        <x:v>Friday</x:v>
      </x:c>
      <x:c r="O215" s="213" t="str">
        <x:v>LottoMetrics full-history export</x:v>
      </x:c>
      <x:c r="P215" s="213" t="str">
        <x:v>Archive-sourced; calendar/range/uniqueness validated</x:v>
      </x:c>
      <x:c r="Q215" s="54" t="str"/>
    </x:row>
    <x:row r="216">
      <x:c r="A216" s="74" t="n">
        <x:v>213</x:v>
      </x:c>
      <x:c r="B216" s="217" t="n">
        <x:v>42475</x:v>
      </x:c>
      <x:c r="C216" s="75" t="n">
        <x:v>1</x:v>
      </x:c>
      <x:c r="D216" s="75" t="n">
        <x:v>5</x:v>
      </x:c>
      <x:c r="E216" s="75" t="n">
        <x:v>17</x:v>
      </x:c>
      <x:c r="F216" s="75" t="n">
        <x:v>39</x:v>
      </x:c>
      <x:c r="G216" s="75" t="n">
        <x:v>46</x:v>
      </x:c>
      <x:c r="H216" s="75" t="n">
        <x:v>6</x:v>
      </x:c>
      <x:c r="I216" s="75" t="n">
        <x:v>7</x:v>
      </x:c>
      <x:c r="J216" s="75" t="n">
        <x:v>50</x:v>
      </x:c>
      <x:c r="K216" s="75" t="n">
        <x:v>10</x:v>
      </x:c>
      <x:c r="L216" s="75" t="str">
        <x:v>R2_5of50_2of10</x:v>
      </x:c>
      <x:c r="M216" s="213" t="str">
        <x:v>S1_pre_2024_studio_change_sensitivity_only</x:v>
      </x:c>
      <x:c r="N216" s="213" t="str">
        <x:v>Friday</x:v>
      </x:c>
      <x:c r="O216" s="213" t="str">
        <x:v>LottoMetrics full-history export</x:v>
      </x:c>
      <x:c r="P216" s="213" t="str">
        <x:v>Archive-sourced; calendar/range/uniqueness validated</x:v>
      </x:c>
      <x:c r="Q216" s="54" t="str"/>
    </x:row>
    <x:row r="217">
      <x:c r="A217" s="74" t="n">
        <x:v>214</x:v>
      </x:c>
      <x:c r="B217" s="217" t="n">
        <x:v>42482</x:v>
      </x:c>
      <x:c r="C217" s="75" t="n">
        <x:v>5</x:v>
      </x:c>
      <x:c r="D217" s="75" t="n">
        <x:v>28</x:v>
      </x:c>
      <x:c r="E217" s="75" t="n">
        <x:v>31</x:v>
      </x:c>
      <x:c r="F217" s="75" t="n">
        <x:v>33</x:v>
      </x:c>
      <x:c r="G217" s="75" t="n">
        <x:v>49</x:v>
      </x:c>
      <x:c r="H217" s="75" t="n">
        <x:v>1</x:v>
      </x:c>
      <x:c r="I217" s="75" t="n">
        <x:v>2</x:v>
      </x:c>
      <x:c r="J217" s="75" t="n">
        <x:v>50</x:v>
      </x:c>
      <x:c r="K217" s="75" t="n">
        <x:v>10</x:v>
      </x:c>
      <x:c r="L217" s="75" t="str">
        <x:v>R2_5of50_2of10</x:v>
      </x:c>
      <x:c r="M217" s="213" t="str">
        <x:v>S1_pre_2024_studio_change_sensitivity_only</x:v>
      </x:c>
      <x:c r="N217" s="213" t="str">
        <x:v>Friday</x:v>
      </x:c>
      <x:c r="O217" s="213" t="str">
        <x:v>LottoMetrics full-history export</x:v>
      </x:c>
      <x:c r="P217" s="213" t="str">
        <x:v>Archive-sourced; calendar/range/uniqueness validated</x:v>
      </x:c>
      <x:c r="Q217" s="54" t="str"/>
    </x:row>
    <x:row r="218">
      <x:c r="A218" s="74" t="n">
        <x:v>215</x:v>
      </x:c>
      <x:c r="B218" s="217" t="n">
        <x:v>42489</x:v>
      </x:c>
      <x:c r="C218" s="75" t="n">
        <x:v>10</x:v>
      </x:c>
      <x:c r="D218" s="75" t="n">
        <x:v>14</x:v>
      </x:c>
      <x:c r="E218" s="75" t="n">
        <x:v>20</x:v>
      </x:c>
      <x:c r="F218" s="75" t="n">
        <x:v>24</x:v>
      </x:c>
      <x:c r="G218" s="75" t="n">
        <x:v>40</x:v>
      </x:c>
      <x:c r="H218" s="75" t="n">
        <x:v>2</x:v>
      </x:c>
      <x:c r="I218" s="75" t="n">
        <x:v>10</x:v>
      </x:c>
      <x:c r="J218" s="75" t="n">
        <x:v>50</x:v>
      </x:c>
      <x:c r="K218" s="75" t="n">
        <x:v>10</x:v>
      </x:c>
      <x:c r="L218" s="75" t="str">
        <x:v>R2_5of50_2of10</x:v>
      </x:c>
      <x:c r="M218" s="213" t="str">
        <x:v>S1_pre_2024_studio_change_sensitivity_only</x:v>
      </x:c>
      <x:c r="N218" s="213" t="str">
        <x:v>Friday</x:v>
      </x:c>
      <x:c r="O218" s="213" t="str">
        <x:v>LottoMetrics full-history export</x:v>
      </x:c>
      <x:c r="P218" s="213" t="str">
        <x:v>Archive-sourced; calendar/range/uniqueness validated</x:v>
      </x:c>
      <x:c r="Q218" s="54" t="str"/>
    </x:row>
    <x:row r="219">
      <x:c r="A219" s="74" t="n">
        <x:v>216</x:v>
      </x:c>
      <x:c r="B219" s="217" t="n">
        <x:v>42496</x:v>
      </x:c>
      <x:c r="C219" s="75" t="n">
        <x:v>12</x:v>
      </x:c>
      <x:c r="D219" s="75" t="n">
        <x:v>24</x:v>
      </x:c>
      <x:c r="E219" s="75" t="n">
        <x:v>38</x:v>
      </x:c>
      <x:c r="F219" s="75" t="n">
        <x:v>45</x:v>
      </x:c>
      <x:c r="G219" s="75" t="n">
        <x:v>46</x:v>
      </x:c>
      <x:c r="H219" s="75" t="n">
        <x:v>6</x:v>
      </x:c>
      <x:c r="I219" s="75" t="n">
        <x:v>10</x:v>
      </x:c>
      <x:c r="J219" s="75" t="n">
        <x:v>50</x:v>
      </x:c>
      <x:c r="K219" s="75" t="n">
        <x:v>10</x:v>
      </x:c>
      <x:c r="L219" s="75" t="str">
        <x:v>R2_5of50_2of10</x:v>
      </x:c>
      <x:c r="M219" s="213" t="str">
        <x:v>S1_pre_2024_studio_change_sensitivity_only</x:v>
      </x:c>
      <x:c r="N219" s="213" t="str">
        <x:v>Friday</x:v>
      </x:c>
      <x:c r="O219" s="213" t="str">
        <x:v>LottoMetrics full-history export</x:v>
      </x:c>
      <x:c r="P219" s="213" t="str">
        <x:v>Archive-sourced; calendar/range/uniqueness validated</x:v>
      </x:c>
      <x:c r="Q219" s="54" t="str"/>
    </x:row>
    <x:row r="220">
      <x:c r="A220" s="74" t="n">
        <x:v>217</x:v>
      </x:c>
      <x:c r="B220" s="217" t="n">
        <x:v>42503</x:v>
      </x:c>
      <x:c r="C220" s="75" t="n">
        <x:v>6</x:v>
      </x:c>
      <x:c r="D220" s="75" t="n">
        <x:v>7</x:v>
      </x:c>
      <x:c r="E220" s="75" t="n">
        <x:v>36</x:v>
      </x:c>
      <x:c r="F220" s="75" t="n">
        <x:v>39</x:v>
      </x:c>
      <x:c r="G220" s="75" t="n">
        <x:v>40</x:v>
      </x:c>
      <x:c r="H220" s="75" t="n">
        <x:v>1</x:v>
      </x:c>
      <x:c r="I220" s="75" t="n">
        <x:v>10</x:v>
      </x:c>
      <x:c r="J220" s="75" t="n">
        <x:v>50</x:v>
      </x:c>
      <x:c r="K220" s="75" t="n">
        <x:v>10</x:v>
      </x:c>
      <x:c r="L220" s="75" t="str">
        <x:v>R2_5of50_2of10</x:v>
      </x:c>
      <x:c r="M220" s="213" t="str">
        <x:v>S1_pre_2024_studio_change_sensitivity_only</x:v>
      </x:c>
      <x:c r="N220" s="213" t="str">
        <x:v>Friday</x:v>
      </x:c>
      <x:c r="O220" s="213" t="str">
        <x:v>LottoMetrics full-history export</x:v>
      </x:c>
      <x:c r="P220" s="213" t="str">
        <x:v>Archive-sourced; calendar/range/uniqueness validated</x:v>
      </x:c>
      <x:c r="Q220" s="54" t="str"/>
    </x:row>
    <x:row r="221">
      <x:c r="A221" s="74" t="n">
        <x:v>218</x:v>
      </x:c>
      <x:c r="B221" s="217" t="n">
        <x:v>42510</x:v>
      </x:c>
      <x:c r="C221" s="75" t="n">
        <x:v>6</x:v>
      </x:c>
      <x:c r="D221" s="75" t="n">
        <x:v>19</x:v>
      </x:c>
      <x:c r="E221" s="75" t="n">
        <x:v>23</x:v>
      </x:c>
      <x:c r="F221" s="75" t="n">
        <x:v>33</x:v>
      </x:c>
      <x:c r="G221" s="75" t="n">
        <x:v>34</x:v>
      </x:c>
      <x:c r="H221" s="75" t="n">
        <x:v>4</x:v>
      </x:c>
      <x:c r="I221" s="75" t="n">
        <x:v>7</x:v>
      </x:c>
      <x:c r="J221" s="75" t="n">
        <x:v>50</x:v>
      </x:c>
      <x:c r="K221" s="75" t="n">
        <x:v>10</x:v>
      </x:c>
      <x:c r="L221" s="75" t="str">
        <x:v>R2_5of50_2of10</x:v>
      </x:c>
      <x:c r="M221" s="213" t="str">
        <x:v>S1_pre_2024_studio_change_sensitivity_only</x:v>
      </x:c>
      <x:c r="N221" s="213" t="str">
        <x:v>Friday</x:v>
      </x:c>
      <x:c r="O221" s="213" t="str">
        <x:v>LottoMetrics full-history export</x:v>
      </x:c>
      <x:c r="P221" s="213" t="str">
        <x:v>Archive-sourced; calendar/range/uniqueness validated</x:v>
      </x:c>
      <x:c r="Q221" s="54" t="str"/>
    </x:row>
    <x:row r="222">
      <x:c r="A222" s="74" t="n">
        <x:v>219</x:v>
      </x:c>
      <x:c r="B222" s="217" t="n">
        <x:v>42517</x:v>
      </x:c>
      <x:c r="C222" s="75" t="n">
        <x:v>4</x:v>
      </x:c>
      <x:c r="D222" s="75" t="n">
        <x:v>10</x:v>
      </x:c>
      <x:c r="E222" s="75" t="n">
        <x:v>26</x:v>
      </x:c>
      <x:c r="F222" s="75" t="n">
        <x:v>33</x:v>
      </x:c>
      <x:c r="G222" s="75" t="n">
        <x:v>48</x:v>
      </x:c>
      <x:c r="H222" s="75" t="n">
        <x:v>5</x:v>
      </x:c>
      <x:c r="I222" s="75" t="n">
        <x:v>9</x:v>
      </x:c>
      <x:c r="J222" s="75" t="n">
        <x:v>50</x:v>
      </x:c>
      <x:c r="K222" s="75" t="n">
        <x:v>10</x:v>
      </x:c>
      <x:c r="L222" s="75" t="str">
        <x:v>R2_5of50_2of10</x:v>
      </x:c>
      <x:c r="M222" s="213" t="str">
        <x:v>S1_pre_2024_studio_change_sensitivity_only</x:v>
      </x:c>
      <x:c r="N222" s="213" t="str">
        <x:v>Friday</x:v>
      </x:c>
      <x:c r="O222" s="213" t="str">
        <x:v>LottoMetrics full-history export</x:v>
      </x:c>
      <x:c r="P222" s="213" t="str">
        <x:v>Archive-sourced; calendar/range/uniqueness validated</x:v>
      </x:c>
      <x:c r="Q222" s="54" t="str"/>
    </x:row>
    <x:row r="223">
      <x:c r="A223" s="74" t="n">
        <x:v>220</x:v>
      </x:c>
      <x:c r="B223" s="217" t="n">
        <x:v>42524</x:v>
      </x:c>
      <x:c r="C223" s="75" t="n">
        <x:v>13</x:v>
      </x:c>
      <x:c r="D223" s="75" t="n">
        <x:v>20</x:v>
      </x:c>
      <x:c r="E223" s="75" t="n">
        <x:v>32</x:v>
      </x:c>
      <x:c r="F223" s="75" t="n">
        <x:v>34</x:v>
      </x:c>
      <x:c r="G223" s="75" t="n">
        <x:v>47</x:v>
      </x:c>
      <x:c r="H223" s="75" t="n">
        <x:v>6</x:v>
      </x:c>
      <x:c r="I223" s="75" t="n">
        <x:v>9</x:v>
      </x:c>
      <x:c r="J223" s="75" t="n">
        <x:v>50</x:v>
      </x:c>
      <x:c r="K223" s="75" t="n">
        <x:v>10</x:v>
      </x:c>
      <x:c r="L223" s="75" t="str">
        <x:v>R2_5of50_2of10</x:v>
      </x:c>
      <x:c r="M223" s="213" t="str">
        <x:v>S1_pre_2024_studio_change_sensitivity_only</x:v>
      </x:c>
      <x:c r="N223" s="213" t="str">
        <x:v>Friday</x:v>
      </x:c>
      <x:c r="O223" s="213" t="str">
        <x:v>LottoMetrics full-history export</x:v>
      </x:c>
      <x:c r="P223" s="213" t="str">
        <x:v>Archive-sourced; calendar/range/uniqueness validated</x:v>
      </x:c>
      <x:c r="Q223" s="54" t="str"/>
    </x:row>
    <x:row r="224">
      <x:c r="A224" s="74" t="n">
        <x:v>221</x:v>
      </x:c>
      <x:c r="B224" s="217" t="n">
        <x:v>42531</x:v>
      </x:c>
      <x:c r="C224" s="75" t="n">
        <x:v>11</x:v>
      </x:c>
      <x:c r="D224" s="75" t="n">
        <x:v>12</x:v>
      </x:c>
      <x:c r="E224" s="75" t="n">
        <x:v>26</x:v>
      </x:c>
      <x:c r="F224" s="75" t="n">
        <x:v>28</x:v>
      </x:c>
      <x:c r="G224" s="75" t="n">
        <x:v>37</x:v>
      </x:c>
      <x:c r="H224" s="75" t="n">
        <x:v>8</x:v>
      </x:c>
      <x:c r="I224" s="75" t="n">
        <x:v>10</x:v>
      </x:c>
      <x:c r="J224" s="75" t="n">
        <x:v>50</x:v>
      </x:c>
      <x:c r="K224" s="75" t="n">
        <x:v>10</x:v>
      </x:c>
      <x:c r="L224" s="75" t="str">
        <x:v>R2_5of50_2of10</x:v>
      </x:c>
      <x:c r="M224" s="213" t="str">
        <x:v>S1_pre_2024_studio_change_sensitivity_only</x:v>
      </x:c>
      <x:c r="N224" s="213" t="str">
        <x:v>Friday</x:v>
      </x:c>
      <x:c r="O224" s="213" t="str">
        <x:v>LottoMetrics full-history export</x:v>
      </x:c>
      <x:c r="P224" s="213" t="str">
        <x:v>Archive-sourced; calendar/range/uniqueness validated</x:v>
      </x:c>
      <x:c r="Q224" s="54" t="str"/>
    </x:row>
    <x:row r="225">
      <x:c r="A225" s="74" t="n">
        <x:v>222</x:v>
      </x:c>
      <x:c r="B225" s="217" t="n">
        <x:v>42538</x:v>
      </x:c>
      <x:c r="C225" s="75" t="n">
        <x:v>16</x:v>
      </x:c>
      <x:c r="D225" s="75" t="n">
        <x:v>18</x:v>
      </x:c>
      <x:c r="E225" s="75" t="n">
        <x:v>19</x:v>
      </x:c>
      <x:c r="F225" s="75" t="n">
        <x:v>23</x:v>
      </x:c>
      <x:c r="G225" s="75" t="n">
        <x:v>44</x:v>
      </x:c>
      <x:c r="H225" s="75" t="n">
        <x:v>1</x:v>
      </x:c>
      <x:c r="I225" s="75" t="n">
        <x:v>3</x:v>
      </x:c>
      <x:c r="J225" s="75" t="n">
        <x:v>50</x:v>
      </x:c>
      <x:c r="K225" s="75" t="n">
        <x:v>10</x:v>
      </x:c>
      <x:c r="L225" s="75" t="str">
        <x:v>R2_5of50_2of10</x:v>
      </x:c>
      <x:c r="M225" s="213" t="str">
        <x:v>S1_pre_2024_studio_change_sensitivity_only</x:v>
      </x:c>
      <x:c r="N225" s="213" t="str">
        <x:v>Friday</x:v>
      </x:c>
      <x:c r="O225" s="213" t="str">
        <x:v>LottoMetrics full-history export</x:v>
      </x:c>
      <x:c r="P225" s="213" t="str">
        <x:v>Archive-sourced; calendar/range/uniqueness validated</x:v>
      </x:c>
      <x:c r="Q225" s="54" t="str"/>
    </x:row>
    <x:row r="226">
      <x:c r="A226" s="74" t="n">
        <x:v>223</x:v>
      </x:c>
      <x:c r="B226" s="217" t="n">
        <x:v>42545</x:v>
      </x:c>
      <x:c r="C226" s="75" t="n">
        <x:v>19</x:v>
      </x:c>
      <x:c r="D226" s="75" t="n">
        <x:v>21</x:v>
      </x:c>
      <x:c r="E226" s="75" t="n">
        <x:v>24</x:v>
      </x:c>
      <x:c r="F226" s="75" t="n">
        <x:v>41</x:v>
      </x:c>
      <x:c r="G226" s="75" t="n">
        <x:v>48</x:v>
      </x:c>
      <x:c r="H226" s="75" t="n">
        <x:v>1</x:v>
      </x:c>
      <x:c r="I226" s="75" t="n">
        <x:v>6</x:v>
      </x:c>
      <x:c r="J226" s="75" t="n">
        <x:v>50</x:v>
      </x:c>
      <x:c r="K226" s="75" t="n">
        <x:v>10</x:v>
      </x:c>
      <x:c r="L226" s="75" t="str">
        <x:v>R2_5of50_2of10</x:v>
      </x:c>
      <x:c r="M226" s="213" t="str">
        <x:v>S1_pre_2024_studio_change_sensitivity_only</x:v>
      </x:c>
      <x:c r="N226" s="213" t="str">
        <x:v>Friday</x:v>
      </x:c>
      <x:c r="O226" s="213" t="str">
        <x:v>LottoMetrics full-history export</x:v>
      </x:c>
      <x:c r="P226" s="213" t="str">
        <x:v>Archive-sourced; calendar/range/uniqueness validated</x:v>
      </x:c>
      <x:c r="Q226" s="54" t="str"/>
    </x:row>
    <x:row r="227">
      <x:c r="A227" s="74" t="n">
        <x:v>224</x:v>
      </x:c>
      <x:c r="B227" s="217" t="n">
        <x:v>42552</x:v>
      </x:c>
      <x:c r="C227" s="75" t="n">
        <x:v>29</x:v>
      </x:c>
      <x:c r="D227" s="75" t="n">
        <x:v>37</x:v>
      </x:c>
      <x:c r="E227" s="75" t="n">
        <x:v>38</x:v>
      </x:c>
      <x:c r="F227" s="75" t="n">
        <x:v>47</x:v>
      </x:c>
      <x:c r="G227" s="75" t="n">
        <x:v>50</x:v>
      </x:c>
      <x:c r="H227" s="75" t="n">
        <x:v>2</x:v>
      </x:c>
      <x:c r="I227" s="75" t="n">
        <x:v>4</x:v>
      </x:c>
      <x:c r="J227" s="75" t="n">
        <x:v>50</x:v>
      </x:c>
      <x:c r="K227" s="75" t="n">
        <x:v>10</x:v>
      </x:c>
      <x:c r="L227" s="75" t="str">
        <x:v>R2_5of50_2of10</x:v>
      </x:c>
      <x:c r="M227" s="213" t="str">
        <x:v>S1_pre_2024_studio_change_sensitivity_only</x:v>
      </x:c>
      <x:c r="N227" s="213" t="str">
        <x:v>Friday</x:v>
      </x:c>
      <x:c r="O227" s="213" t="str">
        <x:v>LottoMetrics full-history export</x:v>
      </x:c>
      <x:c r="P227" s="213" t="str">
        <x:v>Archive-sourced; calendar/range/uniqueness validated</x:v>
      </x:c>
      <x:c r="Q227" s="54" t="str"/>
    </x:row>
    <x:row r="228">
      <x:c r="A228" s="74" t="n">
        <x:v>225</x:v>
      </x:c>
      <x:c r="B228" s="217" t="n">
        <x:v>42559</x:v>
      </x:c>
      <x:c r="C228" s="75" t="n">
        <x:v>4</x:v>
      </x:c>
      <x:c r="D228" s="75" t="n">
        <x:v>19</x:v>
      </x:c>
      <x:c r="E228" s="75" t="n">
        <x:v>21</x:v>
      </x:c>
      <x:c r="F228" s="75" t="n">
        <x:v>31</x:v>
      </x:c>
      <x:c r="G228" s="75" t="n">
        <x:v>42</x:v>
      </x:c>
      <x:c r="H228" s="75" t="n">
        <x:v>5</x:v>
      </x:c>
      <x:c r="I228" s="75" t="n">
        <x:v>10</x:v>
      </x:c>
      <x:c r="J228" s="75" t="n">
        <x:v>50</x:v>
      </x:c>
      <x:c r="K228" s="75" t="n">
        <x:v>10</x:v>
      </x:c>
      <x:c r="L228" s="75" t="str">
        <x:v>R2_5of50_2of10</x:v>
      </x:c>
      <x:c r="M228" s="213" t="str">
        <x:v>S1_pre_2024_studio_change_sensitivity_only</x:v>
      </x:c>
      <x:c r="N228" s="213" t="str">
        <x:v>Friday</x:v>
      </x:c>
      <x:c r="O228" s="213" t="str">
        <x:v>LottoMetrics full-history export</x:v>
      </x:c>
      <x:c r="P228" s="213" t="str">
        <x:v>Archive-sourced; calendar/range/uniqueness validated</x:v>
      </x:c>
      <x:c r="Q228" s="54" t="str"/>
    </x:row>
    <x:row r="229">
      <x:c r="A229" s="74" t="n">
        <x:v>226</x:v>
      </x:c>
      <x:c r="B229" s="217" t="n">
        <x:v>42566</x:v>
      </x:c>
      <x:c r="C229" s="75" t="n">
        <x:v>12</x:v>
      </x:c>
      <x:c r="D229" s="75" t="n">
        <x:v>22</x:v>
      </x:c>
      <x:c r="E229" s="75" t="n">
        <x:v>36</x:v>
      </x:c>
      <x:c r="F229" s="75" t="n">
        <x:v>38</x:v>
      </x:c>
      <x:c r="G229" s="75" t="n">
        <x:v>50</x:v>
      </x:c>
      <x:c r="H229" s="75" t="n">
        <x:v>2</x:v>
      </x:c>
      <x:c r="I229" s="75" t="n">
        <x:v>9</x:v>
      </x:c>
      <x:c r="J229" s="75" t="n">
        <x:v>50</x:v>
      </x:c>
      <x:c r="K229" s="75" t="n">
        <x:v>10</x:v>
      </x:c>
      <x:c r="L229" s="75" t="str">
        <x:v>R2_5of50_2of10</x:v>
      </x:c>
      <x:c r="M229" s="213" t="str">
        <x:v>S1_pre_2024_studio_change_sensitivity_only</x:v>
      </x:c>
      <x:c r="N229" s="213" t="str">
        <x:v>Friday</x:v>
      </x:c>
      <x:c r="O229" s="213" t="str">
        <x:v>LottoMetrics full-history export</x:v>
      </x:c>
      <x:c r="P229" s="213" t="str">
        <x:v>Archive-sourced; calendar/range/uniqueness validated</x:v>
      </x:c>
      <x:c r="Q229" s="54" t="str"/>
    </x:row>
    <x:row r="230">
      <x:c r="A230" s="74" t="n">
        <x:v>227</x:v>
      </x:c>
      <x:c r="B230" s="217" t="n">
        <x:v>42573</x:v>
      </x:c>
      <x:c r="C230" s="75" t="n">
        <x:v>6</x:v>
      </x:c>
      <x:c r="D230" s="75" t="n">
        <x:v>14</x:v>
      </x:c>
      <x:c r="E230" s="75" t="n">
        <x:v>20</x:v>
      </x:c>
      <x:c r="F230" s="75" t="n">
        <x:v>26</x:v>
      </x:c>
      <x:c r="G230" s="75" t="n">
        <x:v>46</x:v>
      </x:c>
      <x:c r="H230" s="75" t="n">
        <x:v>2</x:v>
      </x:c>
      <x:c r="I230" s="75" t="n">
        <x:v>4</x:v>
      </x:c>
      <x:c r="J230" s="75" t="n">
        <x:v>50</x:v>
      </x:c>
      <x:c r="K230" s="75" t="n">
        <x:v>10</x:v>
      </x:c>
      <x:c r="L230" s="75" t="str">
        <x:v>R2_5of50_2of10</x:v>
      </x:c>
      <x:c r="M230" s="213" t="str">
        <x:v>S1_pre_2024_studio_change_sensitivity_only</x:v>
      </x:c>
      <x:c r="N230" s="213" t="str">
        <x:v>Friday</x:v>
      </x:c>
      <x:c r="O230" s="213" t="str">
        <x:v>LottoMetrics full-history export</x:v>
      </x:c>
      <x:c r="P230" s="213" t="str">
        <x:v>Archive-sourced; calendar/range/uniqueness validated</x:v>
      </x:c>
      <x:c r="Q230" s="54" t="str"/>
    </x:row>
    <x:row r="231">
      <x:c r="A231" s="74" t="n">
        <x:v>228</x:v>
      </x:c>
      <x:c r="B231" s="217" t="n">
        <x:v>42580</x:v>
      </x:c>
      <x:c r="C231" s="75" t="n">
        <x:v>4</x:v>
      </x:c>
      <x:c r="D231" s="75" t="n">
        <x:v>8</x:v>
      </x:c>
      <x:c r="E231" s="75" t="n">
        <x:v>22</x:v>
      </x:c>
      <x:c r="F231" s="75" t="n">
        <x:v>36</x:v>
      </x:c>
      <x:c r="G231" s="75" t="n">
        <x:v>44</x:v>
      </x:c>
      <x:c r="H231" s="75" t="n">
        <x:v>5</x:v>
      </x:c>
      <x:c r="I231" s="75" t="n">
        <x:v>10</x:v>
      </x:c>
      <x:c r="J231" s="75" t="n">
        <x:v>50</x:v>
      </x:c>
      <x:c r="K231" s="75" t="n">
        <x:v>10</x:v>
      </x:c>
      <x:c r="L231" s="75" t="str">
        <x:v>R2_5of50_2of10</x:v>
      </x:c>
      <x:c r="M231" s="213" t="str">
        <x:v>S1_pre_2024_studio_change_sensitivity_only</x:v>
      </x:c>
      <x:c r="N231" s="213" t="str">
        <x:v>Friday</x:v>
      </x:c>
      <x:c r="O231" s="213" t="str">
        <x:v>LottoMetrics full-history export</x:v>
      </x:c>
      <x:c r="P231" s="213" t="str">
        <x:v>Archive-sourced; calendar/range/uniqueness validated</x:v>
      </x:c>
      <x:c r="Q231" s="54" t="str"/>
    </x:row>
    <x:row r="232">
      <x:c r="A232" s="74" t="n">
        <x:v>229</x:v>
      </x:c>
      <x:c r="B232" s="217" t="n">
        <x:v>42587</x:v>
      </x:c>
      <x:c r="C232" s="75" t="n">
        <x:v>5</x:v>
      </x:c>
      <x:c r="D232" s="75" t="n">
        <x:v>11</x:v>
      </x:c>
      <x:c r="E232" s="75" t="n">
        <x:v>12</x:v>
      </x:c>
      <x:c r="F232" s="75" t="n">
        <x:v>30</x:v>
      </x:c>
      <x:c r="G232" s="75" t="n">
        <x:v>40</x:v>
      </x:c>
      <x:c r="H232" s="75" t="n">
        <x:v>2</x:v>
      </x:c>
      <x:c r="I232" s="75" t="n">
        <x:v>5</x:v>
      </x:c>
      <x:c r="J232" s="75" t="n">
        <x:v>50</x:v>
      </x:c>
      <x:c r="K232" s="75" t="n">
        <x:v>10</x:v>
      </x:c>
      <x:c r="L232" s="75" t="str">
        <x:v>R2_5of50_2of10</x:v>
      </x:c>
      <x:c r="M232" s="213" t="str">
        <x:v>S1_pre_2024_studio_change_sensitivity_only</x:v>
      </x:c>
      <x:c r="N232" s="213" t="str">
        <x:v>Friday</x:v>
      </x:c>
      <x:c r="O232" s="213" t="str">
        <x:v>LottoMetrics full-history export</x:v>
      </x:c>
      <x:c r="P232" s="213" t="str">
        <x:v>Archive-sourced; calendar/range/uniqueness validated</x:v>
      </x:c>
      <x:c r="Q232" s="54" t="str"/>
    </x:row>
    <x:row r="233">
      <x:c r="A233" s="74" t="n">
        <x:v>230</x:v>
      </x:c>
      <x:c r="B233" s="217" t="n">
        <x:v>42594</x:v>
      </x:c>
      <x:c r="C233" s="75" t="n">
        <x:v>6</x:v>
      </x:c>
      <x:c r="D233" s="75" t="n">
        <x:v>15</x:v>
      </x:c>
      <x:c r="E233" s="75" t="n">
        <x:v>18</x:v>
      </x:c>
      <x:c r="F233" s="75" t="n">
        <x:v>21</x:v>
      </x:c>
      <x:c r="G233" s="75" t="n">
        <x:v>38</x:v>
      </x:c>
      <x:c r="H233" s="75" t="n">
        <x:v>1</x:v>
      </x:c>
      <x:c r="I233" s="75" t="n">
        <x:v>4</x:v>
      </x:c>
      <x:c r="J233" s="75" t="n">
        <x:v>50</x:v>
      </x:c>
      <x:c r="K233" s="75" t="n">
        <x:v>10</x:v>
      </x:c>
      <x:c r="L233" s="75" t="str">
        <x:v>R2_5of50_2of10</x:v>
      </x:c>
      <x:c r="M233" s="213" t="str">
        <x:v>S1_pre_2024_studio_change_sensitivity_only</x:v>
      </x:c>
      <x:c r="N233" s="213" t="str">
        <x:v>Friday</x:v>
      </x:c>
      <x:c r="O233" s="213" t="str">
        <x:v>LottoMetrics full-history export</x:v>
      </x:c>
      <x:c r="P233" s="213" t="str">
        <x:v>Archive-sourced; calendar/range/uniqueness validated</x:v>
      </x:c>
      <x:c r="Q233" s="54" t="str"/>
    </x:row>
    <x:row r="234">
      <x:c r="A234" s="74" t="n">
        <x:v>231</x:v>
      </x:c>
      <x:c r="B234" s="217" t="n">
        <x:v>42601</x:v>
      </x:c>
      <x:c r="C234" s="75" t="n">
        <x:v>22</x:v>
      </x:c>
      <x:c r="D234" s="75" t="n">
        <x:v>33</x:v>
      </x:c>
      <x:c r="E234" s="75" t="n">
        <x:v>42</x:v>
      </x:c>
      <x:c r="F234" s="75" t="n">
        <x:v>43</x:v>
      </x:c>
      <x:c r="G234" s="75" t="n">
        <x:v>46</x:v>
      </x:c>
      <x:c r="H234" s="75" t="n">
        <x:v>6</x:v>
      </x:c>
      <x:c r="I234" s="75" t="n">
        <x:v>10</x:v>
      </x:c>
      <x:c r="J234" s="75" t="n">
        <x:v>50</x:v>
      </x:c>
      <x:c r="K234" s="75" t="n">
        <x:v>10</x:v>
      </x:c>
      <x:c r="L234" s="75" t="str">
        <x:v>R2_5of50_2of10</x:v>
      </x:c>
      <x:c r="M234" s="213" t="str">
        <x:v>S1_pre_2024_studio_change_sensitivity_only</x:v>
      </x:c>
      <x:c r="N234" s="213" t="str">
        <x:v>Friday</x:v>
      </x:c>
      <x:c r="O234" s="213" t="str">
        <x:v>LottoMetrics full-history export</x:v>
      </x:c>
      <x:c r="P234" s="213" t="str">
        <x:v>Archive-sourced; calendar/range/uniqueness validated</x:v>
      </x:c>
      <x:c r="Q234" s="54" t="str"/>
    </x:row>
    <x:row r="235">
      <x:c r="A235" s="74" t="n">
        <x:v>232</x:v>
      </x:c>
      <x:c r="B235" s="217" t="n">
        <x:v>42608</x:v>
      </x:c>
      <x:c r="C235" s="75" t="n">
        <x:v>4</x:v>
      </x:c>
      <x:c r="D235" s="75" t="n">
        <x:v>8</x:v>
      </x:c>
      <x:c r="E235" s="75" t="n">
        <x:v>9</x:v>
      </x:c>
      <x:c r="F235" s="75" t="n">
        <x:v>33</x:v>
      </x:c>
      <x:c r="G235" s="75" t="n">
        <x:v>43</x:v>
      </x:c>
      <x:c r="H235" s="75" t="n">
        <x:v>5</x:v>
      </x:c>
      <x:c r="I235" s="75" t="n">
        <x:v>9</x:v>
      </x:c>
      <x:c r="J235" s="75" t="n">
        <x:v>50</x:v>
      </x:c>
      <x:c r="K235" s="75" t="n">
        <x:v>10</x:v>
      </x:c>
      <x:c r="L235" s="75" t="str">
        <x:v>R2_5of50_2of10</x:v>
      </x:c>
      <x:c r="M235" s="213" t="str">
        <x:v>S1_pre_2024_studio_change_sensitivity_only</x:v>
      </x:c>
      <x:c r="N235" s="213" t="str">
        <x:v>Friday</x:v>
      </x:c>
      <x:c r="O235" s="213" t="str">
        <x:v>LottoMetrics full-history export</x:v>
      </x:c>
      <x:c r="P235" s="213" t="str">
        <x:v>Archive-sourced; calendar/range/uniqueness validated</x:v>
      </x:c>
      <x:c r="Q235" s="54" t="str"/>
    </x:row>
    <x:row r="236">
      <x:c r="A236" s="74" t="n">
        <x:v>233</x:v>
      </x:c>
      <x:c r="B236" s="217" t="n">
        <x:v>42615</x:v>
      </x:c>
      <x:c r="C236" s="75" t="n">
        <x:v>15</x:v>
      </x:c>
      <x:c r="D236" s="75" t="n">
        <x:v>28</x:v>
      </x:c>
      <x:c r="E236" s="75" t="n">
        <x:v>30</x:v>
      </x:c>
      <x:c r="F236" s="75" t="n">
        <x:v>42</x:v>
      </x:c>
      <x:c r="G236" s="75" t="n">
        <x:v>50</x:v>
      </x:c>
      <x:c r="H236" s="75" t="n">
        <x:v>1</x:v>
      </x:c>
      <x:c r="I236" s="75" t="n">
        <x:v>8</x:v>
      </x:c>
      <x:c r="J236" s="75" t="n">
        <x:v>50</x:v>
      </x:c>
      <x:c r="K236" s="75" t="n">
        <x:v>10</x:v>
      </x:c>
      <x:c r="L236" s="75" t="str">
        <x:v>R2_5of50_2of10</x:v>
      </x:c>
      <x:c r="M236" s="213" t="str">
        <x:v>S1_pre_2024_studio_change_sensitivity_only</x:v>
      </x:c>
      <x:c r="N236" s="213" t="str">
        <x:v>Friday</x:v>
      </x:c>
      <x:c r="O236" s="213" t="str">
        <x:v>LottoMetrics full-history export</x:v>
      </x:c>
      <x:c r="P236" s="213" t="str">
        <x:v>Archive-sourced; calendar/range/uniqueness validated</x:v>
      </x:c>
      <x:c r="Q236" s="54" t="str"/>
    </x:row>
    <x:row r="237">
      <x:c r="A237" s="74" t="n">
        <x:v>234</x:v>
      </x:c>
      <x:c r="B237" s="217" t="n">
        <x:v>42622</x:v>
      </x:c>
      <x:c r="C237" s="75" t="n">
        <x:v>11</x:v>
      </x:c>
      <x:c r="D237" s="75" t="n">
        <x:v>27</x:v>
      </x:c>
      <x:c r="E237" s="75" t="n">
        <x:v>34</x:v>
      </x:c>
      <x:c r="F237" s="75" t="n">
        <x:v>35</x:v>
      </x:c>
      <x:c r="G237" s="75" t="n">
        <x:v>39</x:v>
      </x:c>
      <x:c r="H237" s="75" t="n">
        <x:v>6</x:v>
      </x:c>
      <x:c r="I237" s="75" t="n">
        <x:v>10</x:v>
      </x:c>
      <x:c r="J237" s="75" t="n">
        <x:v>50</x:v>
      </x:c>
      <x:c r="K237" s="75" t="n">
        <x:v>10</x:v>
      </x:c>
      <x:c r="L237" s="75" t="str">
        <x:v>R2_5of50_2of10</x:v>
      </x:c>
      <x:c r="M237" s="213" t="str">
        <x:v>S1_pre_2024_studio_change_sensitivity_only</x:v>
      </x:c>
      <x:c r="N237" s="213" t="str">
        <x:v>Friday</x:v>
      </x:c>
      <x:c r="O237" s="213" t="str">
        <x:v>LottoMetrics full-history export</x:v>
      </x:c>
      <x:c r="P237" s="213" t="str">
        <x:v>Archive-sourced; calendar/range/uniqueness validated</x:v>
      </x:c>
      <x:c r="Q237" s="54" t="str"/>
    </x:row>
    <x:row r="238">
      <x:c r="A238" s="74" t="n">
        <x:v>235</x:v>
      </x:c>
      <x:c r="B238" s="217" t="n">
        <x:v>42629</x:v>
      </x:c>
      <x:c r="C238" s="75" t="n">
        <x:v>15</x:v>
      </x:c>
      <x:c r="D238" s="75" t="n">
        <x:v>28</x:v>
      </x:c>
      <x:c r="E238" s="75" t="n">
        <x:v>30</x:v>
      </x:c>
      <x:c r="F238" s="75" t="n">
        <x:v>37</x:v>
      </x:c>
      <x:c r="G238" s="75" t="n">
        <x:v>43</x:v>
      </x:c>
      <x:c r="H238" s="75" t="n">
        <x:v>2</x:v>
      </x:c>
      <x:c r="I238" s="75" t="n">
        <x:v>5</x:v>
      </x:c>
      <x:c r="J238" s="75" t="n">
        <x:v>50</x:v>
      </x:c>
      <x:c r="K238" s="75" t="n">
        <x:v>10</x:v>
      </x:c>
      <x:c r="L238" s="75" t="str">
        <x:v>R2_5of50_2of10</x:v>
      </x:c>
      <x:c r="M238" s="213" t="str">
        <x:v>S1_pre_2024_studio_change_sensitivity_only</x:v>
      </x:c>
      <x:c r="N238" s="213" t="str">
        <x:v>Friday</x:v>
      </x:c>
      <x:c r="O238" s="213" t="str">
        <x:v>LottoMetrics full-history export</x:v>
      </x:c>
      <x:c r="P238" s="213" t="str">
        <x:v>Archive-sourced; calendar/range/uniqueness validated</x:v>
      </x:c>
      <x:c r="Q238" s="54" t="str"/>
    </x:row>
    <x:row r="239">
      <x:c r="A239" s="74" t="n">
        <x:v>236</x:v>
      </x:c>
      <x:c r="B239" s="217" t="n">
        <x:v>42636</x:v>
      </x:c>
      <x:c r="C239" s="75" t="n">
        <x:v>1</x:v>
      </x:c>
      <x:c r="D239" s="75" t="n">
        <x:v>7</x:v>
      </x:c>
      <x:c r="E239" s="75" t="n">
        <x:v>23</x:v>
      </x:c>
      <x:c r="F239" s="75" t="n">
        <x:v>25</x:v>
      </x:c>
      <x:c r="G239" s="75" t="n">
        <x:v>45</x:v>
      </x:c>
      <x:c r="H239" s="75" t="n">
        <x:v>5</x:v>
      </x:c>
      <x:c r="I239" s="75" t="n">
        <x:v>8</x:v>
      </x:c>
      <x:c r="J239" s="75" t="n">
        <x:v>50</x:v>
      </x:c>
      <x:c r="K239" s="75" t="n">
        <x:v>10</x:v>
      </x:c>
      <x:c r="L239" s="75" t="str">
        <x:v>R2_5of50_2of10</x:v>
      </x:c>
      <x:c r="M239" s="213" t="str">
        <x:v>S1_pre_2024_studio_change_sensitivity_only</x:v>
      </x:c>
      <x:c r="N239" s="213" t="str">
        <x:v>Friday</x:v>
      </x:c>
      <x:c r="O239" s="213" t="str">
        <x:v>LottoMetrics full-history export</x:v>
      </x:c>
      <x:c r="P239" s="213" t="str">
        <x:v>Archive-sourced; calendar/range/uniqueness validated</x:v>
      </x:c>
      <x:c r="Q239" s="54" t="str"/>
    </x:row>
    <x:row r="240">
      <x:c r="A240" s="74" t="n">
        <x:v>237</x:v>
      </x:c>
      <x:c r="B240" s="217" t="n">
        <x:v>42643</x:v>
      </x:c>
      <x:c r="C240" s="75" t="n">
        <x:v>4</x:v>
      </x:c>
      <x:c r="D240" s="75" t="n">
        <x:v>28</x:v>
      </x:c>
      <x:c r="E240" s="75" t="n">
        <x:v>29</x:v>
      </x:c>
      <x:c r="F240" s="75" t="n">
        <x:v>39</x:v>
      </x:c>
      <x:c r="G240" s="75" t="n">
        <x:v>44</x:v>
      </x:c>
      <x:c r="H240" s="75" t="n">
        <x:v>8</x:v>
      </x:c>
      <x:c r="I240" s="75" t="n">
        <x:v>10</x:v>
      </x:c>
      <x:c r="J240" s="75" t="n">
        <x:v>50</x:v>
      </x:c>
      <x:c r="K240" s="75" t="n">
        <x:v>10</x:v>
      </x:c>
      <x:c r="L240" s="75" t="str">
        <x:v>R2_5of50_2of10</x:v>
      </x:c>
      <x:c r="M240" s="213" t="str">
        <x:v>S1_pre_2024_studio_change_sensitivity_only</x:v>
      </x:c>
      <x:c r="N240" s="213" t="str">
        <x:v>Friday</x:v>
      </x:c>
      <x:c r="O240" s="213" t="str">
        <x:v>LottoMetrics full-history export</x:v>
      </x:c>
      <x:c r="P240" s="213" t="str">
        <x:v>Archive-sourced; calendar/range/uniqueness validated</x:v>
      </x:c>
      <x:c r="Q240" s="54" t="str"/>
    </x:row>
    <x:row r="241">
      <x:c r="A241" s="74" t="n">
        <x:v>238</x:v>
      </x:c>
      <x:c r="B241" s="217" t="n">
        <x:v>42650</x:v>
      </x:c>
      <x:c r="C241" s="75" t="n">
        <x:v>1</x:v>
      </x:c>
      <x:c r="D241" s="75" t="n">
        <x:v>10</x:v>
      </x:c>
      <x:c r="E241" s="75" t="n">
        <x:v>20</x:v>
      </x:c>
      <x:c r="F241" s="75" t="n">
        <x:v>43</x:v>
      </x:c>
      <x:c r="G241" s="75" t="n">
        <x:v>44</x:v>
      </x:c>
      <x:c r="H241" s="75" t="n">
        <x:v>6</x:v>
      </x:c>
      <x:c r="I241" s="75" t="n">
        <x:v>9</x:v>
      </x:c>
      <x:c r="J241" s="75" t="n">
        <x:v>50</x:v>
      </x:c>
      <x:c r="K241" s="75" t="n">
        <x:v>10</x:v>
      </x:c>
      <x:c r="L241" s="75" t="str">
        <x:v>R2_5of50_2of10</x:v>
      </x:c>
      <x:c r="M241" s="213" t="str">
        <x:v>S1_pre_2024_studio_change_sensitivity_only</x:v>
      </x:c>
      <x:c r="N241" s="213" t="str">
        <x:v>Friday</x:v>
      </x:c>
      <x:c r="O241" s="213" t="str">
        <x:v>LottoMetrics full-history export</x:v>
      </x:c>
      <x:c r="P241" s="213" t="str">
        <x:v>Archive-sourced; calendar/range/uniqueness validated</x:v>
      </x:c>
      <x:c r="Q241" s="54" t="str"/>
    </x:row>
    <x:row r="242">
      <x:c r="A242" s="74" t="n">
        <x:v>239</x:v>
      </x:c>
      <x:c r="B242" s="217" t="n">
        <x:v>42657</x:v>
      </x:c>
      <x:c r="C242" s="75" t="n">
        <x:v>7</x:v>
      </x:c>
      <x:c r="D242" s="75" t="n">
        <x:v>10</x:v>
      </x:c>
      <x:c r="E242" s="75" t="n">
        <x:v>25</x:v>
      </x:c>
      <x:c r="F242" s="75" t="n">
        <x:v>39</x:v>
      </x:c>
      <x:c r="G242" s="75" t="n">
        <x:v>42</x:v>
      </x:c>
      <x:c r="H242" s="75" t="n">
        <x:v>3</x:v>
      </x:c>
      <x:c r="I242" s="75" t="n">
        <x:v>6</x:v>
      </x:c>
      <x:c r="J242" s="75" t="n">
        <x:v>50</x:v>
      </x:c>
      <x:c r="K242" s="75" t="n">
        <x:v>10</x:v>
      </x:c>
      <x:c r="L242" s="75" t="str">
        <x:v>R2_5of50_2of10</x:v>
      </x:c>
      <x:c r="M242" s="213" t="str">
        <x:v>S1_pre_2024_studio_change_sensitivity_only</x:v>
      </x:c>
      <x:c r="N242" s="213" t="str">
        <x:v>Friday</x:v>
      </x:c>
      <x:c r="O242" s="213" t="str">
        <x:v>LottoMetrics full-history export</x:v>
      </x:c>
      <x:c r="P242" s="213" t="str">
        <x:v>Archive-sourced; calendar/range/uniqueness validated</x:v>
      </x:c>
      <x:c r="Q242" s="54" t="str"/>
    </x:row>
    <x:row r="243">
      <x:c r="A243" s="74" t="n">
        <x:v>240</x:v>
      </x:c>
      <x:c r="B243" s="217" t="n">
        <x:v>42664</x:v>
      </x:c>
      <x:c r="C243" s="75" t="n">
        <x:v>14</x:v>
      </x:c>
      <x:c r="D243" s="75" t="n">
        <x:v>16</x:v>
      </x:c>
      <x:c r="E243" s="75" t="n">
        <x:v>28</x:v>
      </x:c>
      <x:c r="F243" s="75" t="n">
        <x:v>34</x:v>
      </x:c>
      <x:c r="G243" s="75" t="n">
        <x:v>35</x:v>
      </x:c>
      <x:c r="H243" s="75" t="n">
        <x:v>3</x:v>
      </x:c>
      <x:c r="I243" s="75" t="n">
        <x:v>9</x:v>
      </x:c>
      <x:c r="J243" s="75" t="n">
        <x:v>50</x:v>
      </x:c>
      <x:c r="K243" s="75" t="n">
        <x:v>10</x:v>
      </x:c>
      <x:c r="L243" s="75" t="str">
        <x:v>R2_5of50_2of10</x:v>
      </x:c>
      <x:c r="M243" s="213" t="str">
        <x:v>S1_pre_2024_studio_change_sensitivity_only</x:v>
      </x:c>
      <x:c r="N243" s="213" t="str">
        <x:v>Friday</x:v>
      </x:c>
      <x:c r="O243" s="213" t="str">
        <x:v>LottoMetrics full-history export</x:v>
      </x:c>
      <x:c r="P243" s="213" t="str">
        <x:v>Archive-sourced; calendar/range/uniqueness validated</x:v>
      </x:c>
      <x:c r="Q243" s="54" t="str"/>
    </x:row>
    <x:row r="244">
      <x:c r="A244" s="74" t="n">
        <x:v>241</x:v>
      </x:c>
      <x:c r="B244" s="217" t="n">
        <x:v>42671</x:v>
      </x:c>
      <x:c r="C244" s="75" t="n">
        <x:v>1</x:v>
      </x:c>
      <x:c r="D244" s="75" t="n">
        <x:v>4</x:v>
      </x:c>
      <x:c r="E244" s="75" t="n">
        <x:v>6</x:v>
      </x:c>
      <x:c r="F244" s="75" t="n">
        <x:v>12</x:v>
      </x:c>
      <x:c r="G244" s="75" t="n">
        <x:v>13</x:v>
      </x:c>
      <x:c r="H244" s="75" t="n">
        <x:v>1</x:v>
      </x:c>
      <x:c r="I244" s="75" t="n">
        <x:v>6</x:v>
      </x:c>
      <x:c r="J244" s="75" t="n">
        <x:v>50</x:v>
      </x:c>
      <x:c r="K244" s="75" t="n">
        <x:v>10</x:v>
      </x:c>
      <x:c r="L244" s="75" t="str">
        <x:v>R2_5of50_2of10</x:v>
      </x:c>
      <x:c r="M244" s="213" t="str">
        <x:v>S1_pre_2024_studio_change_sensitivity_only</x:v>
      </x:c>
      <x:c r="N244" s="213" t="str">
        <x:v>Friday</x:v>
      </x:c>
      <x:c r="O244" s="213" t="str">
        <x:v>LottoMetrics full-history export</x:v>
      </x:c>
      <x:c r="P244" s="213" t="str">
        <x:v>Archive-sourced; calendar/range/uniqueness validated</x:v>
      </x:c>
      <x:c r="Q244" s="54" t="str"/>
    </x:row>
    <x:row r="245">
      <x:c r="A245" s="74" t="n">
        <x:v>242</x:v>
      </x:c>
      <x:c r="B245" s="217" t="n">
        <x:v>42678</x:v>
      </x:c>
      <x:c r="C245" s="75" t="n">
        <x:v>14</x:v>
      </x:c>
      <x:c r="D245" s="75" t="n">
        <x:v>15</x:v>
      </x:c>
      <x:c r="E245" s="75" t="n">
        <x:v>16</x:v>
      </x:c>
      <x:c r="F245" s="75" t="n">
        <x:v>22</x:v>
      </x:c>
      <x:c r="G245" s="75" t="n">
        <x:v>50</x:v>
      </x:c>
      <x:c r="H245" s="75" t="n">
        <x:v>2</x:v>
      </x:c>
      <x:c r="I245" s="75" t="n">
        <x:v>10</x:v>
      </x:c>
      <x:c r="J245" s="75" t="n">
        <x:v>50</x:v>
      </x:c>
      <x:c r="K245" s="75" t="n">
        <x:v>10</x:v>
      </x:c>
      <x:c r="L245" s="75" t="str">
        <x:v>R2_5of50_2of10</x:v>
      </x:c>
      <x:c r="M245" s="213" t="str">
        <x:v>S1_pre_2024_studio_change_sensitivity_only</x:v>
      </x:c>
      <x:c r="N245" s="213" t="str">
        <x:v>Friday</x:v>
      </x:c>
      <x:c r="O245" s="213" t="str">
        <x:v>LottoMetrics full-history export</x:v>
      </x:c>
      <x:c r="P245" s="213" t="str">
        <x:v>Archive-sourced; calendar/range/uniqueness validated</x:v>
      </x:c>
      <x:c r="Q245" s="54" t="str"/>
    </x:row>
    <x:row r="246">
      <x:c r="A246" s="74" t="n">
        <x:v>243</x:v>
      </x:c>
      <x:c r="B246" s="217" t="n">
        <x:v>42685</x:v>
      </x:c>
      <x:c r="C246" s="75" t="n">
        <x:v>1</x:v>
      </x:c>
      <x:c r="D246" s="75" t="n">
        <x:v>16</x:v>
      </x:c>
      <x:c r="E246" s="75" t="n">
        <x:v>18</x:v>
      </x:c>
      <x:c r="F246" s="75" t="n">
        <x:v>42</x:v>
      </x:c>
      <x:c r="G246" s="75" t="n">
        <x:v>47</x:v>
      </x:c>
      <x:c r="H246" s="75" t="n">
        <x:v>6</x:v>
      </x:c>
      <x:c r="I246" s="75" t="n">
        <x:v>8</x:v>
      </x:c>
      <x:c r="J246" s="75" t="n">
        <x:v>50</x:v>
      </x:c>
      <x:c r="K246" s="75" t="n">
        <x:v>10</x:v>
      </x:c>
      <x:c r="L246" s="75" t="str">
        <x:v>R2_5of50_2of10</x:v>
      </x:c>
      <x:c r="M246" s="213" t="str">
        <x:v>S1_pre_2024_studio_change_sensitivity_only</x:v>
      </x:c>
      <x:c r="N246" s="213" t="str">
        <x:v>Friday</x:v>
      </x:c>
      <x:c r="O246" s="213" t="str">
        <x:v>LottoMetrics full-history export</x:v>
      </x:c>
      <x:c r="P246" s="213" t="str">
        <x:v>Archive-sourced; calendar/range/uniqueness validated</x:v>
      </x:c>
      <x:c r="Q246" s="54" t="str"/>
    </x:row>
    <x:row r="247">
      <x:c r="A247" s="74" t="n">
        <x:v>244</x:v>
      </x:c>
      <x:c r="B247" s="217" t="n">
        <x:v>42692</x:v>
      </x:c>
      <x:c r="C247" s="75" t="n">
        <x:v>7</x:v>
      </x:c>
      <x:c r="D247" s="75" t="n">
        <x:v>10</x:v>
      </x:c>
      <x:c r="E247" s="75" t="n">
        <x:v>16</x:v>
      </x:c>
      <x:c r="F247" s="75" t="n">
        <x:v>32</x:v>
      </x:c>
      <x:c r="G247" s="75" t="n">
        <x:v>40</x:v>
      </x:c>
      <x:c r="H247" s="75" t="n">
        <x:v>1</x:v>
      </x:c>
      <x:c r="I247" s="75" t="n">
        <x:v>6</x:v>
      </x:c>
      <x:c r="J247" s="75" t="n">
        <x:v>50</x:v>
      </x:c>
      <x:c r="K247" s="75" t="n">
        <x:v>10</x:v>
      </x:c>
      <x:c r="L247" s="75" t="str">
        <x:v>R2_5of50_2of10</x:v>
      </x:c>
      <x:c r="M247" s="213" t="str">
        <x:v>S1_pre_2024_studio_change_sensitivity_only</x:v>
      </x:c>
      <x:c r="N247" s="213" t="str">
        <x:v>Friday</x:v>
      </x:c>
      <x:c r="O247" s="213" t="str">
        <x:v>LottoMetrics full-history export</x:v>
      </x:c>
      <x:c r="P247" s="213" t="str">
        <x:v>Archive-sourced; calendar/range/uniqueness validated</x:v>
      </x:c>
      <x:c r="Q247" s="54" t="str"/>
    </x:row>
    <x:row r="248">
      <x:c r="A248" s="74" t="n">
        <x:v>245</x:v>
      </x:c>
      <x:c r="B248" s="217" t="n">
        <x:v>42699</x:v>
      </x:c>
      <x:c r="C248" s="75" t="n">
        <x:v>19</x:v>
      </x:c>
      <x:c r="D248" s="75" t="n">
        <x:v>28</x:v>
      </x:c>
      <x:c r="E248" s="75" t="n">
        <x:v>34</x:v>
      </x:c>
      <x:c r="F248" s="75" t="n">
        <x:v>45</x:v>
      </x:c>
      <x:c r="G248" s="75" t="n">
        <x:v>49</x:v>
      </x:c>
      <x:c r="H248" s="75" t="n">
        <x:v>1</x:v>
      </x:c>
      <x:c r="I248" s="75" t="n">
        <x:v>6</x:v>
      </x:c>
      <x:c r="J248" s="75" t="n">
        <x:v>50</x:v>
      </x:c>
      <x:c r="K248" s="75" t="n">
        <x:v>10</x:v>
      </x:c>
      <x:c r="L248" s="75" t="str">
        <x:v>R2_5of50_2of10</x:v>
      </x:c>
      <x:c r="M248" s="213" t="str">
        <x:v>S1_pre_2024_studio_change_sensitivity_only</x:v>
      </x:c>
      <x:c r="N248" s="213" t="str">
        <x:v>Friday</x:v>
      </x:c>
      <x:c r="O248" s="213" t="str">
        <x:v>LottoMetrics full-history export</x:v>
      </x:c>
      <x:c r="P248" s="213" t="str">
        <x:v>Archive-sourced; calendar/range/uniqueness validated</x:v>
      </x:c>
      <x:c r="Q248" s="54" t="str"/>
    </x:row>
    <x:row r="249">
      <x:c r="A249" s="74" t="n">
        <x:v>246</x:v>
      </x:c>
      <x:c r="B249" s="217" t="n">
        <x:v>42706</x:v>
      </x:c>
      <x:c r="C249" s="75" t="n">
        <x:v>1</x:v>
      </x:c>
      <x:c r="D249" s="75" t="n">
        <x:v>20</x:v>
      </x:c>
      <x:c r="E249" s="75" t="n">
        <x:v>39</x:v>
      </x:c>
      <x:c r="F249" s="75" t="n">
        <x:v>48</x:v>
      </x:c>
      <x:c r="G249" s="75" t="n">
        <x:v>50</x:v>
      </x:c>
      <x:c r="H249" s="75" t="n">
        <x:v>3</x:v>
      </x:c>
      <x:c r="I249" s="75" t="n">
        <x:v>7</x:v>
      </x:c>
      <x:c r="J249" s="75" t="n">
        <x:v>50</x:v>
      </x:c>
      <x:c r="K249" s="75" t="n">
        <x:v>10</x:v>
      </x:c>
      <x:c r="L249" s="75" t="str">
        <x:v>R2_5of50_2of10</x:v>
      </x:c>
      <x:c r="M249" s="213" t="str">
        <x:v>S1_pre_2024_studio_change_sensitivity_only</x:v>
      </x:c>
      <x:c r="N249" s="213" t="str">
        <x:v>Friday</x:v>
      </x:c>
      <x:c r="O249" s="213" t="str">
        <x:v>LottoMetrics full-history export</x:v>
      </x:c>
      <x:c r="P249" s="213" t="str">
        <x:v>Archive-sourced; calendar/range/uniqueness validated</x:v>
      </x:c>
      <x:c r="Q249" s="54" t="str"/>
    </x:row>
    <x:row r="250">
      <x:c r="A250" s="74" t="n">
        <x:v>247</x:v>
      </x:c>
      <x:c r="B250" s="217" t="n">
        <x:v>42713</x:v>
      </x:c>
      <x:c r="C250" s="75" t="n">
        <x:v>12</x:v>
      </x:c>
      <x:c r="D250" s="75" t="n">
        <x:v>17</x:v>
      </x:c>
      <x:c r="E250" s="75" t="n">
        <x:v>29</x:v>
      </x:c>
      <x:c r="F250" s="75" t="n">
        <x:v>44</x:v>
      </x:c>
      <x:c r="G250" s="75" t="n">
        <x:v>50</x:v>
      </x:c>
      <x:c r="H250" s="75" t="n">
        <x:v>2</x:v>
      </x:c>
      <x:c r="I250" s="75" t="n">
        <x:v>10</x:v>
      </x:c>
      <x:c r="J250" s="75" t="n">
        <x:v>50</x:v>
      </x:c>
      <x:c r="K250" s="75" t="n">
        <x:v>10</x:v>
      </x:c>
      <x:c r="L250" s="75" t="str">
        <x:v>R2_5of50_2of10</x:v>
      </x:c>
      <x:c r="M250" s="213" t="str">
        <x:v>S1_pre_2024_studio_change_sensitivity_only</x:v>
      </x:c>
      <x:c r="N250" s="213" t="str">
        <x:v>Friday</x:v>
      </x:c>
      <x:c r="O250" s="213" t="str">
        <x:v>LottoMetrics full-history export</x:v>
      </x:c>
      <x:c r="P250" s="213" t="str">
        <x:v>Archive-sourced; calendar/range/uniqueness validated</x:v>
      </x:c>
      <x:c r="Q250" s="54" t="str"/>
    </x:row>
    <x:row r="251">
      <x:c r="A251" s="74" t="n">
        <x:v>248</x:v>
      </x:c>
      <x:c r="B251" s="217" t="n">
        <x:v>42720</x:v>
      </x:c>
      <x:c r="C251" s="75" t="n">
        <x:v>2</x:v>
      </x:c>
      <x:c r="D251" s="75" t="n">
        <x:v>3</x:v>
      </x:c>
      <x:c r="E251" s="75" t="n">
        <x:v>24</x:v>
      </x:c>
      <x:c r="F251" s="75" t="n">
        <x:v>25</x:v>
      </x:c>
      <x:c r="G251" s="75" t="n">
        <x:v>34</x:v>
      </x:c>
      <x:c r="H251" s="75" t="n">
        <x:v>6</x:v>
      </x:c>
      <x:c r="I251" s="75" t="n">
        <x:v>8</x:v>
      </x:c>
      <x:c r="J251" s="75" t="n">
        <x:v>50</x:v>
      </x:c>
      <x:c r="K251" s="75" t="n">
        <x:v>10</x:v>
      </x:c>
      <x:c r="L251" s="75" t="str">
        <x:v>R2_5of50_2of10</x:v>
      </x:c>
      <x:c r="M251" s="213" t="str">
        <x:v>S1_pre_2024_studio_change_sensitivity_only</x:v>
      </x:c>
      <x:c r="N251" s="213" t="str">
        <x:v>Friday</x:v>
      </x:c>
      <x:c r="O251" s="213" t="str">
        <x:v>LottoMetrics full-history export</x:v>
      </x:c>
      <x:c r="P251" s="213" t="str">
        <x:v>Archive-sourced; calendar/range/uniqueness validated</x:v>
      </x:c>
      <x:c r="Q251" s="54" t="str"/>
    </x:row>
    <x:row r="252">
      <x:c r="A252" s="74" t="n">
        <x:v>249</x:v>
      </x:c>
      <x:c r="B252" s="217" t="n">
        <x:v>42727</x:v>
      </x:c>
      <x:c r="C252" s="75" t="n">
        <x:v>13</x:v>
      </x:c>
      <x:c r="D252" s="75" t="n">
        <x:v>27</x:v>
      </x:c>
      <x:c r="E252" s="75" t="n">
        <x:v>30</x:v>
      </x:c>
      <x:c r="F252" s="75" t="n">
        <x:v>42</x:v>
      </x:c>
      <x:c r="G252" s="75" t="n">
        <x:v>46</x:v>
      </x:c>
      <x:c r="H252" s="75" t="n">
        <x:v>3</x:v>
      </x:c>
      <x:c r="I252" s="75" t="n">
        <x:v>4</x:v>
      </x:c>
      <x:c r="J252" s="75" t="n">
        <x:v>50</x:v>
      </x:c>
      <x:c r="K252" s="75" t="n">
        <x:v>10</x:v>
      </x:c>
      <x:c r="L252" s="75" t="str">
        <x:v>R2_5of50_2of10</x:v>
      </x:c>
      <x:c r="M252" s="213" t="str">
        <x:v>S1_pre_2024_studio_change_sensitivity_only</x:v>
      </x:c>
      <x:c r="N252" s="213" t="str">
        <x:v>Friday</x:v>
      </x:c>
      <x:c r="O252" s="213" t="str">
        <x:v>LottoMetrics full-history export</x:v>
      </x:c>
      <x:c r="P252" s="213" t="str">
        <x:v>Archive-sourced; calendar/range/uniqueness validated</x:v>
      </x:c>
      <x:c r="Q252" s="54" t="str"/>
    </x:row>
    <x:row r="253">
      <x:c r="A253" s="74" t="n">
        <x:v>250</x:v>
      </x:c>
      <x:c r="B253" s="217" t="n">
        <x:v>42734</x:v>
      </x:c>
      <x:c r="C253" s="75" t="n">
        <x:v>27</x:v>
      </x:c>
      <x:c r="D253" s="75" t="n">
        <x:v>30</x:v>
      </x:c>
      <x:c r="E253" s="75" t="n">
        <x:v>45</x:v>
      </x:c>
      <x:c r="F253" s="75" t="n">
        <x:v>47</x:v>
      </x:c>
      <x:c r="G253" s="75" t="n">
        <x:v>50</x:v>
      </x:c>
      <x:c r="H253" s="75" t="n">
        <x:v>1</x:v>
      </x:c>
      <x:c r="I253" s="75" t="n">
        <x:v>9</x:v>
      </x:c>
      <x:c r="J253" s="75" t="n">
        <x:v>50</x:v>
      </x:c>
      <x:c r="K253" s="75" t="n">
        <x:v>10</x:v>
      </x:c>
      <x:c r="L253" s="75" t="str">
        <x:v>R2_5of50_2of10</x:v>
      </x:c>
      <x:c r="M253" s="213" t="str">
        <x:v>S1_pre_2024_studio_change_sensitivity_only</x:v>
      </x:c>
      <x:c r="N253" s="213" t="str">
        <x:v>Friday</x:v>
      </x:c>
      <x:c r="O253" s="213" t="str">
        <x:v>LottoMetrics full-history export</x:v>
      </x:c>
      <x:c r="P253" s="213" t="str">
        <x:v>Archive-sourced; calendar/range/uniqueness validated</x:v>
      </x:c>
      <x:c r="Q253" s="54" t="str"/>
    </x:row>
    <x:row r="254">
      <x:c r="A254" s="74" t="n">
        <x:v>251</x:v>
      </x:c>
      <x:c r="B254" s="217" t="n">
        <x:v>42741</x:v>
      </x:c>
      <x:c r="C254" s="75" t="n">
        <x:v>7</x:v>
      </x:c>
      <x:c r="D254" s="75" t="n">
        <x:v>14</x:v>
      </x:c>
      <x:c r="E254" s="75" t="n">
        <x:v>23</x:v>
      </x:c>
      <x:c r="F254" s="75" t="n">
        <x:v>27</x:v>
      </x:c>
      <x:c r="G254" s="75" t="n">
        <x:v>35</x:v>
      </x:c>
      <x:c r="H254" s="75" t="n">
        <x:v>3</x:v>
      </x:c>
      <x:c r="I254" s="75" t="n">
        <x:v>5</x:v>
      </x:c>
      <x:c r="J254" s="75" t="n">
        <x:v>50</x:v>
      </x:c>
      <x:c r="K254" s="75" t="n">
        <x:v>10</x:v>
      </x:c>
      <x:c r="L254" s="75" t="str">
        <x:v>R2_5of50_2of10</x:v>
      </x:c>
      <x:c r="M254" s="213" t="str">
        <x:v>S1_pre_2024_studio_change_sensitivity_only</x:v>
      </x:c>
      <x:c r="N254" s="213" t="str">
        <x:v>Friday</x:v>
      </x:c>
      <x:c r="O254" s="213" t="str">
        <x:v>LottoMetrics full-history export</x:v>
      </x:c>
      <x:c r="P254" s="213" t="str">
        <x:v>Archive-sourced; calendar/range/uniqueness validated</x:v>
      </x:c>
      <x:c r="Q254" s="54" t="str"/>
    </x:row>
    <x:row r="255">
      <x:c r="A255" s="74" t="n">
        <x:v>252</x:v>
      </x:c>
      <x:c r="B255" s="217" t="n">
        <x:v>42748</x:v>
      </x:c>
      <x:c r="C255" s="75" t="n">
        <x:v>2</x:v>
      </x:c>
      <x:c r="D255" s="75" t="n">
        <x:v>21</x:v>
      </x:c>
      <x:c r="E255" s="75" t="n">
        <x:v>26</x:v>
      </x:c>
      <x:c r="F255" s="75" t="n">
        <x:v>44</x:v>
      </x:c>
      <x:c r="G255" s="75" t="n">
        <x:v>45</x:v>
      </x:c>
      <x:c r="H255" s="75" t="n">
        <x:v>1</x:v>
      </x:c>
      <x:c r="I255" s="75" t="n">
        <x:v>6</x:v>
      </x:c>
      <x:c r="J255" s="75" t="n">
        <x:v>50</x:v>
      </x:c>
      <x:c r="K255" s="75" t="n">
        <x:v>10</x:v>
      </x:c>
      <x:c r="L255" s="75" t="str">
        <x:v>R2_5of50_2of10</x:v>
      </x:c>
      <x:c r="M255" s="213" t="str">
        <x:v>S1_pre_2024_studio_change_sensitivity_only</x:v>
      </x:c>
      <x:c r="N255" s="213" t="str">
        <x:v>Friday</x:v>
      </x:c>
      <x:c r="O255" s="213" t="str">
        <x:v>LottoMetrics full-history export</x:v>
      </x:c>
      <x:c r="P255" s="213" t="str">
        <x:v>Archive-sourced; calendar/range/uniqueness validated</x:v>
      </x:c>
      <x:c r="Q255" s="54" t="str"/>
    </x:row>
    <x:row r="256">
      <x:c r="A256" s="74" t="n">
        <x:v>253</x:v>
      </x:c>
      <x:c r="B256" s="217" t="n">
        <x:v>42755</x:v>
      </x:c>
      <x:c r="C256" s="75" t="n">
        <x:v>5</x:v>
      </x:c>
      <x:c r="D256" s="75" t="n">
        <x:v>23</x:v>
      </x:c>
      <x:c r="E256" s="75" t="n">
        <x:v>25</x:v>
      </x:c>
      <x:c r="F256" s="75" t="n">
        <x:v>35</x:v>
      </x:c>
      <x:c r="G256" s="75" t="n">
        <x:v>40</x:v>
      </x:c>
      <x:c r="H256" s="75" t="n">
        <x:v>5</x:v>
      </x:c>
      <x:c r="I256" s="75" t="n">
        <x:v>8</x:v>
      </x:c>
      <x:c r="J256" s="75" t="n">
        <x:v>50</x:v>
      </x:c>
      <x:c r="K256" s="75" t="n">
        <x:v>10</x:v>
      </x:c>
      <x:c r="L256" s="75" t="str">
        <x:v>R2_5of50_2of10</x:v>
      </x:c>
      <x:c r="M256" s="213" t="str">
        <x:v>S1_pre_2024_studio_change_sensitivity_only</x:v>
      </x:c>
      <x:c r="N256" s="213" t="str">
        <x:v>Friday</x:v>
      </x:c>
      <x:c r="O256" s="213" t="str">
        <x:v>LottoMetrics full-history export</x:v>
      </x:c>
      <x:c r="P256" s="213" t="str">
        <x:v>Archive-sourced; calendar/range/uniqueness validated</x:v>
      </x:c>
      <x:c r="Q256" s="54" t="str"/>
    </x:row>
    <x:row r="257">
      <x:c r="A257" s="74" t="n">
        <x:v>254</x:v>
      </x:c>
      <x:c r="B257" s="217" t="n">
        <x:v>42762</x:v>
      </x:c>
      <x:c r="C257" s="75" t="n">
        <x:v>12</x:v>
      </x:c>
      <x:c r="D257" s="75" t="n">
        <x:v>15</x:v>
      </x:c>
      <x:c r="E257" s="75" t="n">
        <x:v>19</x:v>
      </x:c>
      <x:c r="F257" s="75" t="n">
        <x:v>29</x:v>
      </x:c>
      <x:c r="G257" s="75" t="n">
        <x:v>48</x:v>
      </x:c>
      <x:c r="H257" s="75" t="n">
        <x:v>7</x:v>
      </x:c>
      <x:c r="I257" s="75" t="n">
        <x:v>9</x:v>
      </x:c>
      <x:c r="J257" s="75" t="n">
        <x:v>50</x:v>
      </x:c>
      <x:c r="K257" s="75" t="n">
        <x:v>10</x:v>
      </x:c>
      <x:c r="L257" s="75" t="str">
        <x:v>R2_5of50_2of10</x:v>
      </x:c>
      <x:c r="M257" s="213" t="str">
        <x:v>S1_pre_2024_studio_change_sensitivity_only</x:v>
      </x:c>
      <x:c r="N257" s="213" t="str">
        <x:v>Friday</x:v>
      </x:c>
      <x:c r="O257" s="213" t="str">
        <x:v>LottoMetrics full-history export</x:v>
      </x:c>
      <x:c r="P257" s="213" t="str">
        <x:v>Archive-sourced; calendar/range/uniqueness validated</x:v>
      </x:c>
      <x:c r="Q257" s="54" t="str"/>
    </x:row>
    <x:row r="258">
      <x:c r="A258" s="74" t="n">
        <x:v>255</x:v>
      </x:c>
      <x:c r="B258" s="217" t="n">
        <x:v>42769</x:v>
      </x:c>
      <x:c r="C258" s="75" t="n">
        <x:v>4</x:v>
      </x:c>
      <x:c r="D258" s="75" t="n">
        <x:v>5</x:v>
      </x:c>
      <x:c r="E258" s="75" t="n">
        <x:v>17</x:v>
      </x:c>
      <x:c r="F258" s="75" t="n">
        <x:v>39</x:v>
      </x:c>
      <x:c r="G258" s="75" t="n">
        <x:v>47</x:v>
      </x:c>
      <x:c r="H258" s="75" t="n">
        <x:v>3</x:v>
      </x:c>
      <x:c r="I258" s="75" t="n">
        <x:v>4</x:v>
      </x:c>
      <x:c r="J258" s="75" t="n">
        <x:v>50</x:v>
      </x:c>
      <x:c r="K258" s="75" t="n">
        <x:v>10</x:v>
      </x:c>
      <x:c r="L258" s="75" t="str">
        <x:v>R2_5of50_2of10</x:v>
      </x:c>
      <x:c r="M258" s="213" t="str">
        <x:v>S1_pre_2024_studio_change_sensitivity_only</x:v>
      </x:c>
      <x:c r="N258" s="213" t="str">
        <x:v>Friday</x:v>
      </x:c>
      <x:c r="O258" s="213" t="str">
        <x:v>LottoMetrics full-history export</x:v>
      </x:c>
      <x:c r="P258" s="213" t="str">
        <x:v>Archive-sourced; calendar/range/uniqueness validated</x:v>
      </x:c>
      <x:c r="Q258" s="54" t="str"/>
    </x:row>
    <x:row r="259">
      <x:c r="A259" s="74" t="n">
        <x:v>256</x:v>
      </x:c>
      <x:c r="B259" s="217" t="n">
        <x:v>42776</x:v>
      </x:c>
      <x:c r="C259" s="75" t="n">
        <x:v>13</x:v>
      </x:c>
      <x:c r="D259" s="75" t="n">
        <x:v>23</x:v>
      </x:c>
      <x:c r="E259" s="75" t="n">
        <x:v>31</x:v>
      </x:c>
      <x:c r="F259" s="75" t="n">
        <x:v>42</x:v>
      </x:c>
      <x:c r="G259" s="75" t="n">
        <x:v>44</x:v>
      </x:c>
      <x:c r="H259" s="75" t="n">
        <x:v>2</x:v>
      </x:c>
      <x:c r="I259" s="75" t="n">
        <x:v>5</x:v>
      </x:c>
      <x:c r="J259" s="75" t="n">
        <x:v>50</x:v>
      </x:c>
      <x:c r="K259" s="75" t="n">
        <x:v>10</x:v>
      </x:c>
      <x:c r="L259" s="75" t="str">
        <x:v>R2_5of50_2of10</x:v>
      </x:c>
      <x:c r="M259" s="213" t="str">
        <x:v>S1_pre_2024_studio_change_sensitivity_only</x:v>
      </x:c>
      <x:c r="N259" s="213" t="str">
        <x:v>Friday</x:v>
      </x:c>
      <x:c r="O259" s="213" t="str">
        <x:v>LottoMetrics full-history export</x:v>
      </x:c>
      <x:c r="P259" s="213" t="str">
        <x:v>Archive-sourced; calendar/range/uniqueness validated</x:v>
      </x:c>
      <x:c r="Q259" s="54" t="str"/>
    </x:row>
    <x:row r="260">
      <x:c r="A260" s="74" t="n">
        <x:v>257</x:v>
      </x:c>
      <x:c r="B260" s="217" t="n">
        <x:v>42783</x:v>
      </x:c>
      <x:c r="C260" s="75" t="n">
        <x:v>7</x:v>
      </x:c>
      <x:c r="D260" s="75" t="n">
        <x:v>18</x:v>
      </x:c>
      <x:c r="E260" s="75" t="n">
        <x:v>19</x:v>
      </x:c>
      <x:c r="F260" s="75" t="n">
        <x:v>40</x:v>
      </x:c>
      <x:c r="G260" s="75" t="n">
        <x:v>49</x:v>
      </x:c>
      <x:c r="H260" s="75" t="n">
        <x:v>5</x:v>
      </x:c>
      <x:c r="I260" s="75" t="n">
        <x:v>6</x:v>
      </x:c>
      <x:c r="J260" s="75" t="n">
        <x:v>50</x:v>
      </x:c>
      <x:c r="K260" s="75" t="n">
        <x:v>10</x:v>
      </x:c>
      <x:c r="L260" s="75" t="str">
        <x:v>R2_5of50_2of10</x:v>
      </x:c>
      <x:c r="M260" s="213" t="str">
        <x:v>S1_pre_2024_studio_change_sensitivity_only</x:v>
      </x:c>
      <x:c r="N260" s="213" t="str">
        <x:v>Friday</x:v>
      </x:c>
      <x:c r="O260" s="213" t="str">
        <x:v>LottoMetrics full-history export</x:v>
      </x:c>
      <x:c r="P260" s="213" t="str">
        <x:v>Archive-sourced; calendar/range/uniqueness validated</x:v>
      </x:c>
      <x:c r="Q260" s="54" t="str"/>
    </x:row>
    <x:row r="261">
      <x:c r="A261" s="74" t="n">
        <x:v>258</x:v>
      </x:c>
      <x:c r="B261" s="217" t="n">
        <x:v>42790</x:v>
      </x:c>
      <x:c r="C261" s="75" t="n">
        <x:v>1</x:v>
      </x:c>
      <x:c r="D261" s="75" t="n">
        <x:v>7</x:v>
      </x:c>
      <x:c r="E261" s="75" t="n">
        <x:v>13</x:v>
      </x:c>
      <x:c r="F261" s="75" t="n">
        <x:v>19</x:v>
      </x:c>
      <x:c r="G261" s="75" t="n">
        <x:v>20</x:v>
      </x:c>
      <x:c r="H261" s="75" t="n">
        <x:v>6</x:v>
      </x:c>
      <x:c r="I261" s="75" t="n">
        <x:v>8</x:v>
      </x:c>
      <x:c r="J261" s="75" t="n">
        <x:v>50</x:v>
      </x:c>
      <x:c r="K261" s="75" t="n">
        <x:v>10</x:v>
      </x:c>
      <x:c r="L261" s="75" t="str">
        <x:v>R2_5of50_2of10</x:v>
      </x:c>
      <x:c r="M261" s="213" t="str">
        <x:v>S1_pre_2024_studio_change_sensitivity_only</x:v>
      </x:c>
      <x:c r="N261" s="213" t="str">
        <x:v>Friday</x:v>
      </x:c>
      <x:c r="O261" s="213" t="str">
        <x:v>LottoMetrics full-history export</x:v>
      </x:c>
      <x:c r="P261" s="213" t="str">
        <x:v>Archive-sourced; calendar/range/uniqueness validated</x:v>
      </x:c>
      <x:c r="Q261" s="54" t="str"/>
    </x:row>
    <x:row r="262">
      <x:c r="A262" s="74" t="n">
        <x:v>259</x:v>
      </x:c>
      <x:c r="B262" s="217" t="n">
        <x:v>42797</x:v>
      </x:c>
      <x:c r="C262" s="75" t="n">
        <x:v>3</x:v>
      </x:c>
      <x:c r="D262" s="75" t="n">
        <x:v>7</x:v>
      </x:c>
      <x:c r="E262" s="75" t="n">
        <x:v>16</x:v>
      </x:c>
      <x:c r="F262" s="75" t="n">
        <x:v>18</x:v>
      </x:c>
      <x:c r="G262" s="75" t="n">
        <x:v>25</x:v>
      </x:c>
      <x:c r="H262" s="75" t="n">
        <x:v>2</x:v>
      </x:c>
      <x:c r="I262" s="75" t="n">
        <x:v>10</x:v>
      </x:c>
      <x:c r="J262" s="75" t="n">
        <x:v>50</x:v>
      </x:c>
      <x:c r="K262" s="75" t="n">
        <x:v>10</x:v>
      </x:c>
      <x:c r="L262" s="75" t="str">
        <x:v>R2_5of50_2of10</x:v>
      </x:c>
      <x:c r="M262" s="213" t="str">
        <x:v>S1_pre_2024_studio_change_sensitivity_only</x:v>
      </x:c>
      <x:c r="N262" s="213" t="str">
        <x:v>Friday</x:v>
      </x:c>
      <x:c r="O262" s="213" t="str">
        <x:v>LottoMetrics full-history export</x:v>
      </x:c>
      <x:c r="P262" s="213" t="str">
        <x:v>Archive-sourced; calendar/range/uniqueness validated</x:v>
      </x:c>
      <x:c r="Q262" s="54" t="str"/>
    </x:row>
    <x:row r="263">
      <x:c r="A263" s="74" t="n">
        <x:v>260</x:v>
      </x:c>
      <x:c r="B263" s="217" t="n">
        <x:v>42804</x:v>
      </x:c>
      <x:c r="C263" s="75" t="n">
        <x:v>13</x:v>
      </x:c>
      <x:c r="D263" s="75" t="n">
        <x:v>18</x:v>
      </x:c>
      <x:c r="E263" s="75" t="n">
        <x:v>20</x:v>
      </x:c>
      <x:c r="F263" s="75" t="n">
        <x:v>35</x:v>
      </x:c>
      <x:c r="G263" s="75" t="n">
        <x:v>46</x:v>
      </x:c>
      <x:c r="H263" s="75" t="n">
        <x:v>7</x:v>
      </x:c>
      <x:c r="I263" s="75" t="n">
        <x:v>8</x:v>
      </x:c>
      <x:c r="J263" s="75" t="n">
        <x:v>50</x:v>
      </x:c>
      <x:c r="K263" s="75" t="n">
        <x:v>10</x:v>
      </x:c>
      <x:c r="L263" s="75" t="str">
        <x:v>R2_5of50_2of10</x:v>
      </x:c>
      <x:c r="M263" s="213" t="str">
        <x:v>S1_pre_2024_studio_change_sensitivity_only</x:v>
      </x:c>
      <x:c r="N263" s="213" t="str">
        <x:v>Friday</x:v>
      </x:c>
      <x:c r="O263" s="213" t="str">
        <x:v>LottoMetrics full-history export</x:v>
      </x:c>
      <x:c r="P263" s="213" t="str">
        <x:v>Archive-sourced; calendar/range/uniqueness validated</x:v>
      </x:c>
      <x:c r="Q263" s="54" t="str"/>
    </x:row>
    <x:row r="264">
      <x:c r="A264" s="74" t="n">
        <x:v>261</x:v>
      </x:c>
      <x:c r="B264" s="217" t="n">
        <x:v>42811</x:v>
      </x:c>
      <x:c r="C264" s="75" t="n">
        <x:v>3</x:v>
      </x:c>
      <x:c r="D264" s="75" t="n">
        <x:v>16</x:v>
      </x:c>
      <x:c r="E264" s="75" t="n">
        <x:v>25</x:v>
      </x:c>
      <x:c r="F264" s="75" t="n">
        <x:v>38</x:v>
      </x:c>
      <x:c r="G264" s="75" t="n">
        <x:v>45</x:v>
      </x:c>
      <x:c r="H264" s="75" t="n">
        <x:v>7</x:v>
      </x:c>
      <x:c r="I264" s="75" t="n">
        <x:v>8</x:v>
      </x:c>
      <x:c r="J264" s="75" t="n">
        <x:v>50</x:v>
      </x:c>
      <x:c r="K264" s="75" t="n">
        <x:v>10</x:v>
      </x:c>
      <x:c r="L264" s="75" t="str">
        <x:v>R2_5of50_2of10</x:v>
      </x:c>
      <x:c r="M264" s="213" t="str">
        <x:v>S1_pre_2024_studio_change_sensitivity_only</x:v>
      </x:c>
      <x:c r="N264" s="213" t="str">
        <x:v>Friday</x:v>
      </x:c>
      <x:c r="O264" s="213" t="str">
        <x:v>LottoMetrics full-history export</x:v>
      </x:c>
      <x:c r="P264" s="213" t="str">
        <x:v>Archive-sourced; calendar/range/uniqueness validated</x:v>
      </x:c>
      <x:c r="Q264" s="54" t="str"/>
    </x:row>
    <x:row r="265">
      <x:c r="A265" s="74" t="n">
        <x:v>262</x:v>
      </x:c>
      <x:c r="B265" s="217" t="n">
        <x:v>42818</x:v>
      </x:c>
      <x:c r="C265" s="75" t="n">
        <x:v>25</x:v>
      </x:c>
      <x:c r="D265" s="75" t="n">
        <x:v>26</x:v>
      </x:c>
      <x:c r="E265" s="75" t="n">
        <x:v>30</x:v>
      </x:c>
      <x:c r="F265" s="75" t="n">
        <x:v>36</x:v>
      </x:c>
      <x:c r="G265" s="75" t="n">
        <x:v>44</x:v>
      </x:c>
      <x:c r="H265" s="75" t="n">
        <x:v>3</x:v>
      </x:c>
      <x:c r="I265" s="75" t="n">
        <x:v>9</x:v>
      </x:c>
      <x:c r="J265" s="75" t="n">
        <x:v>50</x:v>
      </x:c>
      <x:c r="K265" s="75" t="n">
        <x:v>10</x:v>
      </x:c>
      <x:c r="L265" s="75" t="str">
        <x:v>R2_5of50_2of10</x:v>
      </x:c>
      <x:c r="M265" s="213" t="str">
        <x:v>S1_pre_2024_studio_change_sensitivity_only</x:v>
      </x:c>
      <x:c r="N265" s="213" t="str">
        <x:v>Friday</x:v>
      </x:c>
      <x:c r="O265" s="213" t="str">
        <x:v>LottoMetrics full-history export</x:v>
      </x:c>
      <x:c r="P265" s="213" t="str">
        <x:v>Archive-sourced; calendar/range/uniqueness validated</x:v>
      </x:c>
      <x:c r="Q265" s="54" t="str"/>
    </x:row>
    <x:row r="266">
      <x:c r="A266" s="74" t="n">
        <x:v>263</x:v>
      </x:c>
      <x:c r="B266" s="217" t="n">
        <x:v>42825</x:v>
      </x:c>
      <x:c r="C266" s="75" t="n">
        <x:v>8</x:v>
      </x:c>
      <x:c r="D266" s="75" t="n">
        <x:v>14</x:v>
      </x:c>
      <x:c r="E266" s="75" t="n">
        <x:v>34</x:v>
      </x:c>
      <x:c r="F266" s="75" t="n">
        <x:v>40</x:v>
      </x:c>
      <x:c r="G266" s="75" t="n">
        <x:v>44</x:v>
      </x:c>
      <x:c r="H266" s="75" t="n">
        <x:v>1</x:v>
      </x:c>
      <x:c r="I266" s="75" t="n">
        <x:v>7</x:v>
      </x:c>
      <x:c r="J266" s="75" t="n">
        <x:v>50</x:v>
      </x:c>
      <x:c r="K266" s="75" t="n">
        <x:v>10</x:v>
      </x:c>
      <x:c r="L266" s="75" t="str">
        <x:v>R2_5of50_2of10</x:v>
      </x:c>
      <x:c r="M266" s="213" t="str">
        <x:v>S1_pre_2024_studio_change_sensitivity_only</x:v>
      </x:c>
      <x:c r="N266" s="213" t="str">
        <x:v>Friday</x:v>
      </x:c>
      <x:c r="O266" s="213" t="str">
        <x:v>LottoMetrics full-history export</x:v>
      </x:c>
      <x:c r="P266" s="213" t="str">
        <x:v>Archive-sourced; calendar/range/uniqueness validated</x:v>
      </x:c>
      <x:c r="Q266" s="54" t="str"/>
    </x:row>
    <x:row r="267">
      <x:c r="A267" s="74" t="n">
        <x:v>264</x:v>
      </x:c>
      <x:c r="B267" s="217" t="n">
        <x:v>42832</x:v>
      </x:c>
      <x:c r="C267" s="75" t="n">
        <x:v>10</x:v>
      </x:c>
      <x:c r="D267" s="75" t="n">
        <x:v>27</x:v>
      </x:c>
      <x:c r="E267" s="75" t="n">
        <x:v>43</x:v>
      </x:c>
      <x:c r="F267" s="75" t="n">
        <x:v>45</x:v>
      </x:c>
      <x:c r="G267" s="75" t="n">
        <x:v>46</x:v>
      </x:c>
      <x:c r="H267" s="75" t="n">
        <x:v>4</x:v>
      </x:c>
      <x:c r="I267" s="75" t="n">
        <x:v>8</x:v>
      </x:c>
      <x:c r="J267" s="75" t="n">
        <x:v>50</x:v>
      </x:c>
      <x:c r="K267" s="75" t="n">
        <x:v>10</x:v>
      </x:c>
      <x:c r="L267" s="75" t="str">
        <x:v>R2_5of50_2of10</x:v>
      </x:c>
      <x:c r="M267" s="213" t="str">
        <x:v>S1_pre_2024_studio_change_sensitivity_only</x:v>
      </x:c>
      <x:c r="N267" s="213" t="str">
        <x:v>Friday</x:v>
      </x:c>
      <x:c r="O267" s="213" t="str">
        <x:v>LottoMetrics full-history export</x:v>
      </x:c>
      <x:c r="P267" s="213" t="str">
        <x:v>Archive-sourced; calendar/range/uniqueness validated</x:v>
      </x:c>
      <x:c r="Q267" s="54" t="str"/>
    </x:row>
    <x:row r="268">
      <x:c r="A268" s="74" t="n">
        <x:v>265</x:v>
      </x:c>
      <x:c r="B268" s="217" t="n">
        <x:v>42839</x:v>
      </x:c>
      <x:c r="C268" s="75" t="n">
        <x:v>6</x:v>
      </x:c>
      <x:c r="D268" s="75" t="n">
        <x:v>22</x:v>
      </x:c>
      <x:c r="E268" s="75" t="n">
        <x:v>33</x:v>
      </x:c>
      <x:c r="F268" s="75" t="n">
        <x:v>46</x:v>
      </x:c>
      <x:c r="G268" s="75" t="n">
        <x:v>49</x:v>
      </x:c>
      <x:c r="H268" s="75" t="n">
        <x:v>1</x:v>
      </x:c>
      <x:c r="I268" s="75" t="n">
        <x:v>5</x:v>
      </x:c>
      <x:c r="J268" s="75" t="n">
        <x:v>50</x:v>
      </x:c>
      <x:c r="K268" s="75" t="n">
        <x:v>10</x:v>
      </x:c>
      <x:c r="L268" s="75" t="str">
        <x:v>R2_5of50_2of10</x:v>
      </x:c>
      <x:c r="M268" s="213" t="str">
        <x:v>S1_pre_2024_studio_change_sensitivity_only</x:v>
      </x:c>
      <x:c r="N268" s="213" t="str">
        <x:v>Friday</x:v>
      </x:c>
      <x:c r="O268" s="213" t="str">
        <x:v>LottoMetrics full-history export</x:v>
      </x:c>
      <x:c r="P268" s="213" t="str">
        <x:v>Archive-sourced; calendar/range/uniqueness validated</x:v>
      </x:c>
      <x:c r="Q268" s="54" t="str"/>
    </x:row>
    <x:row r="269">
      <x:c r="A269" s="74" t="n">
        <x:v>266</x:v>
      </x:c>
      <x:c r="B269" s="217" t="n">
        <x:v>42846</x:v>
      </x:c>
      <x:c r="C269" s="75" t="n">
        <x:v>27</x:v>
      </x:c>
      <x:c r="D269" s="75" t="n">
        <x:v>31</x:v>
      </x:c>
      <x:c r="E269" s="75" t="n">
        <x:v>44</x:v>
      </x:c>
      <x:c r="F269" s="75" t="n">
        <x:v>46</x:v>
      </x:c>
      <x:c r="G269" s="75" t="n">
        <x:v>49</x:v>
      </x:c>
      <x:c r="H269" s="75" t="n">
        <x:v>6</x:v>
      </x:c>
      <x:c r="I269" s="75" t="n">
        <x:v>8</x:v>
      </x:c>
      <x:c r="J269" s="75" t="n">
        <x:v>50</x:v>
      </x:c>
      <x:c r="K269" s="75" t="n">
        <x:v>10</x:v>
      </x:c>
      <x:c r="L269" s="75" t="str">
        <x:v>R2_5of50_2of10</x:v>
      </x:c>
      <x:c r="M269" s="213" t="str">
        <x:v>S1_pre_2024_studio_change_sensitivity_only</x:v>
      </x:c>
      <x:c r="N269" s="213" t="str">
        <x:v>Friday</x:v>
      </x:c>
      <x:c r="O269" s="213" t="str">
        <x:v>LottoMetrics full-history export</x:v>
      </x:c>
      <x:c r="P269" s="213" t="str">
        <x:v>Archive-sourced; calendar/range/uniqueness validated</x:v>
      </x:c>
      <x:c r="Q269" s="54" t="str"/>
    </x:row>
    <x:row r="270">
      <x:c r="A270" s="74" t="n">
        <x:v>267</x:v>
      </x:c>
      <x:c r="B270" s="217" t="n">
        <x:v>42853</x:v>
      </x:c>
      <x:c r="C270" s="75" t="n">
        <x:v>3</x:v>
      </x:c>
      <x:c r="D270" s="75" t="n">
        <x:v>38</x:v>
      </x:c>
      <x:c r="E270" s="75" t="n">
        <x:v>39</x:v>
      </x:c>
      <x:c r="F270" s="75" t="n">
        <x:v>41</x:v>
      </x:c>
      <x:c r="G270" s="75" t="n">
        <x:v>45</x:v>
      </x:c>
      <x:c r="H270" s="75" t="n">
        <x:v>3</x:v>
      </x:c>
      <x:c r="I270" s="75" t="n">
        <x:v>5</x:v>
      </x:c>
      <x:c r="J270" s="75" t="n">
        <x:v>50</x:v>
      </x:c>
      <x:c r="K270" s="75" t="n">
        <x:v>10</x:v>
      </x:c>
      <x:c r="L270" s="75" t="str">
        <x:v>R2_5of50_2of10</x:v>
      </x:c>
      <x:c r="M270" s="213" t="str">
        <x:v>S1_pre_2024_studio_change_sensitivity_only</x:v>
      </x:c>
      <x:c r="N270" s="213" t="str">
        <x:v>Friday</x:v>
      </x:c>
      <x:c r="O270" s="213" t="str">
        <x:v>LottoMetrics full-history export</x:v>
      </x:c>
      <x:c r="P270" s="213" t="str">
        <x:v>Archive-sourced; calendar/range/uniqueness validated</x:v>
      </x:c>
      <x:c r="Q270" s="54" t="str"/>
    </x:row>
    <x:row r="271">
      <x:c r="A271" s="74" t="n">
        <x:v>268</x:v>
      </x:c>
      <x:c r="B271" s="217" t="n">
        <x:v>42860</x:v>
      </x:c>
      <x:c r="C271" s="75" t="n">
        <x:v>8</x:v>
      </x:c>
      <x:c r="D271" s="75" t="n">
        <x:v>11</x:v>
      </x:c>
      <x:c r="E271" s="75" t="n">
        <x:v>23</x:v>
      </x:c>
      <x:c r="F271" s="75" t="n">
        <x:v>41</x:v>
      </x:c>
      <x:c r="G271" s="75" t="n">
        <x:v>42</x:v>
      </x:c>
      <x:c r="H271" s="75" t="n">
        <x:v>6</x:v>
      </x:c>
      <x:c r="I271" s="75" t="n">
        <x:v>8</x:v>
      </x:c>
      <x:c r="J271" s="75" t="n">
        <x:v>50</x:v>
      </x:c>
      <x:c r="K271" s="75" t="n">
        <x:v>10</x:v>
      </x:c>
      <x:c r="L271" s="75" t="str">
        <x:v>R2_5of50_2of10</x:v>
      </x:c>
      <x:c r="M271" s="213" t="str">
        <x:v>S1_pre_2024_studio_change_sensitivity_only</x:v>
      </x:c>
      <x:c r="N271" s="213" t="str">
        <x:v>Friday</x:v>
      </x:c>
      <x:c r="O271" s="213" t="str">
        <x:v>LottoMetrics full-history export</x:v>
      </x:c>
      <x:c r="P271" s="213" t="str">
        <x:v>Archive-sourced; calendar/range/uniqueness validated</x:v>
      </x:c>
      <x:c r="Q271" s="54" t="str"/>
    </x:row>
    <x:row r="272">
      <x:c r="A272" s="74" t="n">
        <x:v>269</x:v>
      </x:c>
      <x:c r="B272" s="217" t="n">
        <x:v>42867</x:v>
      </x:c>
      <x:c r="C272" s="75" t="n">
        <x:v>7</x:v>
      </x:c>
      <x:c r="D272" s="75" t="n">
        <x:v>14</x:v>
      </x:c>
      <x:c r="E272" s="75" t="n">
        <x:v>31</x:v>
      </x:c>
      <x:c r="F272" s="75" t="n">
        <x:v>35</x:v>
      </x:c>
      <x:c r="G272" s="75" t="n">
        <x:v>46</x:v>
      </x:c>
      <x:c r="H272" s="75" t="n">
        <x:v>1</x:v>
      </x:c>
      <x:c r="I272" s="75" t="n">
        <x:v>2</x:v>
      </x:c>
      <x:c r="J272" s="75" t="n">
        <x:v>50</x:v>
      </x:c>
      <x:c r="K272" s="75" t="n">
        <x:v>10</x:v>
      </x:c>
      <x:c r="L272" s="75" t="str">
        <x:v>R2_5of50_2of10</x:v>
      </x:c>
      <x:c r="M272" s="213" t="str">
        <x:v>S1_pre_2024_studio_change_sensitivity_only</x:v>
      </x:c>
      <x:c r="N272" s="213" t="str">
        <x:v>Friday</x:v>
      </x:c>
      <x:c r="O272" s="213" t="str">
        <x:v>LottoMetrics full-history export</x:v>
      </x:c>
      <x:c r="P272" s="213" t="str">
        <x:v>Archive-sourced; calendar/range/uniqueness validated</x:v>
      </x:c>
      <x:c r="Q272" s="54" t="str"/>
    </x:row>
    <x:row r="273">
      <x:c r="A273" s="74" t="n">
        <x:v>270</x:v>
      </x:c>
      <x:c r="B273" s="217" t="n">
        <x:v>42874</x:v>
      </x:c>
      <x:c r="C273" s="75" t="n">
        <x:v>22</x:v>
      </x:c>
      <x:c r="D273" s="75" t="n">
        <x:v>33</x:v>
      </x:c>
      <x:c r="E273" s="75" t="n">
        <x:v>41</x:v>
      </x:c>
      <x:c r="F273" s="75" t="n">
        <x:v>46</x:v>
      </x:c>
      <x:c r="G273" s="75" t="n">
        <x:v>50</x:v>
      </x:c>
      <x:c r="H273" s="75" t="n">
        <x:v>2</x:v>
      </x:c>
      <x:c r="I273" s="75" t="n">
        <x:v>6</x:v>
      </x:c>
      <x:c r="J273" s="75" t="n">
        <x:v>50</x:v>
      </x:c>
      <x:c r="K273" s="75" t="n">
        <x:v>10</x:v>
      </x:c>
      <x:c r="L273" s="75" t="str">
        <x:v>R2_5of50_2of10</x:v>
      </x:c>
      <x:c r="M273" s="213" t="str">
        <x:v>S1_pre_2024_studio_change_sensitivity_only</x:v>
      </x:c>
      <x:c r="N273" s="213" t="str">
        <x:v>Friday</x:v>
      </x:c>
      <x:c r="O273" s="213" t="str">
        <x:v>LottoMetrics full-history export</x:v>
      </x:c>
      <x:c r="P273" s="213" t="str">
        <x:v>Archive-sourced; calendar/range/uniqueness validated</x:v>
      </x:c>
      <x:c r="Q273" s="54" t="str"/>
    </x:row>
    <x:row r="274">
      <x:c r="A274" s="74" t="n">
        <x:v>271</x:v>
      </x:c>
      <x:c r="B274" s="217" t="n">
        <x:v>42881</x:v>
      </x:c>
      <x:c r="C274" s="75" t="n">
        <x:v>3</x:v>
      </x:c>
      <x:c r="D274" s="75" t="n">
        <x:v>11</x:v>
      </x:c>
      <x:c r="E274" s="75" t="n">
        <x:v>13</x:v>
      </x:c>
      <x:c r="F274" s="75" t="n">
        <x:v>15</x:v>
      </x:c>
      <x:c r="G274" s="75" t="n">
        <x:v>23</x:v>
      </x:c>
      <x:c r="H274" s="75" t="n">
        <x:v>1</x:v>
      </x:c>
      <x:c r="I274" s="75" t="n">
        <x:v>9</x:v>
      </x:c>
      <x:c r="J274" s="75" t="n">
        <x:v>50</x:v>
      </x:c>
      <x:c r="K274" s="75" t="n">
        <x:v>10</x:v>
      </x:c>
      <x:c r="L274" s="75" t="str">
        <x:v>R2_5of50_2of10</x:v>
      </x:c>
      <x:c r="M274" s="213" t="str">
        <x:v>S1_pre_2024_studio_change_sensitivity_only</x:v>
      </x:c>
      <x:c r="N274" s="213" t="str">
        <x:v>Friday</x:v>
      </x:c>
      <x:c r="O274" s="213" t="str">
        <x:v>LottoMetrics full-history export</x:v>
      </x:c>
      <x:c r="P274" s="213" t="str">
        <x:v>Archive-sourced; calendar/range/uniqueness validated</x:v>
      </x:c>
      <x:c r="Q274" s="54" t="str"/>
    </x:row>
    <x:row r="275">
      <x:c r="A275" s="74" t="n">
        <x:v>272</x:v>
      </x:c>
      <x:c r="B275" s="217" t="n">
        <x:v>42888</x:v>
      </x:c>
      <x:c r="C275" s="75" t="n">
        <x:v>2</x:v>
      </x:c>
      <x:c r="D275" s="75" t="n">
        <x:v>4</x:v>
      </x:c>
      <x:c r="E275" s="75" t="n">
        <x:v>17</x:v>
      </x:c>
      <x:c r="F275" s="75" t="n">
        <x:v>20</x:v>
      </x:c>
      <x:c r="G275" s="75" t="n">
        <x:v>46</x:v>
      </x:c>
      <x:c r="H275" s="75" t="n">
        <x:v>1</x:v>
      </x:c>
      <x:c r="I275" s="75" t="n">
        <x:v>8</x:v>
      </x:c>
      <x:c r="J275" s="75" t="n">
        <x:v>50</x:v>
      </x:c>
      <x:c r="K275" s="75" t="n">
        <x:v>10</x:v>
      </x:c>
      <x:c r="L275" s="75" t="str">
        <x:v>R2_5of50_2of10</x:v>
      </x:c>
      <x:c r="M275" s="213" t="str">
        <x:v>S1_pre_2024_studio_change_sensitivity_only</x:v>
      </x:c>
      <x:c r="N275" s="213" t="str">
        <x:v>Friday</x:v>
      </x:c>
      <x:c r="O275" s="213" t="str">
        <x:v>LottoMetrics full-history export</x:v>
      </x:c>
      <x:c r="P275" s="213" t="str">
        <x:v>Archive-sourced; calendar/range/uniqueness validated</x:v>
      </x:c>
      <x:c r="Q275" s="54" t="str"/>
    </x:row>
    <x:row r="276">
      <x:c r="A276" s="74" t="n">
        <x:v>273</x:v>
      </x:c>
      <x:c r="B276" s="217" t="n">
        <x:v>42895</x:v>
      </x:c>
      <x:c r="C276" s="75" t="n">
        <x:v>13</x:v>
      </x:c>
      <x:c r="D276" s="75" t="n">
        <x:v>17</x:v>
      </x:c>
      <x:c r="E276" s="75" t="n">
        <x:v>20</x:v>
      </x:c>
      <x:c r="F276" s="75" t="n">
        <x:v>24</x:v>
      </x:c>
      <x:c r="G276" s="75" t="n">
        <x:v>47</x:v>
      </x:c>
      <x:c r="H276" s="75" t="n">
        <x:v>5</x:v>
      </x:c>
      <x:c r="I276" s="75" t="n">
        <x:v>8</x:v>
      </x:c>
      <x:c r="J276" s="75" t="n">
        <x:v>50</x:v>
      </x:c>
      <x:c r="K276" s="75" t="n">
        <x:v>10</x:v>
      </x:c>
      <x:c r="L276" s="75" t="str">
        <x:v>R2_5of50_2of10</x:v>
      </x:c>
      <x:c r="M276" s="213" t="str">
        <x:v>S1_pre_2024_studio_change_sensitivity_only</x:v>
      </x:c>
      <x:c r="N276" s="213" t="str">
        <x:v>Friday</x:v>
      </x:c>
      <x:c r="O276" s="213" t="str">
        <x:v>LottoMetrics full-history export</x:v>
      </x:c>
      <x:c r="P276" s="213" t="str">
        <x:v>Archive-sourced; calendar/range/uniqueness validated</x:v>
      </x:c>
      <x:c r="Q276" s="54" t="str"/>
    </x:row>
    <x:row r="277">
      <x:c r="A277" s="74" t="n">
        <x:v>274</x:v>
      </x:c>
      <x:c r="B277" s="217" t="n">
        <x:v>42902</x:v>
      </x:c>
      <x:c r="C277" s="75" t="n">
        <x:v>1</x:v>
      </x:c>
      <x:c r="D277" s="75" t="n">
        <x:v>24</x:v>
      </x:c>
      <x:c r="E277" s="75" t="n">
        <x:v>25</x:v>
      </x:c>
      <x:c r="F277" s="75" t="n">
        <x:v>31</x:v>
      </x:c>
      <x:c r="G277" s="75" t="n">
        <x:v>38</x:v>
      </x:c>
      <x:c r="H277" s="75" t="n">
        <x:v>1</x:v>
      </x:c>
      <x:c r="I277" s="75" t="n">
        <x:v>7</x:v>
      </x:c>
      <x:c r="J277" s="75" t="n">
        <x:v>50</x:v>
      </x:c>
      <x:c r="K277" s="75" t="n">
        <x:v>10</x:v>
      </x:c>
      <x:c r="L277" s="75" t="str">
        <x:v>R2_5of50_2of10</x:v>
      </x:c>
      <x:c r="M277" s="213" t="str">
        <x:v>S1_pre_2024_studio_change_sensitivity_only</x:v>
      </x:c>
      <x:c r="N277" s="213" t="str">
        <x:v>Friday</x:v>
      </x:c>
      <x:c r="O277" s="213" t="str">
        <x:v>LottoMetrics full-history export</x:v>
      </x:c>
      <x:c r="P277" s="213" t="str">
        <x:v>Archive-sourced; calendar/range/uniqueness validated</x:v>
      </x:c>
      <x:c r="Q277" s="54" t="str"/>
    </x:row>
    <x:row r="278">
      <x:c r="A278" s="74" t="n">
        <x:v>275</x:v>
      </x:c>
      <x:c r="B278" s="217" t="n">
        <x:v>42909</x:v>
      </x:c>
      <x:c r="C278" s="75" t="n">
        <x:v>6</x:v>
      </x:c>
      <x:c r="D278" s="75" t="n">
        <x:v>14</x:v>
      </x:c>
      <x:c r="E278" s="75" t="n">
        <x:v>19</x:v>
      </x:c>
      <x:c r="F278" s="75" t="n">
        <x:v>27</x:v>
      </x:c>
      <x:c r="G278" s="75" t="n">
        <x:v>35</x:v>
      </x:c>
      <x:c r="H278" s="75" t="n">
        <x:v>2</x:v>
      </x:c>
      <x:c r="I278" s="75" t="n">
        <x:v>4</x:v>
      </x:c>
      <x:c r="J278" s="75" t="n">
        <x:v>50</x:v>
      </x:c>
      <x:c r="K278" s="75" t="n">
        <x:v>10</x:v>
      </x:c>
      <x:c r="L278" s="75" t="str">
        <x:v>R2_5of50_2of10</x:v>
      </x:c>
      <x:c r="M278" s="213" t="str">
        <x:v>S1_pre_2024_studio_change_sensitivity_only</x:v>
      </x:c>
      <x:c r="N278" s="213" t="str">
        <x:v>Friday</x:v>
      </x:c>
      <x:c r="O278" s="213" t="str">
        <x:v>LottoMetrics full-history export</x:v>
      </x:c>
      <x:c r="P278" s="213" t="str">
        <x:v>Archive-sourced; calendar/range/uniqueness validated</x:v>
      </x:c>
      <x:c r="Q278" s="54" t="str"/>
    </x:row>
    <x:row r="279">
      <x:c r="A279" s="74" t="n">
        <x:v>276</x:v>
      </x:c>
      <x:c r="B279" s="217" t="n">
        <x:v>42916</x:v>
      </x:c>
      <x:c r="C279" s="75" t="n">
        <x:v>1</x:v>
      </x:c>
      <x:c r="D279" s="75" t="n">
        <x:v>3</x:v>
      </x:c>
      <x:c r="E279" s="75" t="n">
        <x:v>11</x:v>
      </x:c>
      <x:c r="F279" s="75" t="n">
        <x:v>18</x:v>
      </x:c>
      <x:c r="G279" s="75" t="n">
        <x:v>31</x:v>
      </x:c>
      <x:c r="H279" s="75" t="n">
        <x:v>3</x:v>
      </x:c>
      <x:c r="I279" s="75" t="n">
        <x:v>6</x:v>
      </x:c>
      <x:c r="J279" s="75" t="n">
        <x:v>50</x:v>
      </x:c>
      <x:c r="K279" s="75" t="n">
        <x:v>10</x:v>
      </x:c>
      <x:c r="L279" s="75" t="str">
        <x:v>R2_5of50_2of10</x:v>
      </x:c>
      <x:c r="M279" s="213" t="str">
        <x:v>S1_pre_2024_studio_change_sensitivity_only</x:v>
      </x:c>
      <x:c r="N279" s="213" t="str">
        <x:v>Friday</x:v>
      </x:c>
      <x:c r="O279" s="213" t="str">
        <x:v>LottoMetrics full-history export</x:v>
      </x:c>
      <x:c r="P279" s="213" t="str">
        <x:v>Archive-sourced; calendar/range/uniqueness validated</x:v>
      </x:c>
      <x:c r="Q279" s="54" t="str"/>
    </x:row>
    <x:row r="280">
      <x:c r="A280" s="74" t="n">
        <x:v>277</x:v>
      </x:c>
      <x:c r="B280" s="217" t="n">
        <x:v>42923</x:v>
      </x:c>
      <x:c r="C280" s="75" t="n">
        <x:v>15</x:v>
      </x:c>
      <x:c r="D280" s="75" t="n">
        <x:v>16</x:v>
      </x:c>
      <x:c r="E280" s="75" t="n">
        <x:v>17</x:v>
      </x:c>
      <x:c r="F280" s="75" t="n">
        <x:v>23</x:v>
      </x:c>
      <x:c r="G280" s="75" t="n">
        <x:v>30</x:v>
      </x:c>
      <x:c r="H280" s="75" t="n">
        <x:v>6</x:v>
      </x:c>
      <x:c r="I280" s="75" t="n">
        <x:v>9</x:v>
      </x:c>
      <x:c r="J280" s="75" t="n">
        <x:v>50</x:v>
      </x:c>
      <x:c r="K280" s="75" t="n">
        <x:v>10</x:v>
      </x:c>
      <x:c r="L280" s="75" t="str">
        <x:v>R2_5of50_2of10</x:v>
      </x:c>
      <x:c r="M280" s="213" t="str">
        <x:v>S1_pre_2024_studio_change_sensitivity_only</x:v>
      </x:c>
      <x:c r="N280" s="213" t="str">
        <x:v>Friday</x:v>
      </x:c>
      <x:c r="O280" s="213" t="str">
        <x:v>LottoMetrics full-history export</x:v>
      </x:c>
      <x:c r="P280" s="213" t="str">
        <x:v>Archive-sourced; calendar/range/uniqueness validated</x:v>
      </x:c>
      <x:c r="Q280" s="54" t="str"/>
    </x:row>
    <x:row r="281">
      <x:c r="A281" s="74" t="n">
        <x:v>278</x:v>
      </x:c>
      <x:c r="B281" s="217" t="n">
        <x:v>42930</x:v>
      </x:c>
      <x:c r="C281" s="75" t="n">
        <x:v>3</x:v>
      </x:c>
      <x:c r="D281" s="75" t="n">
        <x:v>9</x:v>
      </x:c>
      <x:c r="E281" s="75" t="n">
        <x:v>25</x:v>
      </x:c>
      <x:c r="F281" s="75" t="n">
        <x:v>31</x:v>
      </x:c>
      <x:c r="G281" s="75" t="n">
        <x:v>49</x:v>
      </x:c>
      <x:c r="H281" s="75" t="n">
        <x:v>8</x:v>
      </x:c>
      <x:c r="I281" s="75" t="n">
        <x:v>9</x:v>
      </x:c>
      <x:c r="J281" s="75" t="n">
        <x:v>50</x:v>
      </x:c>
      <x:c r="K281" s="75" t="n">
        <x:v>10</x:v>
      </x:c>
      <x:c r="L281" s="75" t="str">
        <x:v>R2_5of50_2of10</x:v>
      </x:c>
      <x:c r="M281" s="213" t="str">
        <x:v>S1_pre_2024_studio_change_sensitivity_only</x:v>
      </x:c>
      <x:c r="N281" s="213" t="str">
        <x:v>Friday</x:v>
      </x:c>
      <x:c r="O281" s="213" t="str">
        <x:v>LottoMetrics full-history export</x:v>
      </x:c>
      <x:c r="P281" s="213" t="str">
        <x:v>Archive-sourced; calendar/range/uniqueness validated</x:v>
      </x:c>
      <x:c r="Q281" s="54" t="str"/>
    </x:row>
    <x:row r="282">
      <x:c r="A282" s="74" t="n">
        <x:v>279</x:v>
      </x:c>
      <x:c r="B282" s="217" t="n">
        <x:v>42937</x:v>
      </x:c>
      <x:c r="C282" s="75" t="n">
        <x:v>27</x:v>
      </x:c>
      <x:c r="D282" s="75" t="n">
        <x:v>35</x:v>
      </x:c>
      <x:c r="E282" s="75" t="n">
        <x:v>36</x:v>
      </x:c>
      <x:c r="F282" s="75" t="n">
        <x:v>38</x:v>
      </x:c>
      <x:c r="G282" s="75" t="n">
        <x:v>48</x:v>
      </x:c>
      <x:c r="H282" s="75" t="n">
        <x:v>2</x:v>
      </x:c>
      <x:c r="I282" s="75" t="n">
        <x:v>3</x:v>
      </x:c>
      <x:c r="J282" s="75" t="n">
        <x:v>50</x:v>
      </x:c>
      <x:c r="K282" s="75" t="n">
        <x:v>10</x:v>
      </x:c>
      <x:c r="L282" s="75" t="str">
        <x:v>R2_5of50_2of10</x:v>
      </x:c>
      <x:c r="M282" s="213" t="str">
        <x:v>S1_pre_2024_studio_change_sensitivity_only</x:v>
      </x:c>
      <x:c r="N282" s="213" t="str">
        <x:v>Friday</x:v>
      </x:c>
      <x:c r="O282" s="213" t="str">
        <x:v>LottoMetrics full-history export</x:v>
      </x:c>
      <x:c r="P282" s="213" t="str">
        <x:v>Archive-sourced; calendar/range/uniqueness validated</x:v>
      </x:c>
      <x:c r="Q282" s="54" t="str"/>
    </x:row>
    <x:row r="283">
      <x:c r="A283" s="74" t="n">
        <x:v>280</x:v>
      </x:c>
      <x:c r="B283" s="217" t="n">
        <x:v>42944</x:v>
      </x:c>
      <x:c r="C283" s="75" t="n">
        <x:v>14</x:v>
      </x:c>
      <x:c r="D283" s="75" t="n">
        <x:v>18</x:v>
      </x:c>
      <x:c r="E283" s="75" t="n">
        <x:v>26</x:v>
      </x:c>
      <x:c r="F283" s="75" t="n">
        <x:v>40</x:v>
      </x:c>
      <x:c r="G283" s="75" t="n">
        <x:v>45</x:v>
      </x:c>
      <x:c r="H283" s="75" t="n">
        <x:v>1</x:v>
      </x:c>
      <x:c r="I283" s="75" t="n">
        <x:v>5</x:v>
      </x:c>
      <x:c r="J283" s="75" t="n">
        <x:v>50</x:v>
      </x:c>
      <x:c r="K283" s="75" t="n">
        <x:v>10</x:v>
      </x:c>
      <x:c r="L283" s="75" t="str">
        <x:v>R2_5of50_2of10</x:v>
      </x:c>
      <x:c r="M283" s="213" t="str">
        <x:v>S1_pre_2024_studio_change_sensitivity_only</x:v>
      </x:c>
      <x:c r="N283" s="213" t="str">
        <x:v>Friday</x:v>
      </x:c>
      <x:c r="O283" s="213" t="str">
        <x:v>LottoMetrics full-history export</x:v>
      </x:c>
      <x:c r="P283" s="213" t="str">
        <x:v>Archive-sourced; calendar/range/uniqueness validated</x:v>
      </x:c>
      <x:c r="Q283" s="54" t="str"/>
    </x:row>
    <x:row r="284">
      <x:c r="A284" s="74" t="n">
        <x:v>281</x:v>
      </x:c>
      <x:c r="B284" s="217" t="n">
        <x:v>42951</x:v>
      </x:c>
      <x:c r="C284" s="75" t="n">
        <x:v>18</x:v>
      </x:c>
      <x:c r="D284" s="75" t="n">
        <x:v>39</x:v>
      </x:c>
      <x:c r="E284" s="75" t="n">
        <x:v>44</x:v>
      </x:c>
      <x:c r="F284" s="75" t="n">
        <x:v>46</x:v>
      </x:c>
      <x:c r="G284" s="75" t="n">
        <x:v>47</x:v>
      </x:c>
      <x:c r="H284" s="75" t="n">
        <x:v>4</x:v>
      </x:c>
      <x:c r="I284" s="75" t="n">
        <x:v>6</x:v>
      </x:c>
      <x:c r="J284" s="75" t="n">
        <x:v>50</x:v>
      </x:c>
      <x:c r="K284" s="75" t="n">
        <x:v>10</x:v>
      </x:c>
      <x:c r="L284" s="75" t="str">
        <x:v>R2_5of50_2of10</x:v>
      </x:c>
      <x:c r="M284" s="213" t="str">
        <x:v>S1_pre_2024_studio_change_sensitivity_only</x:v>
      </x:c>
      <x:c r="N284" s="213" t="str">
        <x:v>Friday</x:v>
      </x:c>
      <x:c r="O284" s="213" t="str">
        <x:v>LottoMetrics full-history export</x:v>
      </x:c>
      <x:c r="P284" s="213" t="str">
        <x:v>Archive-sourced; calendar/range/uniqueness validated</x:v>
      </x:c>
      <x:c r="Q284" s="54" t="str"/>
    </x:row>
    <x:row r="285">
      <x:c r="A285" s="74" t="n">
        <x:v>282</x:v>
      </x:c>
      <x:c r="B285" s="217" t="n">
        <x:v>42958</x:v>
      </x:c>
      <x:c r="C285" s="75" t="n">
        <x:v>13</x:v>
      </x:c>
      <x:c r="D285" s="75" t="n">
        <x:v>14</x:v>
      </x:c>
      <x:c r="E285" s="75" t="n">
        <x:v>21</x:v>
      </x:c>
      <x:c r="F285" s="75" t="n">
        <x:v>23</x:v>
      </x:c>
      <x:c r="G285" s="75" t="n">
        <x:v>40</x:v>
      </x:c>
      <x:c r="H285" s="75" t="n">
        <x:v>1</x:v>
      </x:c>
      <x:c r="I285" s="75" t="n">
        <x:v>3</x:v>
      </x:c>
      <x:c r="J285" s="75" t="n">
        <x:v>50</x:v>
      </x:c>
      <x:c r="K285" s="75" t="n">
        <x:v>10</x:v>
      </x:c>
      <x:c r="L285" s="75" t="str">
        <x:v>R2_5of50_2of10</x:v>
      </x:c>
      <x:c r="M285" s="213" t="str">
        <x:v>S1_pre_2024_studio_change_sensitivity_only</x:v>
      </x:c>
      <x:c r="N285" s="213" t="str">
        <x:v>Friday</x:v>
      </x:c>
      <x:c r="O285" s="213" t="str">
        <x:v>LottoMetrics full-history export</x:v>
      </x:c>
      <x:c r="P285" s="213" t="str">
        <x:v>Archive-sourced; calendar/range/uniqueness validated</x:v>
      </x:c>
      <x:c r="Q285" s="54" t="str"/>
    </x:row>
    <x:row r="286">
      <x:c r="A286" s="74" t="n">
        <x:v>283</x:v>
      </x:c>
      <x:c r="B286" s="217" t="n">
        <x:v>42965</x:v>
      </x:c>
      <x:c r="C286" s="75" t="n">
        <x:v>1</x:v>
      </x:c>
      <x:c r="D286" s="75" t="n">
        <x:v>4</x:v>
      </x:c>
      <x:c r="E286" s="75" t="n">
        <x:v>20</x:v>
      </x:c>
      <x:c r="F286" s="75" t="n">
        <x:v>32</x:v>
      </x:c>
      <x:c r="G286" s="75" t="n">
        <x:v>34</x:v>
      </x:c>
      <x:c r="H286" s="75" t="n">
        <x:v>3</x:v>
      </x:c>
      <x:c r="I286" s="75" t="n">
        <x:v>6</x:v>
      </x:c>
      <x:c r="J286" s="75" t="n">
        <x:v>50</x:v>
      </x:c>
      <x:c r="K286" s="75" t="n">
        <x:v>10</x:v>
      </x:c>
      <x:c r="L286" s="75" t="str">
        <x:v>R2_5of50_2of10</x:v>
      </x:c>
      <x:c r="M286" s="213" t="str">
        <x:v>S1_pre_2024_studio_change_sensitivity_only</x:v>
      </x:c>
      <x:c r="N286" s="213" t="str">
        <x:v>Friday</x:v>
      </x:c>
      <x:c r="O286" s="213" t="str">
        <x:v>LottoMetrics full-history export</x:v>
      </x:c>
      <x:c r="P286" s="213" t="str">
        <x:v>Archive-sourced; calendar/range/uniqueness validated</x:v>
      </x:c>
      <x:c r="Q286" s="54" t="str"/>
    </x:row>
    <x:row r="287">
      <x:c r="A287" s="74" t="n">
        <x:v>284</x:v>
      </x:c>
      <x:c r="B287" s="217" t="n">
        <x:v>42972</x:v>
      </x:c>
      <x:c r="C287" s="75" t="n">
        <x:v>11</x:v>
      </x:c>
      <x:c r="D287" s="75" t="n">
        <x:v>20</x:v>
      </x:c>
      <x:c r="E287" s="75" t="n">
        <x:v>28</x:v>
      </x:c>
      <x:c r="F287" s="75" t="n">
        <x:v>41</x:v>
      </x:c>
      <x:c r="G287" s="75" t="n">
        <x:v>45</x:v>
      </x:c>
      <x:c r="H287" s="75" t="n">
        <x:v>5</x:v>
      </x:c>
      <x:c r="I287" s="75" t="n">
        <x:v>9</x:v>
      </x:c>
      <x:c r="J287" s="75" t="n">
        <x:v>50</x:v>
      </x:c>
      <x:c r="K287" s="75" t="n">
        <x:v>10</x:v>
      </x:c>
      <x:c r="L287" s="75" t="str">
        <x:v>R2_5of50_2of10</x:v>
      </x:c>
      <x:c r="M287" s="213" t="str">
        <x:v>S1_pre_2024_studio_change_sensitivity_only</x:v>
      </x:c>
      <x:c r="N287" s="213" t="str">
        <x:v>Friday</x:v>
      </x:c>
      <x:c r="O287" s="213" t="str">
        <x:v>LottoMetrics full-history export</x:v>
      </x:c>
      <x:c r="P287" s="213" t="str">
        <x:v>Archive-sourced; calendar/range/uniqueness validated</x:v>
      </x:c>
      <x:c r="Q287" s="54" t="str"/>
    </x:row>
    <x:row r="288">
      <x:c r="A288" s="74" t="n">
        <x:v>285</x:v>
      </x:c>
      <x:c r="B288" s="217" t="n">
        <x:v>42979</x:v>
      </x:c>
      <x:c r="C288" s="75" t="n">
        <x:v>3</x:v>
      </x:c>
      <x:c r="D288" s="75" t="n">
        <x:v>4</x:v>
      </x:c>
      <x:c r="E288" s="75" t="n">
        <x:v>9</x:v>
      </x:c>
      <x:c r="F288" s="75" t="n">
        <x:v>19</x:v>
      </x:c>
      <x:c r="G288" s="75" t="n">
        <x:v>28</x:v>
      </x:c>
      <x:c r="H288" s="75" t="n">
        <x:v>1</x:v>
      </x:c>
      <x:c r="I288" s="75" t="n">
        <x:v>7</x:v>
      </x:c>
      <x:c r="J288" s="75" t="n">
        <x:v>50</x:v>
      </x:c>
      <x:c r="K288" s="75" t="n">
        <x:v>10</x:v>
      </x:c>
      <x:c r="L288" s="75" t="str">
        <x:v>R2_5of50_2of10</x:v>
      </x:c>
      <x:c r="M288" s="213" t="str">
        <x:v>S1_pre_2024_studio_change_sensitivity_only</x:v>
      </x:c>
      <x:c r="N288" s="213" t="str">
        <x:v>Friday</x:v>
      </x:c>
      <x:c r="O288" s="213" t="str">
        <x:v>LottoMetrics full-history export</x:v>
      </x:c>
      <x:c r="P288" s="213" t="str">
        <x:v>Archive-sourced; calendar/range/uniqueness validated</x:v>
      </x:c>
      <x:c r="Q288" s="54" t="str"/>
    </x:row>
    <x:row r="289">
      <x:c r="A289" s="74" t="n">
        <x:v>286</x:v>
      </x:c>
      <x:c r="B289" s="217" t="n">
        <x:v>42986</x:v>
      </x:c>
      <x:c r="C289" s="75" t="n">
        <x:v>11</x:v>
      </x:c>
      <x:c r="D289" s="75" t="n">
        <x:v>38</x:v>
      </x:c>
      <x:c r="E289" s="75" t="n">
        <x:v>40</x:v>
      </x:c>
      <x:c r="F289" s="75" t="n">
        <x:v>42</x:v>
      </x:c>
      <x:c r="G289" s="75" t="n">
        <x:v>48</x:v>
      </x:c>
      <x:c r="H289" s="75" t="n">
        <x:v>4</x:v>
      </x:c>
      <x:c r="I289" s="75" t="n">
        <x:v>5</x:v>
      </x:c>
      <x:c r="J289" s="75" t="n">
        <x:v>50</x:v>
      </x:c>
      <x:c r="K289" s="75" t="n">
        <x:v>10</x:v>
      </x:c>
      <x:c r="L289" s="75" t="str">
        <x:v>R2_5of50_2of10</x:v>
      </x:c>
      <x:c r="M289" s="213" t="str">
        <x:v>S1_pre_2024_studio_change_sensitivity_only</x:v>
      </x:c>
      <x:c r="N289" s="213" t="str">
        <x:v>Friday</x:v>
      </x:c>
      <x:c r="O289" s="213" t="str">
        <x:v>LottoMetrics full-history export</x:v>
      </x:c>
      <x:c r="P289" s="213" t="str">
        <x:v>Archive-sourced; calendar/range/uniqueness validated</x:v>
      </x:c>
      <x:c r="Q289" s="54" t="str"/>
    </x:row>
    <x:row r="290">
      <x:c r="A290" s="74" t="n">
        <x:v>287</x:v>
      </x:c>
      <x:c r="B290" s="217" t="n">
        <x:v>42993</x:v>
      </x:c>
      <x:c r="C290" s="75" t="n">
        <x:v>15</x:v>
      </x:c>
      <x:c r="D290" s="75" t="n">
        <x:v>22</x:v>
      </x:c>
      <x:c r="E290" s="75" t="n">
        <x:v>29</x:v>
      </x:c>
      <x:c r="F290" s="75" t="n">
        <x:v>33</x:v>
      </x:c>
      <x:c r="G290" s="75" t="n">
        <x:v>47</x:v>
      </x:c>
      <x:c r="H290" s="75" t="n">
        <x:v>3</x:v>
      </x:c>
      <x:c r="I290" s="75" t="n">
        <x:v>7</x:v>
      </x:c>
      <x:c r="J290" s="75" t="n">
        <x:v>50</x:v>
      </x:c>
      <x:c r="K290" s="75" t="n">
        <x:v>10</x:v>
      </x:c>
      <x:c r="L290" s="75" t="str">
        <x:v>R2_5of50_2of10</x:v>
      </x:c>
      <x:c r="M290" s="213" t="str">
        <x:v>S1_pre_2024_studio_change_sensitivity_only</x:v>
      </x:c>
      <x:c r="N290" s="213" t="str">
        <x:v>Friday</x:v>
      </x:c>
      <x:c r="O290" s="213" t="str">
        <x:v>LottoMetrics full-history export</x:v>
      </x:c>
      <x:c r="P290" s="213" t="str">
        <x:v>Archive-sourced; calendar/range/uniqueness validated</x:v>
      </x:c>
      <x:c r="Q290" s="54" t="str"/>
    </x:row>
    <x:row r="291">
      <x:c r="A291" s="74" t="n">
        <x:v>288</x:v>
      </x:c>
      <x:c r="B291" s="217" t="n">
        <x:v>43000</x:v>
      </x:c>
      <x:c r="C291" s="75" t="n">
        <x:v>10</x:v>
      </x:c>
      <x:c r="D291" s="75" t="n">
        <x:v>17</x:v>
      </x:c>
      <x:c r="E291" s="75" t="n">
        <x:v>32</x:v>
      </x:c>
      <x:c r="F291" s="75" t="n">
        <x:v>36</x:v>
      </x:c>
      <x:c r="G291" s="75" t="n">
        <x:v>47</x:v>
      </x:c>
      <x:c r="H291" s="75" t="n">
        <x:v>2</x:v>
      </x:c>
      <x:c r="I291" s="75" t="n">
        <x:v>5</x:v>
      </x:c>
      <x:c r="J291" s="75" t="n">
        <x:v>50</x:v>
      </x:c>
      <x:c r="K291" s="75" t="n">
        <x:v>10</x:v>
      </x:c>
      <x:c r="L291" s="75" t="str">
        <x:v>R2_5of50_2of10</x:v>
      </x:c>
      <x:c r="M291" s="213" t="str">
        <x:v>S1_pre_2024_studio_change_sensitivity_only</x:v>
      </x:c>
      <x:c r="N291" s="213" t="str">
        <x:v>Friday</x:v>
      </x:c>
      <x:c r="O291" s="213" t="str">
        <x:v>LottoMetrics full-history export</x:v>
      </x:c>
      <x:c r="P291" s="213" t="str">
        <x:v>Archive-sourced; calendar/range/uniqueness validated</x:v>
      </x:c>
      <x:c r="Q291" s="54" t="str"/>
    </x:row>
    <x:row r="292">
      <x:c r="A292" s="74" t="n">
        <x:v>289</x:v>
      </x:c>
      <x:c r="B292" s="217" t="n">
        <x:v>43007</x:v>
      </x:c>
      <x:c r="C292" s="75" t="n">
        <x:v>2</x:v>
      </x:c>
      <x:c r="D292" s="75" t="n">
        <x:v>12</x:v>
      </x:c>
      <x:c r="E292" s="75" t="n">
        <x:v>15</x:v>
      </x:c>
      <x:c r="F292" s="75" t="n">
        <x:v>29</x:v>
      </x:c>
      <x:c r="G292" s="75" t="n">
        <x:v>44</x:v>
      </x:c>
      <x:c r="H292" s="75" t="n">
        <x:v>7</x:v>
      </x:c>
      <x:c r="I292" s="75" t="n">
        <x:v>10</x:v>
      </x:c>
      <x:c r="J292" s="75" t="n">
        <x:v>50</x:v>
      </x:c>
      <x:c r="K292" s="75" t="n">
        <x:v>10</x:v>
      </x:c>
      <x:c r="L292" s="75" t="str">
        <x:v>R2_5of50_2of10</x:v>
      </x:c>
      <x:c r="M292" s="213" t="str">
        <x:v>S1_pre_2024_studio_change_sensitivity_only</x:v>
      </x:c>
      <x:c r="N292" s="213" t="str">
        <x:v>Friday</x:v>
      </x:c>
      <x:c r="O292" s="213" t="str">
        <x:v>LottoMetrics full-history export</x:v>
      </x:c>
      <x:c r="P292" s="213" t="str">
        <x:v>Archive-sourced; calendar/range/uniqueness validated</x:v>
      </x:c>
      <x:c r="Q292" s="54" t="str"/>
    </x:row>
    <x:row r="293">
      <x:c r="A293" s="74" t="n">
        <x:v>290</x:v>
      </x:c>
      <x:c r="B293" s="217" t="n">
        <x:v>43014</x:v>
      </x:c>
      <x:c r="C293" s="75" t="n">
        <x:v>5</x:v>
      </x:c>
      <x:c r="D293" s="75" t="n">
        <x:v>17</x:v>
      </x:c>
      <x:c r="E293" s="75" t="n">
        <x:v>28</x:v>
      </x:c>
      <x:c r="F293" s="75" t="n">
        <x:v>40</x:v>
      </x:c>
      <x:c r="G293" s="75" t="n">
        <x:v>44</x:v>
      </x:c>
      <x:c r="H293" s="75" t="n">
        <x:v>1</x:v>
      </x:c>
      <x:c r="I293" s="75" t="n">
        <x:v>8</x:v>
      </x:c>
      <x:c r="J293" s="75" t="n">
        <x:v>50</x:v>
      </x:c>
      <x:c r="K293" s="75" t="n">
        <x:v>10</x:v>
      </x:c>
      <x:c r="L293" s="75" t="str">
        <x:v>R2_5of50_2of10</x:v>
      </x:c>
      <x:c r="M293" s="213" t="str">
        <x:v>S1_pre_2024_studio_change_sensitivity_only</x:v>
      </x:c>
      <x:c r="N293" s="213" t="str">
        <x:v>Friday</x:v>
      </x:c>
      <x:c r="O293" s="213" t="str">
        <x:v>LottoMetrics full-history export</x:v>
      </x:c>
      <x:c r="P293" s="213" t="str">
        <x:v>Archive-sourced; calendar/range/uniqueness validated</x:v>
      </x:c>
      <x:c r="Q293" s="54" t="str"/>
    </x:row>
    <x:row r="294">
      <x:c r="A294" s="74" t="n">
        <x:v>291</x:v>
      </x:c>
      <x:c r="B294" s="217" t="n">
        <x:v>43021</x:v>
      </x:c>
      <x:c r="C294" s="75" t="n">
        <x:v>9</x:v>
      </x:c>
      <x:c r="D294" s="75" t="n">
        <x:v>40</x:v>
      </x:c>
      <x:c r="E294" s="75" t="n">
        <x:v>43</x:v>
      </x:c>
      <x:c r="F294" s="75" t="n">
        <x:v>44</x:v>
      </x:c>
      <x:c r="G294" s="75" t="n">
        <x:v>46</x:v>
      </x:c>
      <x:c r="H294" s="75" t="n">
        <x:v>1</x:v>
      </x:c>
      <x:c r="I294" s="75" t="n">
        <x:v>8</x:v>
      </x:c>
      <x:c r="J294" s="75" t="n">
        <x:v>50</x:v>
      </x:c>
      <x:c r="K294" s="75" t="n">
        <x:v>10</x:v>
      </x:c>
      <x:c r="L294" s="75" t="str">
        <x:v>R2_5of50_2of10</x:v>
      </x:c>
      <x:c r="M294" s="213" t="str">
        <x:v>S1_pre_2024_studio_change_sensitivity_only</x:v>
      </x:c>
      <x:c r="N294" s="213" t="str">
        <x:v>Friday</x:v>
      </x:c>
      <x:c r="O294" s="213" t="str">
        <x:v>LottoMetrics full-history export</x:v>
      </x:c>
      <x:c r="P294" s="213" t="str">
        <x:v>Archive-sourced; calendar/range/uniqueness validated</x:v>
      </x:c>
      <x:c r="Q294" s="54" t="str"/>
    </x:row>
    <x:row r="295">
      <x:c r="A295" s="74" t="n">
        <x:v>292</x:v>
      </x:c>
      <x:c r="B295" s="217" t="n">
        <x:v>43028</x:v>
      </x:c>
      <x:c r="C295" s="75" t="n">
        <x:v>1</x:v>
      </x:c>
      <x:c r="D295" s="75" t="n">
        <x:v>10</x:v>
      </x:c>
      <x:c r="E295" s="75" t="n">
        <x:v>25</x:v>
      </x:c>
      <x:c r="F295" s="75" t="n">
        <x:v>46</x:v>
      </x:c>
      <x:c r="G295" s="75" t="n">
        <x:v>49</x:v>
      </x:c>
      <x:c r="H295" s="75" t="n">
        <x:v>1</x:v>
      </x:c>
      <x:c r="I295" s="75" t="n">
        <x:v>6</x:v>
      </x:c>
      <x:c r="J295" s="75" t="n">
        <x:v>50</x:v>
      </x:c>
      <x:c r="K295" s="75" t="n">
        <x:v>10</x:v>
      </x:c>
      <x:c r="L295" s="75" t="str">
        <x:v>R2_5of50_2of10</x:v>
      </x:c>
      <x:c r="M295" s="213" t="str">
        <x:v>S1_pre_2024_studio_change_sensitivity_only</x:v>
      </x:c>
      <x:c r="N295" s="213" t="str">
        <x:v>Friday</x:v>
      </x:c>
      <x:c r="O295" s="213" t="str">
        <x:v>LottoMetrics full-history export</x:v>
      </x:c>
      <x:c r="P295" s="213" t="str">
        <x:v>Archive-sourced; calendar/range/uniqueness validated</x:v>
      </x:c>
      <x:c r="Q295" s="54" t="str"/>
    </x:row>
    <x:row r="296">
      <x:c r="A296" s="74" t="n">
        <x:v>293</x:v>
      </x:c>
      <x:c r="B296" s="217" t="n">
        <x:v>43035</x:v>
      </x:c>
      <x:c r="C296" s="75" t="n">
        <x:v>2</x:v>
      </x:c>
      <x:c r="D296" s="75" t="n">
        <x:v>20</x:v>
      </x:c>
      <x:c r="E296" s="75" t="n">
        <x:v>23</x:v>
      </x:c>
      <x:c r="F296" s="75" t="n">
        <x:v>29</x:v>
      </x:c>
      <x:c r="G296" s="75" t="n">
        <x:v>50</x:v>
      </x:c>
      <x:c r="H296" s="75" t="n">
        <x:v>4</x:v>
      </x:c>
      <x:c r="I296" s="75" t="n">
        <x:v>5</x:v>
      </x:c>
      <x:c r="J296" s="75" t="n">
        <x:v>50</x:v>
      </x:c>
      <x:c r="K296" s="75" t="n">
        <x:v>10</x:v>
      </x:c>
      <x:c r="L296" s="75" t="str">
        <x:v>R2_5of50_2of10</x:v>
      </x:c>
      <x:c r="M296" s="213" t="str">
        <x:v>S1_pre_2024_studio_change_sensitivity_only</x:v>
      </x:c>
      <x:c r="N296" s="213" t="str">
        <x:v>Friday</x:v>
      </x:c>
      <x:c r="O296" s="213" t="str">
        <x:v>LottoMetrics full-history export</x:v>
      </x:c>
      <x:c r="P296" s="213" t="str">
        <x:v>Archive-sourced; calendar/range/uniqueness validated</x:v>
      </x:c>
      <x:c r="Q296" s="54" t="str"/>
    </x:row>
    <x:row r="297">
      <x:c r="A297" s="74" t="n">
        <x:v>294</x:v>
      </x:c>
      <x:c r="B297" s="217" t="n">
        <x:v>43042</x:v>
      </x:c>
      <x:c r="C297" s="75" t="n">
        <x:v>2</x:v>
      </x:c>
      <x:c r="D297" s="75" t="n">
        <x:v>35</x:v>
      </x:c>
      <x:c r="E297" s="75" t="n">
        <x:v>44</x:v>
      </x:c>
      <x:c r="F297" s="75" t="n">
        <x:v>45</x:v>
      </x:c>
      <x:c r="G297" s="75" t="n">
        <x:v>50</x:v>
      </x:c>
      <x:c r="H297" s="75" t="n">
        <x:v>6</x:v>
      </x:c>
      <x:c r="I297" s="75" t="n">
        <x:v>7</x:v>
      </x:c>
      <x:c r="J297" s="75" t="n">
        <x:v>50</x:v>
      </x:c>
      <x:c r="K297" s="75" t="n">
        <x:v>10</x:v>
      </x:c>
      <x:c r="L297" s="75" t="str">
        <x:v>R2_5of50_2of10</x:v>
      </x:c>
      <x:c r="M297" s="213" t="str">
        <x:v>S1_pre_2024_studio_change_sensitivity_only</x:v>
      </x:c>
      <x:c r="N297" s="213" t="str">
        <x:v>Friday</x:v>
      </x:c>
      <x:c r="O297" s="213" t="str">
        <x:v>LottoMetrics full-history export</x:v>
      </x:c>
      <x:c r="P297" s="213" t="str">
        <x:v>Archive-sourced; calendar/range/uniqueness validated</x:v>
      </x:c>
      <x:c r="Q297" s="54" t="str"/>
    </x:row>
    <x:row r="298">
      <x:c r="A298" s="74" t="n">
        <x:v>295</x:v>
      </x:c>
      <x:c r="B298" s="217" t="n">
        <x:v>43049</x:v>
      </x:c>
      <x:c r="C298" s="75" t="n">
        <x:v>1</x:v>
      </x:c>
      <x:c r="D298" s="75" t="n">
        <x:v>14</x:v>
      </x:c>
      <x:c r="E298" s="75" t="n">
        <x:v>17</x:v>
      </x:c>
      <x:c r="F298" s="75" t="n">
        <x:v>24</x:v>
      </x:c>
      <x:c r="G298" s="75" t="n">
        <x:v>50</x:v>
      </x:c>
      <x:c r="H298" s="75" t="n">
        <x:v>8</x:v>
      </x:c>
      <x:c r="I298" s="75" t="n">
        <x:v>9</x:v>
      </x:c>
      <x:c r="J298" s="75" t="n">
        <x:v>50</x:v>
      </x:c>
      <x:c r="K298" s="75" t="n">
        <x:v>10</x:v>
      </x:c>
      <x:c r="L298" s="75" t="str">
        <x:v>R2_5of50_2of10</x:v>
      </x:c>
      <x:c r="M298" s="213" t="str">
        <x:v>S1_pre_2024_studio_change_sensitivity_only</x:v>
      </x:c>
      <x:c r="N298" s="213" t="str">
        <x:v>Friday</x:v>
      </x:c>
      <x:c r="O298" s="213" t="str">
        <x:v>LottoMetrics full-history export</x:v>
      </x:c>
      <x:c r="P298" s="213" t="str">
        <x:v>Archive-sourced; calendar/range/uniqueness validated</x:v>
      </x:c>
      <x:c r="Q298" s="54" t="str"/>
    </x:row>
    <x:row r="299">
      <x:c r="A299" s="74" t="n">
        <x:v>296</x:v>
      </x:c>
      <x:c r="B299" s="217" t="n">
        <x:v>43056</x:v>
      </x:c>
      <x:c r="C299" s="75" t="n">
        <x:v>3</x:v>
      </x:c>
      <x:c r="D299" s="75" t="n">
        <x:v>4</x:v>
      </x:c>
      <x:c r="E299" s="75" t="n">
        <x:v>17</x:v>
      </x:c>
      <x:c r="F299" s="75" t="n">
        <x:v>41</x:v>
      </x:c>
      <x:c r="G299" s="75" t="n">
        <x:v>47</x:v>
      </x:c>
      <x:c r="H299" s="75" t="n">
        <x:v>2</x:v>
      </x:c>
      <x:c r="I299" s="75" t="n">
        <x:v>5</x:v>
      </x:c>
      <x:c r="J299" s="75" t="n">
        <x:v>50</x:v>
      </x:c>
      <x:c r="K299" s="75" t="n">
        <x:v>10</x:v>
      </x:c>
      <x:c r="L299" s="75" t="str">
        <x:v>R2_5of50_2of10</x:v>
      </x:c>
      <x:c r="M299" s="213" t="str">
        <x:v>S1_pre_2024_studio_change_sensitivity_only</x:v>
      </x:c>
      <x:c r="N299" s="213" t="str">
        <x:v>Friday</x:v>
      </x:c>
      <x:c r="O299" s="213" t="str">
        <x:v>LottoMetrics full-history export</x:v>
      </x:c>
      <x:c r="P299" s="213" t="str">
        <x:v>Archive-sourced; calendar/range/uniqueness validated</x:v>
      </x:c>
      <x:c r="Q299" s="54" t="str"/>
    </x:row>
    <x:row r="300">
      <x:c r="A300" s="74" t="n">
        <x:v>297</x:v>
      </x:c>
      <x:c r="B300" s="217" t="n">
        <x:v>43063</x:v>
      </x:c>
      <x:c r="C300" s="75" t="n">
        <x:v>11</x:v>
      </x:c>
      <x:c r="D300" s="75" t="n">
        <x:v>16</x:v>
      </x:c>
      <x:c r="E300" s="75" t="n">
        <x:v>18</x:v>
      </x:c>
      <x:c r="F300" s="75" t="n">
        <x:v>22</x:v>
      </x:c>
      <x:c r="G300" s="75" t="n">
        <x:v>43</x:v>
      </x:c>
      <x:c r="H300" s="75" t="n">
        <x:v>7</x:v>
      </x:c>
      <x:c r="I300" s="75" t="n">
        <x:v>8</x:v>
      </x:c>
      <x:c r="J300" s="75" t="n">
        <x:v>50</x:v>
      </x:c>
      <x:c r="K300" s="75" t="n">
        <x:v>10</x:v>
      </x:c>
      <x:c r="L300" s="75" t="str">
        <x:v>R2_5of50_2of10</x:v>
      </x:c>
      <x:c r="M300" s="213" t="str">
        <x:v>S1_pre_2024_studio_change_sensitivity_only</x:v>
      </x:c>
      <x:c r="N300" s="213" t="str">
        <x:v>Friday</x:v>
      </x:c>
      <x:c r="O300" s="213" t="str">
        <x:v>LottoMetrics full-history export</x:v>
      </x:c>
      <x:c r="P300" s="213" t="str">
        <x:v>Archive-sourced; calendar/range/uniqueness validated</x:v>
      </x:c>
      <x:c r="Q300" s="54" t="str"/>
    </x:row>
    <x:row r="301">
      <x:c r="A301" s="74" t="n">
        <x:v>298</x:v>
      </x:c>
      <x:c r="B301" s="217" t="n">
        <x:v>43070</x:v>
      </x:c>
      <x:c r="C301" s="75" t="n">
        <x:v>5</x:v>
      </x:c>
      <x:c r="D301" s="75" t="n">
        <x:v>16</x:v>
      </x:c>
      <x:c r="E301" s="75" t="n">
        <x:v>20</x:v>
      </x:c>
      <x:c r="F301" s="75" t="n">
        <x:v>29</x:v>
      </x:c>
      <x:c r="G301" s="75" t="n">
        <x:v>30</x:v>
      </x:c>
      <x:c r="H301" s="75" t="n">
        <x:v>2</x:v>
      </x:c>
      <x:c r="I301" s="75" t="n">
        <x:v>7</x:v>
      </x:c>
      <x:c r="J301" s="75" t="n">
        <x:v>50</x:v>
      </x:c>
      <x:c r="K301" s="75" t="n">
        <x:v>10</x:v>
      </x:c>
      <x:c r="L301" s="75" t="str">
        <x:v>R2_5of50_2of10</x:v>
      </x:c>
      <x:c r="M301" s="213" t="str">
        <x:v>S1_pre_2024_studio_change_sensitivity_only</x:v>
      </x:c>
      <x:c r="N301" s="213" t="str">
        <x:v>Friday</x:v>
      </x:c>
      <x:c r="O301" s="213" t="str">
        <x:v>LottoMetrics full-history export</x:v>
      </x:c>
      <x:c r="P301" s="213" t="str">
        <x:v>Archive-sourced; calendar/range/uniqueness validated</x:v>
      </x:c>
      <x:c r="Q301" s="54" t="str"/>
    </x:row>
    <x:row r="302">
      <x:c r="A302" s="74" t="n">
        <x:v>299</x:v>
      </x:c>
      <x:c r="B302" s="217" t="n">
        <x:v>43077</x:v>
      </x:c>
      <x:c r="C302" s="75" t="n">
        <x:v>9</x:v>
      </x:c>
      <x:c r="D302" s="75" t="n">
        <x:v>15</x:v>
      </x:c>
      <x:c r="E302" s="75" t="n">
        <x:v>20</x:v>
      </x:c>
      <x:c r="F302" s="75" t="n">
        <x:v>24</x:v>
      </x:c>
      <x:c r="G302" s="75" t="n">
        <x:v>34</x:v>
      </x:c>
      <x:c r="H302" s="75" t="n">
        <x:v>1</x:v>
      </x:c>
      <x:c r="I302" s="75" t="n">
        <x:v>5</x:v>
      </x:c>
      <x:c r="J302" s="75" t="n">
        <x:v>50</x:v>
      </x:c>
      <x:c r="K302" s="75" t="n">
        <x:v>10</x:v>
      </x:c>
      <x:c r="L302" s="75" t="str">
        <x:v>R2_5of50_2of10</x:v>
      </x:c>
      <x:c r="M302" s="213" t="str">
        <x:v>S1_pre_2024_studio_change_sensitivity_only</x:v>
      </x:c>
      <x:c r="N302" s="213" t="str">
        <x:v>Friday</x:v>
      </x:c>
      <x:c r="O302" s="213" t="str">
        <x:v>LottoMetrics full-history export</x:v>
      </x:c>
      <x:c r="P302" s="213" t="str">
        <x:v>Archive-sourced; calendar/range/uniqueness validated</x:v>
      </x:c>
      <x:c r="Q302" s="54" t="str"/>
    </x:row>
    <x:row r="303">
      <x:c r="A303" s="74" t="n">
        <x:v>300</x:v>
      </x:c>
      <x:c r="B303" s="217" t="n">
        <x:v>43084</x:v>
      </x:c>
      <x:c r="C303" s="75" t="n">
        <x:v>1</x:v>
      </x:c>
      <x:c r="D303" s="75" t="n">
        <x:v>7</x:v>
      </x:c>
      <x:c r="E303" s="75" t="n">
        <x:v>12</x:v>
      </x:c>
      <x:c r="F303" s="75" t="n">
        <x:v>16</x:v>
      </x:c>
      <x:c r="G303" s="75" t="n">
        <x:v>18</x:v>
      </x:c>
      <x:c r="H303" s="75" t="n">
        <x:v>1</x:v>
      </x:c>
      <x:c r="I303" s="75" t="n">
        <x:v>4</x:v>
      </x:c>
      <x:c r="J303" s="75" t="n">
        <x:v>50</x:v>
      </x:c>
      <x:c r="K303" s="75" t="n">
        <x:v>10</x:v>
      </x:c>
      <x:c r="L303" s="75" t="str">
        <x:v>R2_5of50_2of10</x:v>
      </x:c>
      <x:c r="M303" s="213" t="str">
        <x:v>S1_pre_2024_studio_change_sensitivity_only</x:v>
      </x:c>
      <x:c r="N303" s="213" t="str">
        <x:v>Friday</x:v>
      </x:c>
      <x:c r="O303" s="213" t="str">
        <x:v>LottoMetrics full-history export</x:v>
      </x:c>
      <x:c r="P303" s="213" t="str">
        <x:v>Archive-sourced; calendar/range/uniqueness validated</x:v>
      </x:c>
      <x:c r="Q303" s="54" t="str"/>
    </x:row>
    <x:row r="304">
      <x:c r="A304" s="74" t="n">
        <x:v>301</x:v>
      </x:c>
      <x:c r="B304" s="217" t="n">
        <x:v>43091</x:v>
      </x:c>
      <x:c r="C304" s="75" t="n">
        <x:v>16</x:v>
      </x:c>
      <x:c r="D304" s="75" t="n">
        <x:v>26</x:v>
      </x:c>
      <x:c r="E304" s="75" t="n">
        <x:v>32</x:v>
      </x:c>
      <x:c r="F304" s="75" t="n">
        <x:v>40</x:v>
      </x:c>
      <x:c r="G304" s="75" t="n">
        <x:v>47</x:v>
      </x:c>
      <x:c r="H304" s="75" t="n">
        <x:v>1</x:v>
      </x:c>
      <x:c r="I304" s="75" t="n">
        <x:v>6</x:v>
      </x:c>
      <x:c r="J304" s="75" t="n">
        <x:v>50</x:v>
      </x:c>
      <x:c r="K304" s="75" t="n">
        <x:v>10</x:v>
      </x:c>
      <x:c r="L304" s="75" t="str">
        <x:v>R2_5of50_2of10</x:v>
      </x:c>
      <x:c r="M304" s="213" t="str">
        <x:v>S1_pre_2024_studio_change_sensitivity_only</x:v>
      </x:c>
      <x:c r="N304" s="213" t="str">
        <x:v>Friday</x:v>
      </x:c>
      <x:c r="O304" s="213" t="str">
        <x:v>LottoMetrics full-history export</x:v>
      </x:c>
      <x:c r="P304" s="213" t="str">
        <x:v>Archive-sourced; calendar/range/uniqueness validated</x:v>
      </x:c>
      <x:c r="Q304" s="54" t="str"/>
    </x:row>
    <x:row r="305">
      <x:c r="A305" s="74" t="n">
        <x:v>302</x:v>
      </x:c>
      <x:c r="B305" s="217" t="n">
        <x:v>43098</x:v>
      </x:c>
      <x:c r="C305" s="75" t="n">
        <x:v>16</x:v>
      </x:c>
      <x:c r="D305" s="75" t="n">
        <x:v>30</x:v>
      </x:c>
      <x:c r="E305" s="75" t="n">
        <x:v>33</x:v>
      </x:c>
      <x:c r="F305" s="75" t="n">
        <x:v>40</x:v>
      </x:c>
      <x:c r="G305" s="75" t="n">
        <x:v>43</x:v>
      </x:c>
      <x:c r="H305" s="75" t="n">
        <x:v>2</x:v>
      </x:c>
      <x:c r="I305" s="75" t="n">
        <x:v>4</x:v>
      </x:c>
      <x:c r="J305" s="75" t="n">
        <x:v>50</x:v>
      </x:c>
      <x:c r="K305" s="75" t="n">
        <x:v>10</x:v>
      </x:c>
      <x:c r="L305" s="75" t="str">
        <x:v>R2_5of50_2of10</x:v>
      </x:c>
      <x:c r="M305" s="213" t="str">
        <x:v>S1_pre_2024_studio_change_sensitivity_only</x:v>
      </x:c>
      <x:c r="N305" s="213" t="str">
        <x:v>Friday</x:v>
      </x:c>
      <x:c r="O305" s="213" t="str">
        <x:v>LottoMetrics full-history export</x:v>
      </x:c>
      <x:c r="P305" s="213" t="str">
        <x:v>Archive-sourced; calendar/range/uniqueness validated</x:v>
      </x:c>
      <x:c r="Q305" s="54" t="str"/>
    </x:row>
    <x:row r="306">
      <x:c r="A306" s="74" t="n">
        <x:v>303</x:v>
      </x:c>
      <x:c r="B306" s="217" t="n">
        <x:v>43105</x:v>
      </x:c>
      <x:c r="C306" s="75" t="n">
        <x:v>2</x:v>
      </x:c>
      <x:c r="D306" s="75" t="n">
        <x:v>7</x:v>
      </x:c>
      <x:c r="E306" s="75" t="n">
        <x:v>38</x:v>
      </x:c>
      <x:c r="F306" s="75" t="n">
        <x:v>40</x:v>
      </x:c>
      <x:c r="G306" s="75" t="n">
        <x:v>45</x:v>
      </x:c>
      <x:c r="H306" s="75" t="n">
        <x:v>7</x:v>
      </x:c>
      <x:c r="I306" s="75" t="n">
        <x:v>10</x:v>
      </x:c>
      <x:c r="J306" s="75" t="n">
        <x:v>50</x:v>
      </x:c>
      <x:c r="K306" s="75" t="n">
        <x:v>10</x:v>
      </x:c>
      <x:c r="L306" s="75" t="str">
        <x:v>R2_5of50_2of10</x:v>
      </x:c>
      <x:c r="M306" s="213" t="str">
        <x:v>S1_pre_2024_studio_change_sensitivity_only</x:v>
      </x:c>
      <x:c r="N306" s="213" t="str">
        <x:v>Friday</x:v>
      </x:c>
      <x:c r="O306" s="213" t="str">
        <x:v>LottoMetrics full-history export</x:v>
      </x:c>
      <x:c r="P306" s="213" t="str">
        <x:v>Archive-sourced; calendar/range/uniqueness validated</x:v>
      </x:c>
      <x:c r="Q306" s="54" t="str"/>
    </x:row>
    <x:row r="307">
      <x:c r="A307" s="74" t="n">
        <x:v>304</x:v>
      </x:c>
      <x:c r="B307" s="217" t="n">
        <x:v>43112</x:v>
      </x:c>
      <x:c r="C307" s="75" t="n">
        <x:v>16</x:v>
      </x:c>
      <x:c r="D307" s="75" t="n">
        <x:v>17</x:v>
      </x:c>
      <x:c r="E307" s="75" t="n">
        <x:v>25</x:v>
      </x:c>
      <x:c r="F307" s="75" t="n">
        <x:v>40</x:v>
      </x:c>
      <x:c r="G307" s="75" t="n">
        <x:v>44</x:v>
      </x:c>
      <x:c r="H307" s="75" t="n">
        <x:v>2</x:v>
      </x:c>
      <x:c r="I307" s="75" t="n">
        <x:v>9</x:v>
      </x:c>
      <x:c r="J307" s="75" t="n">
        <x:v>50</x:v>
      </x:c>
      <x:c r="K307" s="75" t="n">
        <x:v>10</x:v>
      </x:c>
      <x:c r="L307" s="75" t="str">
        <x:v>R2_5of50_2of10</x:v>
      </x:c>
      <x:c r="M307" s="213" t="str">
        <x:v>S1_pre_2024_studio_change_sensitivity_only</x:v>
      </x:c>
      <x:c r="N307" s="213" t="str">
        <x:v>Friday</x:v>
      </x:c>
      <x:c r="O307" s="213" t="str">
        <x:v>LottoMetrics full-history export</x:v>
      </x:c>
      <x:c r="P307" s="213" t="str">
        <x:v>Archive-sourced; calendar/range/uniqueness validated</x:v>
      </x:c>
      <x:c r="Q307" s="54" t="str"/>
    </x:row>
    <x:row r="308">
      <x:c r="A308" s="74" t="n">
        <x:v>305</x:v>
      </x:c>
      <x:c r="B308" s="217" t="n">
        <x:v>43119</x:v>
      </x:c>
      <x:c r="C308" s="75" t="n">
        <x:v>3</x:v>
      </x:c>
      <x:c r="D308" s="75" t="n">
        <x:v>9</x:v>
      </x:c>
      <x:c r="E308" s="75" t="n">
        <x:v>17</x:v>
      </x:c>
      <x:c r="F308" s="75" t="n">
        <x:v>45</x:v>
      </x:c>
      <x:c r="G308" s="75" t="n">
        <x:v>47</x:v>
      </x:c>
      <x:c r="H308" s="75" t="n">
        <x:v>4</x:v>
      </x:c>
      <x:c r="I308" s="75" t="n">
        <x:v>9</x:v>
      </x:c>
      <x:c r="J308" s="75" t="n">
        <x:v>50</x:v>
      </x:c>
      <x:c r="K308" s="75" t="n">
        <x:v>10</x:v>
      </x:c>
      <x:c r="L308" s="75" t="str">
        <x:v>R2_5of50_2of10</x:v>
      </x:c>
      <x:c r="M308" s="213" t="str">
        <x:v>S1_pre_2024_studio_change_sensitivity_only</x:v>
      </x:c>
      <x:c r="N308" s="213" t="str">
        <x:v>Friday</x:v>
      </x:c>
      <x:c r="O308" s="213" t="str">
        <x:v>LottoMetrics full-history export</x:v>
      </x:c>
      <x:c r="P308" s="213" t="str">
        <x:v>Archive-sourced; calendar/range/uniqueness validated</x:v>
      </x:c>
      <x:c r="Q308" s="54" t="str"/>
    </x:row>
    <x:row r="309">
      <x:c r="A309" s="74" t="n">
        <x:v>306</x:v>
      </x:c>
      <x:c r="B309" s="217" t="n">
        <x:v>43126</x:v>
      </x:c>
      <x:c r="C309" s="75" t="n">
        <x:v>10</x:v>
      </x:c>
      <x:c r="D309" s="75" t="n">
        <x:v>23</x:v>
      </x:c>
      <x:c r="E309" s="75" t="n">
        <x:v>26</x:v>
      </x:c>
      <x:c r="F309" s="75" t="n">
        <x:v>29</x:v>
      </x:c>
      <x:c r="G309" s="75" t="n">
        <x:v>35</x:v>
      </x:c>
      <x:c r="H309" s="75" t="n">
        <x:v>3</x:v>
      </x:c>
      <x:c r="I309" s="75" t="n">
        <x:v>5</x:v>
      </x:c>
      <x:c r="J309" s="75" t="n">
        <x:v>50</x:v>
      </x:c>
      <x:c r="K309" s="75" t="n">
        <x:v>10</x:v>
      </x:c>
      <x:c r="L309" s="75" t="str">
        <x:v>R2_5of50_2of10</x:v>
      </x:c>
      <x:c r="M309" s="213" t="str">
        <x:v>S1_pre_2024_studio_change_sensitivity_only</x:v>
      </x:c>
      <x:c r="N309" s="213" t="str">
        <x:v>Friday</x:v>
      </x:c>
      <x:c r="O309" s="213" t="str">
        <x:v>LottoMetrics full-history export</x:v>
      </x:c>
      <x:c r="P309" s="213" t="str">
        <x:v>Archive-sourced; calendar/range/uniqueness validated</x:v>
      </x:c>
      <x:c r="Q309" s="54" t="str"/>
    </x:row>
    <x:row r="310">
      <x:c r="A310" s="74" t="n">
        <x:v>307</x:v>
      </x:c>
      <x:c r="B310" s="217" t="n">
        <x:v>43133</x:v>
      </x:c>
      <x:c r="C310" s="75" t="n">
        <x:v>15</x:v>
      </x:c>
      <x:c r="D310" s="75" t="n">
        <x:v>24</x:v>
      </x:c>
      <x:c r="E310" s="75" t="n">
        <x:v>29</x:v>
      </x:c>
      <x:c r="F310" s="75" t="n">
        <x:v>33</x:v>
      </x:c>
      <x:c r="G310" s="75" t="n">
        <x:v>41</x:v>
      </x:c>
      <x:c r="H310" s="75" t="n">
        <x:v>7</x:v>
      </x:c>
      <x:c r="I310" s="75" t="n">
        <x:v>8</x:v>
      </x:c>
      <x:c r="J310" s="75" t="n">
        <x:v>50</x:v>
      </x:c>
      <x:c r="K310" s="75" t="n">
        <x:v>10</x:v>
      </x:c>
      <x:c r="L310" s="75" t="str">
        <x:v>R2_5of50_2of10</x:v>
      </x:c>
      <x:c r="M310" s="213" t="str">
        <x:v>S1_pre_2024_studio_change_sensitivity_only</x:v>
      </x:c>
      <x:c r="N310" s="213" t="str">
        <x:v>Friday</x:v>
      </x:c>
      <x:c r="O310" s="213" t="str">
        <x:v>LottoMetrics full-history export</x:v>
      </x:c>
      <x:c r="P310" s="213" t="str">
        <x:v>Archive-sourced; calendar/range/uniqueness validated</x:v>
      </x:c>
      <x:c r="Q310" s="54" t="str"/>
    </x:row>
    <x:row r="311">
      <x:c r="A311" s="74" t="n">
        <x:v>308</x:v>
      </x:c>
      <x:c r="B311" s="217" t="n">
        <x:v>43140</x:v>
      </x:c>
      <x:c r="C311" s="75" t="n">
        <x:v>7</x:v>
      </x:c>
      <x:c r="D311" s="75" t="n">
        <x:v>8</x:v>
      </x:c>
      <x:c r="E311" s="75" t="n">
        <x:v>24</x:v>
      </x:c>
      <x:c r="F311" s="75" t="n">
        <x:v>34</x:v>
      </x:c>
      <x:c r="G311" s="75" t="n">
        <x:v>46</x:v>
      </x:c>
      <x:c r="H311" s="75" t="n">
        <x:v>4</x:v>
      </x:c>
      <x:c r="I311" s="75" t="n">
        <x:v>8</x:v>
      </x:c>
      <x:c r="J311" s="75" t="n">
        <x:v>50</x:v>
      </x:c>
      <x:c r="K311" s="75" t="n">
        <x:v>10</x:v>
      </x:c>
      <x:c r="L311" s="75" t="str">
        <x:v>R2_5of50_2of10</x:v>
      </x:c>
      <x:c r="M311" s="213" t="str">
        <x:v>S1_pre_2024_studio_change_sensitivity_only</x:v>
      </x:c>
      <x:c r="N311" s="213" t="str">
        <x:v>Friday</x:v>
      </x:c>
      <x:c r="O311" s="213" t="str">
        <x:v>LottoMetrics full-history export</x:v>
      </x:c>
      <x:c r="P311" s="213" t="str">
        <x:v>Archive-sourced; calendar/range/uniqueness validated</x:v>
      </x:c>
      <x:c r="Q311" s="54" t="str"/>
    </x:row>
    <x:row r="312">
      <x:c r="A312" s="74" t="n">
        <x:v>309</x:v>
      </x:c>
      <x:c r="B312" s="217" t="n">
        <x:v>43147</x:v>
      </x:c>
      <x:c r="C312" s="75" t="n">
        <x:v>4</x:v>
      </x:c>
      <x:c r="D312" s="75" t="n">
        <x:v>8</x:v>
      </x:c>
      <x:c r="E312" s="75" t="n">
        <x:v>19</x:v>
      </x:c>
      <x:c r="F312" s="75" t="n">
        <x:v>25</x:v>
      </x:c>
      <x:c r="G312" s="75" t="n">
        <x:v>44</x:v>
      </x:c>
      <x:c r="H312" s="75" t="n">
        <x:v>9</x:v>
      </x:c>
      <x:c r="I312" s="75" t="n">
        <x:v>10</x:v>
      </x:c>
      <x:c r="J312" s="75" t="n">
        <x:v>50</x:v>
      </x:c>
      <x:c r="K312" s="75" t="n">
        <x:v>10</x:v>
      </x:c>
      <x:c r="L312" s="75" t="str">
        <x:v>R2_5of50_2of10</x:v>
      </x:c>
      <x:c r="M312" s="213" t="str">
        <x:v>S1_pre_2024_studio_change_sensitivity_only</x:v>
      </x:c>
      <x:c r="N312" s="213" t="str">
        <x:v>Friday</x:v>
      </x:c>
      <x:c r="O312" s="213" t="str">
        <x:v>LottoMetrics full-history export</x:v>
      </x:c>
      <x:c r="P312" s="213" t="str">
        <x:v>Archive-sourced; calendar/range/uniqueness validated</x:v>
      </x:c>
      <x:c r="Q312" s="54" t="str"/>
    </x:row>
    <x:row r="313">
      <x:c r="A313" s="74" t="n">
        <x:v>310</x:v>
      </x:c>
      <x:c r="B313" s="217" t="n">
        <x:v>43154</x:v>
      </x:c>
      <x:c r="C313" s="75" t="n">
        <x:v>18</x:v>
      </x:c>
      <x:c r="D313" s="75" t="n">
        <x:v>26</x:v>
      </x:c>
      <x:c r="E313" s="75" t="n">
        <x:v>33</x:v>
      </x:c>
      <x:c r="F313" s="75" t="n">
        <x:v>42</x:v>
      </x:c>
      <x:c r="G313" s="75" t="n">
        <x:v>46</x:v>
      </x:c>
      <x:c r="H313" s="75" t="n">
        <x:v>4</x:v>
      </x:c>
      <x:c r="I313" s="75" t="n">
        <x:v>10</x:v>
      </x:c>
      <x:c r="J313" s="75" t="n">
        <x:v>50</x:v>
      </x:c>
      <x:c r="K313" s="75" t="n">
        <x:v>10</x:v>
      </x:c>
      <x:c r="L313" s="75" t="str">
        <x:v>R2_5of50_2of10</x:v>
      </x:c>
      <x:c r="M313" s="213" t="str">
        <x:v>S1_pre_2024_studio_change_sensitivity_only</x:v>
      </x:c>
      <x:c r="N313" s="213" t="str">
        <x:v>Friday</x:v>
      </x:c>
      <x:c r="O313" s="213" t="str">
        <x:v>LottoMetrics full-history export</x:v>
      </x:c>
      <x:c r="P313" s="213" t="str">
        <x:v>Archive-sourced; calendar/range/uniqueness validated</x:v>
      </x:c>
      <x:c r="Q313" s="54" t="str"/>
    </x:row>
    <x:row r="314">
      <x:c r="A314" s="74" t="n">
        <x:v>311</x:v>
      </x:c>
      <x:c r="B314" s="217" t="n">
        <x:v>43161</x:v>
      </x:c>
      <x:c r="C314" s="75" t="n">
        <x:v>16</x:v>
      </x:c>
      <x:c r="D314" s="75" t="n">
        <x:v>18</x:v>
      </x:c>
      <x:c r="E314" s="75" t="n">
        <x:v>20</x:v>
      </x:c>
      <x:c r="F314" s="75" t="n">
        <x:v>27</x:v>
      </x:c>
      <x:c r="G314" s="75" t="n">
        <x:v>46</x:v>
      </x:c>
      <x:c r="H314" s="75" t="n">
        <x:v>3</x:v>
      </x:c>
      <x:c r="I314" s="75" t="n">
        <x:v>5</x:v>
      </x:c>
      <x:c r="J314" s="75" t="n">
        <x:v>50</x:v>
      </x:c>
      <x:c r="K314" s="75" t="n">
        <x:v>10</x:v>
      </x:c>
      <x:c r="L314" s="75" t="str">
        <x:v>R2_5of50_2of10</x:v>
      </x:c>
      <x:c r="M314" s="213" t="str">
        <x:v>S1_pre_2024_studio_change_sensitivity_only</x:v>
      </x:c>
      <x:c r="N314" s="213" t="str">
        <x:v>Friday</x:v>
      </x:c>
      <x:c r="O314" s="213" t="str">
        <x:v>LottoMetrics full-history export</x:v>
      </x:c>
      <x:c r="P314" s="213" t="str">
        <x:v>Archive-sourced; calendar/range/uniqueness validated</x:v>
      </x:c>
      <x:c r="Q314" s="54" t="str"/>
    </x:row>
    <x:row r="315">
      <x:c r="A315" s="74" t="n">
        <x:v>312</x:v>
      </x:c>
      <x:c r="B315" s="217" t="n">
        <x:v>43168</x:v>
      </x:c>
      <x:c r="C315" s="75" t="n">
        <x:v>15</x:v>
      </x:c>
      <x:c r="D315" s="75" t="n">
        <x:v>23</x:v>
      </x:c>
      <x:c r="E315" s="75" t="n">
        <x:v>28</x:v>
      </x:c>
      <x:c r="F315" s="75" t="n">
        <x:v>33</x:v>
      </x:c>
      <x:c r="G315" s="75" t="n">
        <x:v>36</x:v>
      </x:c>
      <x:c r="H315" s="75" t="n">
        <x:v>4</x:v>
      </x:c>
      <x:c r="I315" s="75" t="n">
        <x:v>7</x:v>
      </x:c>
      <x:c r="J315" s="75" t="n">
        <x:v>50</x:v>
      </x:c>
      <x:c r="K315" s="75" t="n">
        <x:v>10</x:v>
      </x:c>
      <x:c r="L315" s="75" t="str">
        <x:v>R2_5of50_2of10</x:v>
      </x:c>
      <x:c r="M315" s="213" t="str">
        <x:v>S1_pre_2024_studio_change_sensitivity_only</x:v>
      </x:c>
      <x:c r="N315" s="213" t="str">
        <x:v>Friday</x:v>
      </x:c>
      <x:c r="O315" s="213" t="str">
        <x:v>LottoMetrics full-history export</x:v>
      </x:c>
      <x:c r="P315" s="213" t="str">
        <x:v>Archive-sourced; calendar/range/uniqueness validated</x:v>
      </x:c>
      <x:c r="Q315" s="54" t="str"/>
    </x:row>
    <x:row r="316">
      <x:c r="A316" s="74" t="n">
        <x:v>313</x:v>
      </x:c>
      <x:c r="B316" s="217" t="n">
        <x:v>43175</x:v>
      </x:c>
      <x:c r="C316" s="75" t="n">
        <x:v>4</x:v>
      </x:c>
      <x:c r="D316" s="75" t="n">
        <x:v>27</x:v>
      </x:c>
      <x:c r="E316" s="75" t="n">
        <x:v>37</x:v>
      </x:c>
      <x:c r="F316" s="75" t="n">
        <x:v>48</x:v>
      </x:c>
      <x:c r="G316" s="75" t="n">
        <x:v>49</x:v>
      </x:c>
      <x:c r="H316" s="75" t="n">
        <x:v>3</x:v>
      </x:c>
      <x:c r="I316" s="75" t="n">
        <x:v>4</x:v>
      </x:c>
      <x:c r="J316" s="75" t="n">
        <x:v>50</x:v>
      </x:c>
      <x:c r="K316" s="75" t="n">
        <x:v>10</x:v>
      </x:c>
      <x:c r="L316" s="75" t="str">
        <x:v>R2_5of50_2of10</x:v>
      </x:c>
      <x:c r="M316" s="213" t="str">
        <x:v>S1_pre_2024_studio_change_sensitivity_only</x:v>
      </x:c>
      <x:c r="N316" s="213" t="str">
        <x:v>Friday</x:v>
      </x:c>
      <x:c r="O316" s="213" t="str">
        <x:v>LottoMetrics full-history export</x:v>
      </x:c>
      <x:c r="P316" s="213" t="str">
        <x:v>Archive-sourced; calendar/range/uniqueness validated</x:v>
      </x:c>
      <x:c r="Q316" s="54" t="str"/>
    </x:row>
    <x:row r="317">
      <x:c r="A317" s="74" t="n">
        <x:v>314</x:v>
      </x:c>
      <x:c r="B317" s="217" t="n">
        <x:v>43182</x:v>
      </x:c>
      <x:c r="C317" s="75" t="n">
        <x:v>4</x:v>
      </x:c>
      <x:c r="D317" s="75" t="n">
        <x:v>14</x:v>
      </x:c>
      <x:c r="E317" s="75" t="n">
        <x:v>22</x:v>
      </x:c>
      <x:c r="F317" s="75" t="n">
        <x:v>33</x:v>
      </x:c>
      <x:c r="G317" s="75" t="n">
        <x:v>42</x:v>
      </x:c>
      <x:c r="H317" s="75" t="n">
        <x:v>1</x:v>
      </x:c>
      <x:c r="I317" s="75" t="n">
        <x:v>10</x:v>
      </x:c>
      <x:c r="J317" s="75" t="n">
        <x:v>50</x:v>
      </x:c>
      <x:c r="K317" s="75" t="n">
        <x:v>10</x:v>
      </x:c>
      <x:c r="L317" s="75" t="str">
        <x:v>R2_5of50_2of10</x:v>
      </x:c>
      <x:c r="M317" s="213" t="str">
        <x:v>S1_pre_2024_studio_change_sensitivity_only</x:v>
      </x:c>
      <x:c r="N317" s="213" t="str">
        <x:v>Friday</x:v>
      </x:c>
      <x:c r="O317" s="213" t="str">
        <x:v>LottoMetrics full-history export</x:v>
      </x:c>
      <x:c r="P317" s="213" t="str">
        <x:v>Archive-sourced; calendar/range/uniqueness validated</x:v>
      </x:c>
      <x:c r="Q317" s="54" t="str"/>
    </x:row>
    <x:row r="318">
      <x:c r="A318" s="74" t="n">
        <x:v>315</x:v>
      </x:c>
      <x:c r="B318" s="217" t="n">
        <x:v>43189</x:v>
      </x:c>
      <x:c r="C318" s="75" t="n">
        <x:v>5</x:v>
      </x:c>
      <x:c r="D318" s="75" t="n">
        <x:v>15</x:v>
      </x:c>
      <x:c r="E318" s="75" t="n">
        <x:v>17</x:v>
      </x:c>
      <x:c r="F318" s="75" t="n">
        <x:v>29</x:v>
      </x:c>
      <x:c r="G318" s="75" t="n">
        <x:v>32</x:v>
      </x:c>
      <x:c r="H318" s="75" t="n">
        <x:v>5</x:v>
      </x:c>
      <x:c r="I318" s="75" t="n">
        <x:v>7</x:v>
      </x:c>
      <x:c r="J318" s="75" t="n">
        <x:v>50</x:v>
      </x:c>
      <x:c r="K318" s="75" t="n">
        <x:v>10</x:v>
      </x:c>
      <x:c r="L318" s="75" t="str">
        <x:v>R2_5of50_2of10</x:v>
      </x:c>
      <x:c r="M318" s="213" t="str">
        <x:v>S1_pre_2024_studio_change_sensitivity_only</x:v>
      </x:c>
      <x:c r="N318" s="213" t="str">
        <x:v>Friday</x:v>
      </x:c>
      <x:c r="O318" s="213" t="str">
        <x:v>LottoMetrics full-history export</x:v>
      </x:c>
      <x:c r="P318" s="213" t="str">
        <x:v>Archive-sourced; calendar/range/uniqueness validated</x:v>
      </x:c>
      <x:c r="Q318" s="54" t="str"/>
    </x:row>
    <x:row r="319">
      <x:c r="A319" s="74" t="n">
        <x:v>316</x:v>
      </x:c>
      <x:c r="B319" s="217" t="n">
        <x:v>43196</x:v>
      </x:c>
      <x:c r="C319" s="75" t="n">
        <x:v>6</x:v>
      </x:c>
      <x:c r="D319" s="75" t="n">
        <x:v>8</x:v>
      </x:c>
      <x:c r="E319" s="75" t="n">
        <x:v>16</x:v>
      </x:c>
      <x:c r="F319" s="75" t="n">
        <x:v>23</x:v>
      </x:c>
      <x:c r="G319" s="75" t="n">
        <x:v>50</x:v>
      </x:c>
      <x:c r="H319" s="75" t="n">
        <x:v>4</x:v>
      </x:c>
      <x:c r="I319" s="75" t="n">
        <x:v>8</x:v>
      </x:c>
      <x:c r="J319" s="75" t="n">
        <x:v>50</x:v>
      </x:c>
      <x:c r="K319" s="75" t="n">
        <x:v>10</x:v>
      </x:c>
      <x:c r="L319" s="75" t="str">
        <x:v>R2_5of50_2of10</x:v>
      </x:c>
      <x:c r="M319" s="213" t="str">
        <x:v>S1_pre_2024_studio_change_sensitivity_only</x:v>
      </x:c>
      <x:c r="N319" s="213" t="str">
        <x:v>Friday</x:v>
      </x:c>
      <x:c r="O319" s="213" t="str">
        <x:v>LottoMetrics full-history export</x:v>
      </x:c>
      <x:c r="P319" s="213" t="str">
        <x:v>Archive-sourced; calendar/range/uniqueness validated</x:v>
      </x:c>
      <x:c r="Q319" s="54" t="str"/>
    </x:row>
    <x:row r="320">
      <x:c r="A320" s="74" t="n">
        <x:v>317</x:v>
      </x:c>
      <x:c r="B320" s="217" t="n">
        <x:v>43203</x:v>
      </x:c>
      <x:c r="C320" s="75" t="n">
        <x:v>3</x:v>
      </x:c>
      <x:c r="D320" s="75" t="n">
        <x:v>10</x:v>
      </x:c>
      <x:c r="E320" s="75" t="n">
        <x:v>21</x:v>
      </x:c>
      <x:c r="F320" s="75" t="n">
        <x:v>25</x:v>
      </x:c>
      <x:c r="G320" s="75" t="n">
        <x:v>34</x:v>
      </x:c>
      <x:c r="H320" s="75" t="n">
        <x:v>7</x:v>
      </x:c>
      <x:c r="I320" s="75" t="n">
        <x:v>10</x:v>
      </x:c>
      <x:c r="J320" s="75" t="n">
        <x:v>50</x:v>
      </x:c>
      <x:c r="K320" s="75" t="n">
        <x:v>10</x:v>
      </x:c>
      <x:c r="L320" s="75" t="str">
        <x:v>R2_5of50_2of10</x:v>
      </x:c>
      <x:c r="M320" s="213" t="str">
        <x:v>S1_pre_2024_studio_change_sensitivity_only</x:v>
      </x:c>
      <x:c r="N320" s="213" t="str">
        <x:v>Friday</x:v>
      </x:c>
      <x:c r="O320" s="213" t="str">
        <x:v>LottoMetrics full-history export</x:v>
      </x:c>
      <x:c r="P320" s="213" t="str">
        <x:v>Archive-sourced; calendar/range/uniqueness validated</x:v>
      </x:c>
      <x:c r="Q320" s="54" t="str"/>
    </x:row>
    <x:row r="321">
      <x:c r="A321" s="74" t="n">
        <x:v>318</x:v>
      </x:c>
      <x:c r="B321" s="217" t="n">
        <x:v>43210</x:v>
      </x:c>
      <x:c r="C321" s="75" t="n">
        <x:v>22</x:v>
      </x:c>
      <x:c r="D321" s="75" t="n">
        <x:v>24</x:v>
      </x:c>
      <x:c r="E321" s="75" t="n">
        <x:v>25</x:v>
      </x:c>
      <x:c r="F321" s="75" t="n">
        <x:v>28</x:v>
      </x:c>
      <x:c r="G321" s="75" t="n">
        <x:v>46</x:v>
      </x:c>
      <x:c r="H321" s="75" t="n">
        <x:v>2</x:v>
      </x:c>
      <x:c r="I321" s="75" t="n">
        <x:v>4</x:v>
      </x:c>
      <x:c r="J321" s="75" t="n">
        <x:v>50</x:v>
      </x:c>
      <x:c r="K321" s="75" t="n">
        <x:v>10</x:v>
      </x:c>
      <x:c r="L321" s="75" t="str">
        <x:v>R2_5of50_2of10</x:v>
      </x:c>
      <x:c r="M321" s="213" t="str">
        <x:v>S1_pre_2024_studio_change_sensitivity_only</x:v>
      </x:c>
      <x:c r="N321" s="213" t="str">
        <x:v>Friday</x:v>
      </x:c>
      <x:c r="O321" s="213" t="str">
        <x:v>LottoMetrics full-history export</x:v>
      </x:c>
      <x:c r="P321" s="213" t="str">
        <x:v>Archive-sourced; calendar/range/uniqueness validated</x:v>
      </x:c>
      <x:c r="Q321" s="54" t="str"/>
    </x:row>
    <x:row r="322">
      <x:c r="A322" s="74" t="n">
        <x:v>319</x:v>
      </x:c>
      <x:c r="B322" s="217" t="n">
        <x:v>43217</x:v>
      </x:c>
      <x:c r="C322" s="75" t="n">
        <x:v>9</x:v>
      </x:c>
      <x:c r="D322" s="75" t="n">
        <x:v>21</x:v>
      </x:c>
      <x:c r="E322" s="75" t="n">
        <x:v>31</x:v>
      </x:c>
      <x:c r="F322" s="75" t="n">
        <x:v>32</x:v>
      </x:c>
      <x:c r="G322" s="75" t="n">
        <x:v>33</x:v>
      </x:c>
      <x:c r="H322" s="75" t="n">
        <x:v>9</x:v>
      </x:c>
      <x:c r="I322" s="75" t="n">
        <x:v>10</x:v>
      </x:c>
      <x:c r="J322" s="75" t="n">
        <x:v>50</x:v>
      </x:c>
      <x:c r="K322" s="75" t="n">
        <x:v>10</x:v>
      </x:c>
      <x:c r="L322" s="75" t="str">
        <x:v>R2_5of50_2of10</x:v>
      </x:c>
      <x:c r="M322" s="213" t="str">
        <x:v>S1_pre_2024_studio_change_sensitivity_only</x:v>
      </x:c>
      <x:c r="N322" s="213" t="str">
        <x:v>Friday</x:v>
      </x:c>
      <x:c r="O322" s="213" t="str">
        <x:v>LottoMetrics full-history export</x:v>
      </x:c>
      <x:c r="P322" s="213" t="str">
        <x:v>Archive-sourced; calendar/range/uniqueness validated</x:v>
      </x:c>
      <x:c r="Q322" s="54" t="str"/>
    </x:row>
    <x:row r="323">
      <x:c r="A323" s="74" t="n">
        <x:v>320</x:v>
      </x:c>
      <x:c r="B323" s="217" t="n">
        <x:v>43224</x:v>
      </x:c>
      <x:c r="C323" s="75" t="n">
        <x:v>24</x:v>
      </x:c>
      <x:c r="D323" s="75" t="n">
        <x:v>26</x:v>
      </x:c>
      <x:c r="E323" s="75" t="n">
        <x:v>29</x:v>
      </x:c>
      <x:c r="F323" s="75" t="n">
        <x:v>36</x:v>
      </x:c>
      <x:c r="G323" s="75" t="n">
        <x:v>49</x:v>
      </x:c>
      <x:c r="H323" s="75" t="n">
        <x:v>3</x:v>
      </x:c>
      <x:c r="I323" s="75" t="n">
        <x:v>6</x:v>
      </x:c>
      <x:c r="J323" s="75" t="n">
        <x:v>50</x:v>
      </x:c>
      <x:c r="K323" s="75" t="n">
        <x:v>10</x:v>
      </x:c>
      <x:c r="L323" s="75" t="str">
        <x:v>R2_5of50_2of10</x:v>
      </x:c>
      <x:c r="M323" s="213" t="str">
        <x:v>S1_pre_2024_studio_change_sensitivity_only</x:v>
      </x:c>
      <x:c r="N323" s="213" t="str">
        <x:v>Friday</x:v>
      </x:c>
      <x:c r="O323" s="213" t="str">
        <x:v>LottoMetrics full-history export</x:v>
      </x:c>
      <x:c r="P323" s="213" t="str">
        <x:v>Archive-sourced; calendar/range/uniqueness validated</x:v>
      </x:c>
      <x:c r="Q323" s="54" t="str"/>
    </x:row>
    <x:row r="324">
      <x:c r="A324" s="74" t="n">
        <x:v>321</x:v>
      </x:c>
      <x:c r="B324" s="217" t="n">
        <x:v>43231</x:v>
      </x:c>
      <x:c r="C324" s="75" t="n">
        <x:v>3</x:v>
      </x:c>
      <x:c r="D324" s="75" t="n">
        <x:v>14</x:v>
      </x:c>
      <x:c r="E324" s="75" t="n">
        <x:v>17</x:v>
      </x:c>
      <x:c r="F324" s="75" t="n">
        <x:v>37</x:v>
      </x:c>
      <x:c r="G324" s="75" t="n">
        <x:v>39</x:v>
      </x:c>
      <x:c r="H324" s="75" t="n">
        <x:v>5</x:v>
      </x:c>
      <x:c r="I324" s="75" t="n">
        <x:v>10</x:v>
      </x:c>
      <x:c r="J324" s="75" t="n">
        <x:v>50</x:v>
      </x:c>
      <x:c r="K324" s="75" t="n">
        <x:v>10</x:v>
      </x:c>
      <x:c r="L324" s="75" t="str">
        <x:v>R2_5of50_2of10</x:v>
      </x:c>
      <x:c r="M324" s="213" t="str">
        <x:v>S1_pre_2024_studio_change_sensitivity_only</x:v>
      </x:c>
      <x:c r="N324" s="213" t="str">
        <x:v>Friday</x:v>
      </x:c>
      <x:c r="O324" s="213" t="str">
        <x:v>LottoMetrics full-history export</x:v>
      </x:c>
      <x:c r="P324" s="213" t="str">
        <x:v>Archive-sourced; calendar/range/uniqueness validated</x:v>
      </x:c>
      <x:c r="Q324" s="54" t="str"/>
    </x:row>
    <x:row r="325">
      <x:c r="A325" s="74" t="n">
        <x:v>322</x:v>
      </x:c>
      <x:c r="B325" s="217" t="n">
        <x:v>43238</x:v>
      </x:c>
      <x:c r="C325" s="75" t="n">
        <x:v>1</x:v>
      </x:c>
      <x:c r="D325" s="75" t="n">
        <x:v>11</x:v>
      </x:c>
      <x:c r="E325" s="75" t="n">
        <x:v>23</x:v>
      </x:c>
      <x:c r="F325" s="75" t="n">
        <x:v>41</x:v>
      </x:c>
      <x:c r="G325" s="75" t="n">
        <x:v>44</x:v>
      </x:c>
      <x:c r="H325" s="75" t="n">
        <x:v>2</x:v>
      </x:c>
      <x:c r="I325" s="75" t="n">
        <x:v>8</x:v>
      </x:c>
      <x:c r="J325" s="75" t="n">
        <x:v>50</x:v>
      </x:c>
      <x:c r="K325" s="75" t="n">
        <x:v>10</x:v>
      </x:c>
      <x:c r="L325" s="75" t="str">
        <x:v>R2_5of50_2of10</x:v>
      </x:c>
      <x:c r="M325" s="213" t="str">
        <x:v>S1_pre_2024_studio_change_sensitivity_only</x:v>
      </x:c>
      <x:c r="N325" s="213" t="str">
        <x:v>Friday</x:v>
      </x:c>
      <x:c r="O325" s="213" t="str">
        <x:v>LottoMetrics full-history export</x:v>
      </x:c>
      <x:c r="P325" s="213" t="str">
        <x:v>Archive-sourced; calendar/range/uniqueness validated</x:v>
      </x:c>
      <x:c r="Q325" s="54" t="str"/>
    </x:row>
    <x:row r="326">
      <x:c r="A326" s="74" t="n">
        <x:v>323</x:v>
      </x:c>
      <x:c r="B326" s="217" t="n">
        <x:v>43245</x:v>
      </x:c>
      <x:c r="C326" s="75" t="n">
        <x:v>15</x:v>
      </x:c>
      <x:c r="D326" s="75" t="n">
        <x:v>31</x:v>
      </x:c>
      <x:c r="E326" s="75" t="n">
        <x:v>35</x:v>
      </x:c>
      <x:c r="F326" s="75" t="n">
        <x:v>40</x:v>
      </x:c>
      <x:c r="G326" s="75" t="n">
        <x:v>46</x:v>
      </x:c>
      <x:c r="H326" s="75" t="n">
        <x:v>3</x:v>
      </x:c>
      <x:c r="I326" s="75" t="n">
        <x:v>8</x:v>
      </x:c>
      <x:c r="J326" s="75" t="n">
        <x:v>50</x:v>
      </x:c>
      <x:c r="K326" s="75" t="n">
        <x:v>10</x:v>
      </x:c>
      <x:c r="L326" s="75" t="str">
        <x:v>R2_5of50_2of10</x:v>
      </x:c>
      <x:c r="M326" s="213" t="str">
        <x:v>S1_pre_2024_studio_change_sensitivity_only</x:v>
      </x:c>
      <x:c r="N326" s="213" t="str">
        <x:v>Friday</x:v>
      </x:c>
      <x:c r="O326" s="213" t="str">
        <x:v>LottoMetrics full-history export</x:v>
      </x:c>
      <x:c r="P326" s="213" t="str">
        <x:v>Archive-sourced; calendar/range/uniqueness validated</x:v>
      </x:c>
      <x:c r="Q326" s="54" t="str"/>
    </x:row>
    <x:row r="327">
      <x:c r="A327" s="74" t="n">
        <x:v>324</x:v>
      </x:c>
      <x:c r="B327" s="217" t="n">
        <x:v>43252</x:v>
      </x:c>
      <x:c r="C327" s="75" t="n">
        <x:v>14</x:v>
      </x:c>
      <x:c r="D327" s="75" t="n">
        <x:v>19</x:v>
      </x:c>
      <x:c r="E327" s="75" t="n">
        <x:v>21</x:v>
      </x:c>
      <x:c r="F327" s="75" t="n">
        <x:v>30</x:v>
      </x:c>
      <x:c r="G327" s="75" t="n">
        <x:v>32</x:v>
      </x:c>
      <x:c r="H327" s="75" t="n">
        <x:v>4</x:v>
      </x:c>
      <x:c r="I327" s="75" t="n">
        <x:v>7</x:v>
      </x:c>
      <x:c r="J327" s="75" t="n">
        <x:v>50</x:v>
      </x:c>
      <x:c r="K327" s="75" t="n">
        <x:v>10</x:v>
      </x:c>
      <x:c r="L327" s="75" t="str">
        <x:v>R2_5of50_2of10</x:v>
      </x:c>
      <x:c r="M327" s="213" t="str">
        <x:v>S1_pre_2024_studio_change_sensitivity_only</x:v>
      </x:c>
      <x:c r="N327" s="213" t="str">
        <x:v>Friday</x:v>
      </x:c>
      <x:c r="O327" s="213" t="str">
        <x:v>LottoMetrics full-history export</x:v>
      </x:c>
      <x:c r="P327" s="213" t="str">
        <x:v>Archive-sourced; calendar/range/uniqueness validated</x:v>
      </x:c>
      <x:c r="Q327" s="54" t="str"/>
    </x:row>
    <x:row r="328">
      <x:c r="A328" s="74" t="n">
        <x:v>325</x:v>
      </x:c>
      <x:c r="B328" s="217" t="n">
        <x:v>43259</x:v>
      </x:c>
      <x:c r="C328" s="75" t="n">
        <x:v>5</x:v>
      </x:c>
      <x:c r="D328" s="75" t="n">
        <x:v>13</x:v>
      </x:c>
      <x:c r="E328" s="75" t="n">
        <x:v>22</x:v>
      </x:c>
      <x:c r="F328" s="75" t="n">
        <x:v>36</x:v>
      </x:c>
      <x:c r="G328" s="75" t="n">
        <x:v>39</x:v>
      </x:c>
      <x:c r="H328" s="75" t="n">
        <x:v>9</x:v>
      </x:c>
      <x:c r="I328" s="75" t="n">
        <x:v>10</x:v>
      </x:c>
      <x:c r="J328" s="75" t="n">
        <x:v>50</x:v>
      </x:c>
      <x:c r="K328" s="75" t="n">
        <x:v>10</x:v>
      </x:c>
      <x:c r="L328" s="75" t="str">
        <x:v>R2_5of50_2of10</x:v>
      </x:c>
      <x:c r="M328" s="213" t="str">
        <x:v>S1_pre_2024_studio_change_sensitivity_only</x:v>
      </x:c>
      <x:c r="N328" s="213" t="str">
        <x:v>Friday</x:v>
      </x:c>
      <x:c r="O328" s="213" t="str">
        <x:v>LottoMetrics full-history export</x:v>
      </x:c>
      <x:c r="P328" s="213" t="str">
        <x:v>Archive-sourced; calendar/range/uniqueness validated</x:v>
      </x:c>
      <x:c r="Q328" s="54" t="str"/>
    </x:row>
    <x:row r="329">
      <x:c r="A329" s="74" t="n">
        <x:v>326</x:v>
      </x:c>
      <x:c r="B329" s="217" t="n">
        <x:v>43266</x:v>
      </x:c>
      <x:c r="C329" s="75" t="n">
        <x:v>1</x:v>
      </x:c>
      <x:c r="D329" s="75" t="n">
        <x:v>5</x:v>
      </x:c>
      <x:c r="E329" s="75" t="n">
        <x:v>7</x:v>
      </x:c>
      <x:c r="F329" s="75" t="n">
        <x:v>9</x:v>
      </x:c>
      <x:c r="G329" s="75" t="n">
        <x:v>21</x:v>
      </x:c>
      <x:c r="H329" s="75" t="n">
        <x:v>3</x:v>
      </x:c>
      <x:c r="I329" s="75" t="n">
        <x:v>10</x:v>
      </x:c>
      <x:c r="J329" s="75" t="n">
        <x:v>50</x:v>
      </x:c>
      <x:c r="K329" s="75" t="n">
        <x:v>10</x:v>
      </x:c>
      <x:c r="L329" s="75" t="str">
        <x:v>R2_5of50_2of10</x:v>
      </x:c>
      <x:c r="M329" s="213" t="str">
        <x:v>S1_pre_2024_studio_change_sensitivity_only</x:v>
      </x:c>
      <x:c r="N329" s="213" t="str">
        <x:v>Friday</x:v>
      </x:c>
      <x:c r="O329" s="213" t="str">
        <x:v>LottoMetrics full-history export</x:v>
      </x:c>
      <x:c r="P329" s="213" t="str">
        <x:v>Archive-sourced; calendar/range/uniqueness validated</x:v>
      </x:c>
      <x:c r="Q329" s="54" t="str"/>
    </x:row>
    <x:row r="330">
      <x:c r="A330" s="74" t="n">
        <x:v>327</x:v>
      </x:c>
      <x:c r="B330" s="217" t="n">
        <x:v>43273</x:v>
      </x:c>
      <x:c r="C330" s="75" t="n">
        <x:v>16</x:v>
      </x:c>
      <x:c r="D330" s="75" t="n">
        <x:v>24</x:v>
      </x:c>
      <x:c r="E330" s="75" t="n">
        <x:v>33</x:v>
      </x:c>
      <x:c r="F330" s="75" t="n">
        <x:v>35</x:v>
      </x:c>
      <x:c r="G330" s="75" t="n">
        <x:v>43</x:v>
      </x:c>
      <x:c r="H330" s="75" t="n">
        <x:v>6</x:v>
      </x:c>
      <x:c r="I330" s="75" t="n">
        <x:v>7</x:v>
      </x:c>
      <x:c r="J330" s="75" t="n">
        <x:v>50</x:v>
      </x:c>
      <x:c r="K330" s="75" t="n">
        <x:v>10</x:v>
      </x:c>
      <x:c r="L330" s="75" t="str">
        <x:v>R2_5of50_2of10</x:v>
      </x:c>
      <x:c r="M330" s="213" t="str">
        <x:v>S1_pre_2024_studio_change_sensitivity_only</x:v>
      </x:c>
      <x:c r="N330" s="213" t="str">
        <x:v>Friday</x:v>
      </x:c>
      <x:c r="O330" s="213" t="str">
        <x:v>LottoMetrics full-history export</x:v>
      </x:c>
      <x:c r="P330" s="213" t="str">
        <x:v>Archive-sourced; calendar/range/uniqueness validated</x:v>
      </x:c>
      <x:c r="Q330" s="54" t="str"/>
    </x:row>
    <x:row r="331">
      <x:c r="A331" s="74" t="n">
        <x:v>328</x:v>
      </x:c>
      <x:c r="B331" s="217" t="n">
        <x:v>43280</x:v>
      </x:c>
      <x:c r="C331" s="75" t="n">
        <x:v>9</x:v>
      </x:c>
      <x:c r="D331" s="75" t="n">
        <x:v>18</x:v>
      </x:c>
      <x:c r="E331" s="75" t="n">
        <x:v>30</x:v>
      </x:c>
      <x:c r="F331" s="75" t="n">
        <x:v>47</x:v>
      </x:c>
      <x:c r="G331" s="75" t="n">
        <x:v>48</x:v>
      </x:c>
      <x:c r="H331" s="75" t="n">
        <x:v>4</x:v>
      </x:c>
      <x:c r="I331" s="75" t="n">
        <x:v>6</x:v>
      </x:c>
      <x:c r="J331" s="75" t="n">
        <x:v>50</x:v>
      </x:c>
      <x:c r="K331" s="75" t="n">
        <x:v>10</x:v>
      </x:c>
      <x:c r="L331" s="75" t="str">
        <x:v>R2_5of50_2of10</x:v>
      </x:c>
      <x:c r="M331" s="213" t="str">
        <x:v>S1_pre_2024_studio_change_sensitivity_only</x:v>
      </x:c>
      <x:c r="N331" s="213" t="str">
        <x:v>Friday</x:v>
      </x:c>
      <x:c r="O331" s="213" t="str">
        <x:v>LottoMetrics full-history export</x:v>
      </x:c>
      <x:c r="P331" s="213" t="str">
        <x:v>Archive-sourced; calendar/range/uniqueness validated</x:v>
      </x:c>
      <x:c r="Q331" s="54" t="str"/>
    </x:row>
    <x:row r="332">
      <x:c r="A332" s="74" t="n">
        <x:v>329</x:v>
      </x:c>
      <x:c r="B332" s="217" t="n">
        <x:v>43287</x:v>
      </x:c>
      <x:c r="C332" s="75" t="n">
        <x:v>2</x:v>
      </x:c>
      <x:c r="D332" s="75" t="n">
        <x:v>7</x:v>
      </x:c>
      <x:c r="E332" s="75" t="n">
        <x:v>24</x:v>
      </x:c>
      <x:c r="F332" s="75" t="n">
        <x:v>38</x:v>
      </x:c>
      <x:c r="G332" s="75" t="n">
        <x:v>45</x:v>
      </x:c>
      <x:c r="H332" s="75" t="n">
        <x:v>5</x:v>
      </x:c>
      <x:c r="I332" s="75" t="n">
        <x:v>8</x:v>
      </x:c>
      <x:c r="J332" s="75" t="n">
        <x:v>50</x:v>
      </x:c>
      <x:c r="K332" s="75" t="n">
        <x:v>10</x:v>
      </x:c>
      <x:c r="L332" s="75" t="str">
        <x:v>R2_5of50_2of10</x:v>
      </x:c>
      <x:c r="M332" s="213" t="str">
        <x:v>S1_pre_2024_studio_change_sensitivity_only</x:v>
      </x:c>
      <x:c r="N332" s="213" t="str">
        <x:v>Friday</x:v>
      </x:c>
      <x:c r="O332" s="213" t="str">
        <x:v>LottoMetrics full-history export</x:v>
      </x:c>
      <x:c r="P332" s="213" t="str">
        <x:v>Archive-sourced; calendar/range/uniqueness validated</x:v>
      </x:c>
      <x:c r="Q332" s="54" t="str"/>
    </x:row>
    <x:row r="333">
      <x:c r="A333" s="74" t="n">
        <x:v>330</x:v>
      </x:c>
      <x:c r="B333" s="217" t="n">
        <x:v>43294</x:v>
      </x:c>
      <x:c r="C333" s="75" t="n">
        <x:v>13</x:v>
      </x:c>
      <x:c r="D333" s="75" t="n">
        <x:v>14</x:v>
      </x:c>
      <x:c r="E333" s="75" t="n">
        <x:v>21</x:v>
      </x:c>
      <x:c r="F333" s="75" t="n">
        <x:v>34</x:v>
      </x:c>
      <x:c r="G333" s="75" t="n">
        <x:v>46</x:v>
      </x:c>
      <x:c r="H333" s="75" t="n">
        <x:v>2</x:v>
      </x:c>
      <x:c r="I333" s="75" t="n">
        <x:v>5</x:v>
      </x:c>
      <x:c r="J333" s="75" t="n">
        <x:v>50</x:v>
      </x:c>
      <x:c r="K333" s="75" t="n">
        <x:v>10</x:v>
      </x:c>
      <x:c r="L333" s="75" t="str">
        <x:v>R2_5of50_2of10</x:v>
      </x:c>
      <x:c r="M333" s="213" t="str">
        <x:v>S1_pre_2024_studio_change_sensitivity_only</x:v>
      </x:c>
      <x:c r="N333" s="213" t="str">
        <x:v>Friday</x:v>
      </x:c>
      <x:c r="O333" s="213" t="str">
        <x:v>LottoMetrics full-history export</x:v>
      </x:c>
      <x:c r="P333" s="213" t="str">
        <x:v>Archive-sourced; calendar/range/uniqueness validated</x:v>
      </x:c>
      <x:c r="Q333" s="54" t="str"/>
    </x:row>
    <x:row r="334">
      <x:c r="A334" s="74" t="n">
        <x:v>331</x:v>
      </x:c>
      <x:c r="B334" s="217" t="n">
        <x:v>43301</x:v>
      </x:c>
      <x:c r="C334" s="75" t="n">
        <x:v>13</x:v>
      </x:c>
      <x:c r="D334" s="75" t="n">
        <x:v>33</x:v>
      </x:c>
      <x:c r="E334" s="75" t="n">
        <x:v>40</x:v>
      </x:c>
      <x:c r="F334" s="75" t="n">
        <x:v>42</x:v>
      </x:c>
      <x:c r="G334" s="75" t="n">
        <x:v>43</x:v>
      </x:c>
      <x:c r="H334" s="75" t="n">
        <x:v>7</x:v>
      </x:c>
      <x:c r="I334" s="75" t="n">
        <x:v>9</x:v>
      </x:c>
      <x:c r="J334" s="75" t="n">
        <x:v>50</x:v>
      </x:c>
      <x:c r="K334" s="75" t="n">
        <x:v>10</x:v>
      </x:c>
      <x:c r="L334" s="75" t="str">
        <x:v>R2_5of50_2of10</x:v>
      </x:c>
      <x:c r="M334" s="213" t="str">
        <x:v>S1_pre_2024_studio_change_sensitivity_only</x:v>
      </x:c>
      <x:c r="N334" s="213" t="str">
        <x:v>Friday</x:v>
      </x:c>
      <x:c r="O334" s="213" t="str">
        <x:v>LottoMetrics full-history export</x:v>
      </x:c>
      <x:c r="P334" s="213" t="str">
        <x:v>Archive-sourced; calendar/range/uniqueness validated</x:v>
      </x:c>
      <x:c r="Q334" s="54" t="str"/>
    </x:row>
    <x:row r="335">
      <x:c r="A335" s="74" t="n">
        <x:v>332</x:v>
      </x:c>
      <x:c r="B335" s="217" t="n">
        <x:v>43308</x:v>
      </x:c>
      <x:c r="C335" s="75" t="n">
        <x:v>2</x:v>
      </x:c>
      <x:c r="D335" s="75" t="n">
        <x:v>22</x:v>
      </x:c>
      <x:c r="E335" s="75" t="n">
        <x:v>40</x:v>
      </x:c>
      <x:c r="F335" s="75" t="n">
        <x:v>43</x:v>
      </x:c>
      <x:c r="G335" s="75" t="n">
        <x:v>50</x:v>
      </x:c>
      <x:c r="H335" s="75" t="n">
        <x:v>3</x:v>
      </x:c>
      <x:c r="I335" s="75" t="n">
        <x:v>8</x:v>
      </x:c>
      <x:c r="J335" s="75" t="n">
        <x:v>50</x:v>
      </x:c>
      <x:c r="K335" s="75" t="n">
        <x:v>10</x:v>
      </x:c>
      <x:c r="L335" s="75" t="str">
        <x:v>R2_5of50_2of10</x:v>
      </x:c>
      <x:c r="M335" s="213" t="str">
        <x:v>S1_pre_2024_studio_change_sensitivity_only</x:v>
      </x:c>
      <x:c r="N335" s="213" t="str">
        <x:v>Friday</x:v>
      </x:c>
      <x:c r="O335" s="213" t="str">
        <x:v>LottoMetrics full-history export</x:v>
      </x:c>
      <x:c r="P335" s="213" t="str">
        <x:v>Archive-sourced; calendar/range/uniqueness validated</x:v>
      </x:c>
      <x:c r="Q335" s="54" t="str"/>
    </x:row>
    <x:row r="336">
      <x:c r="A336" s="74" t="n">
        <x:v>333</x:v>
      </x:c>
      <x:c r="B336" s="217" t="n">
        <x:v>43315</x:v>
      </x:c>
      <x:c r="C336" s="75" t="n">
        <x:v>4</x:v>
      </x:c>
      <x:c r="D336" s="75" t="n">
        <x:v>8</x:v>
      </x:c>
      <x:c r="E336" s="75" t="n">
        <x:v>12</x:v>
      </x:c>
      <x:c r="F336" s="75" t="n">
        <x:v>25</x:v>
      </x:c>
      <x:c r="G336" s="75" t="n">
        <x:v>31</x:v>
      </x:c>
      <x:c r="H336" s="75" t="n">
        <x:v>7</x:v>
      </x:c>
      <x:c r="I336" s="75" t="n">
        <x:v>8</x:v>
      </x:c>
      <x:c r="J336" s="75" t="n">
        <x:v>50</x:v>
      </x:c>
      <x:c r="K336" s="75" t="n">
        <x:v>10</x:v>
      </x:c>
      <x:c r="L336" s="75" t="str">
        <x:v>R2_5of50_2of10</x:v>
      </x:c>
      <x:c r="M336" s="213" t="str">
        <x:v>S1_pre_2024_studio_change_sensitivity_only</x:v>
      </x:c>
      <x:c r="N336" s="213" t="str">
        <x:v>Friday</x:v>
      </x:c>
      <x:c r="O336" s="213" t="str">
        <x:v>LottoMetrics full-history export</x:v>
      </x:c>
      <x:c r="P336" s="213" t="str">
        <x:v>Archive-sourced; calendar/range/uniqueness validated</x:v>
      </x:c>
      <x:c r="Q336" s="54" t="str"/>
    </x:row>
    <x:row r="337">
      <x:c r="A337" s="74" t="n">
        <x:v>334</x:v>
      </x:c>
      <x:c r="B337" s="217" t="n">
        <x:v>43322</x:v>
      </x:c>
      <x:c r="C337" s="75" t="n">
        <x:v>4</x:v>
      </x:c>
      <x:c r="D337" s="75" t="n">
        <x:v>15</x:v>
      </x:c>
      <x:c r="E337" s="75" t="n">
        <x:v>17</x:v>
      </x:c>
      <x:c r="F337" s="75" t="n">
        <x:v>21</x:v>
      </x:c>
      <x:c r="G337" s="75" t="n">
        <x:v>23</x:v>
      </x:c>
      <x:c r="H337" s="75" t="n">
        <x:v>6</x:v>
      </x:c>
      <x:c r="I337" s="75" t="n">
        <x:v>7</x:v>
      </x:c>
      <x:c r="J337" s="75" t="n">
        <x:v>50</x:v>
      </x:c>
      <x:c r="K337" s="75" t="n">
        <x:v>10</x:v>
      </x:c>
      <x:c r="L337" s="75" t="str">
        <x:v>R2_5of50_2of10</x:v>
      </x:c>
      <x:c r="M337" s="213" t="str">
        <x:v>S1_pre_2024_studio_change_sensitivity_only</x:v>
      </x:c>
      <x:c r="N337" s="213" t="str">
        <x:v>Friday</x:v>
      </x:c>
      <x:c r="O337" s="213" t="str">
        <x:v>LottoMetrics full-history export</x:v>
      </x:c>
      <x:c r="P337" s="213" t="str">
        <x:v>Archive-sourced; calendar/range/uniqueness validated</x:v>
      </x:c>
      <x:c r="Q337" s="54" t="str"/>
    </x:row>
    <x:row r="338">
      <x:c r="A338" s="74" t="n">
        <x:v>335</x:v>
      </x:c>
      <x:c r="B338" s="217" t="n">
        <x:v>43329</x:v>
      </x:c>
      <x:c r="C338" s="75" t="n">
        <x:v>2</x:v>
      </x:c>
      <x:c r="D338" s="75" t="n">
        <x:v>12</x:v>
      </x:c>
      <x:c r="E338" s="75" t="n">
        <x:v>32</x:v>
      </x:c>
      <x:c r="F338" s="75" t="n">
        <x:v>43</x:v>
      </x:c>
      <x:c r="G338" s="75" t="n">
        <x:v>44</x:v>
      </x:c>
      <x:c r="H338" s="75" t="n">
        <x:v>3</x:v>
      </x:c>
      <x:c r="I338" s="75" t="n">
        <x:v>4</x:v>
      </x:c>
      <x:c r="J338" s="75" t="n">
        <x:v>50</x:v>
      </x:c>
      <x:c r="K338" s="75" t="n">
        <x:v>10</x:v>
      </x:c>
      <x:c r="L338" s="75" t="str">
        <x:v>R2_5of50_2of10</x:v>
      </x:c>
      <x:c r="M338" s="213" t="str">
        <x:v>S1_pre_2024_studio_change_sensitivity_only</x:v>
      </x:c>
      <x:c r="N338" s="213" t="str">
        <x:v>Friday</x:v>
      </x:c>
      <x:c r="O338" s="213" t="str">
        <x:v>LottoMetrics full-history export</x:v>
      </x:c>
      <x:c r="P338" s="213" t="str">
        <x:v>Archive-sourced; calendar/range/uniqueness validated</x:v>
      </x:c>
      <x:c r="Q338" s="54" t="str"/>
    </x:row>
    <x:row r="339">
      <x:c r="A339" s="74" t="n">
        <x:v>336</x:v>
      </x:c>
      <x:c r="B339" s="217" t="n">
        <x:v>43336</x:v>
      </x:c>
      <x:c r="C339" s="75" t="n">
        <x:v>8</x:v>
      </x:c>
      <x:c r="D339" s="75" t="n">
        <x:v>25</x:v>
      </x:c>
      <x:c r="E339" s="75" t="n">
        <x:v>26</x:v>
      </x:c>
      <x:c r="F339" s="75" t="n">
        <x:v>38</x:v>
      </x:c>
      <x:c r="G339" s="75" t="n">
        <x:v>48</x:v>
      </x:c>
      <x:c r="H339" s="75" t="n">
        <x:v>6</x:v>
      </x:c>
      <x:c r="I339" s="75" t="n">
        <x:v>9</x:v>
      </x:c>
      <x:c r="J339" s="75" t="n">
        <x:v>50</x:v>
      </x:c>
      <x:c r="K339" s="75" t="n">
        <x:v>10</x:v>
      </x:c>
      <x:c r="L339" s="75" t="str">
        <x:v>R2_5of50_2of10</x:v>
      </x:c>
      <x:c r="M339" s="213" t="str">
        <x:v>S1_pre_2024_studio_change_sensitivity_only</x:v>
      </x:c>
      <x:c r="N339" s="213" t="str">
        <x:v>Friday</x:v>
      </x:c>
      <x:c r="O339" s="213" t="str">
        <x:v>LottoMetrics full-history export</x:v>
      </x:c>
      <x:c r="P339" s="213" t="str">
        <x:v>Archive-sourced; calendar/range/uniqueness validated</x:v>
      </x:c>
      <x:c r="Q339" s="54" t="str"/>
    </x:row>
    <x:row r="340">
      <x:c r="A340" s="74" t="n">
        <x:v>337</x:v>
      </x:c>
      <x:c r="B340" s="217" t="n">
        <x:v>43343</x:v>
      </x:c>
      <x:c r="C340" s="75" t="n">
        <x:v>3</x:v>
      </x:c>
      <x:c r="D340" s="75" t="n">
        <x:v>6</x:v>
      </x:c>
      <x:c r="E340" s="75" t="n">
        <x:v>9</x:v>
      </x:c>
      <x:c r="F340" s="75" t="n">
        <x:v>18</x:v>
      </x:c>
      <x:c r="G340" s="75" t="n">
        <x:v>24</x:v>
      </x:c>
      <x:c r="H340" s="75" t="n">
        <x:v>2</x:v>
      </x:c>
      <x:c r="I340" s="75" t="n">
        <x:v>7</x:v>
      </x:c>
      <x:c r="J340" s="75" t="n">
        <x:v>50</x:v>
      </x:c>
      <x:c r="K340" s="75" t="n">
        <x:v>10</x:v>
      </x:c>
      <x:c r="L340" s="75" t="str">
        <x:v>R2_5of50_2of10</x:v>
      </x:c>
      <x:c r="M340" s="213" t="str">
        <x:v>S1_pre_2024_studio_change_sensitivity_only</x:v>
      </x:c>
      <x:c r="N340" s="213" t="str">
        <x:v>Friday</x:v>
      </x:c>
      <x:c r="O340" s="213" t="str">
        <x:v>LottoMetrics full-history export</x:v>
      </x:c>
      <x:c r="P340" s="213" t="str">
        <x:v>Archive-sourced; calendar/range/uniqueness validated</x:v>
      </x:c>
      <x:c r="Q340" s="54" t="str"/>
    </x:row>
    <x:row r="341">
      <x:c r="A341" s="74" t="n">
        <x:v>338</x:v>
      </x:c>
      <x:c r="B341" s="217" t="n">
        <x:v>43350</x:v>
      </x:c>
      <x:c r="C341" s="75" t="n">
        <x:v>4</x:v>
      </x:c>
      <x:c r="D341" s="75" t="n">
        <x:v>7</x:v>
      </x:c>
      <x:c r="E341" s="75" t="n">
        <x:v>28</x:v>
      </x:c>
      <x:c r="F341" s="75" t="n">
        <x:v>36</x:v>
      </x:c>
      <x:c r="G341" s="75" t="n">
        <x:v>43</x:v>
      </x:c>
      <x:c r="H341" s="75" t="n">
        <x:v>1</x:v>
      </x:c>
      <x:c r="I341" s="75" t="n">
        <x:v>6</x:v>
      </x:c>
      <x:c r="J341" s="75" t="n">
        <x:v>50</x:v>
      </x:c>
      <x:c r="K341" s="75" t="n">
        <x:v>10</x:v>
      </x:c>
      <x:c r="L341" s="75" t="str">
        <x:v>R2_5of50_2of10</x:v>
      </x:c>
      <x:c r="M341" s="213" t="str">
        <x:v>S1_pre_2024_studio_change_sensitivity_only</x:v>
      </x:c>
      <x:c r="N341" s="213" t="str">
        <x:v>Friday</x:v>
      </x:c>
      <x:c r="O341" s="213" t="str">
        <x:v>LottoMetrics full-history export</x:v>
      </x:c>
      <x:c r="P341" s="213" t="str">
        <x:v>Archive-sourced; calendar/range/uniqueness validated</x:v>
      </x:c>
      <x:c r="Q341" s="54" t="str"/>
    </x:row>
    <x:row r="342">
      <x:c r="A342" s="74" t="n">
        <x:v>339</x:v>
      </x:c>
      <x:c r="B342" s="217" t="n">
        <x:v>43357</x:v>
      </x:c>
      <x:c r="C342" s="75" t="n">
        <x:v>24</x:v>
      </x:c>
      <x:c r="D342" s="75" t="n">
        <x:v>33</x:v>
      </x:c>
      <x:c r="E342" s="75" t="n">
        <x:v>35</x:v>
      </x:c>
      <x:c r="F342" s="75" t="n">
        <x:v>46</x:v>
      </x:c>
      <x:c r="G342" s="75" t="n">
        <x:v>49</x:v>
      </x:c>
      <x:c r="H342" s="75" t="n">
        <x:v>5</x:v>
      </x:c>
      <x:c r="I342" s="75" t="n">
        <x:v>9</x:v>
      </x:c>
      <x:c r="J342" s="75" t="n">
        <x:v>50</x:v>
      </x:c>
      <x:c r="K342" s="75" t="n">
        <x:v>10</x:v>
      </x:c>
      <x:c r="L342" s="75" t="str">
        <x:v>R2_5of50_2of10</x:v>
      </x:c>
      <x:c r="M342" s="213" t="str">
        <x:v>S1_pre_2024_studio_change_sensitivity_only</x:v>
      </x:c>
      <x:c r="N342" s="213" t="str">
        <x:v>Friday</x:v>
      </x:c>
      <x:c r="O342" s="213" t="str">
        <x:v>LottoMetrics full-history export</x:v>
      </x:c>
      <x:c r="P342" s="213" t="str">
        <x:v>Archive-sourced; calendar/range/uniqueness validated</x:v>
      </x:c>
      <x:c r="Q342" s="54" t="str"/>
    </x:row>
    <x:row r="343">
      <x:c r="A343" s="74" t="n">
        <x:v>340</x:v>
      </x:c>
      <x:c r="B343" s="217" t="n">
        <x:v>43364</x:v>
      </x:c>
      <x:c r="C343" s="75" t="n">
        <x:v>5</x:v>
      </x:c>
      <x:c r="D343" s="75" t="n">
        <x:v>8</x:v>
      </x:c>
      <x:c r="E343" s="75" t="n">
        <x:v>16</x:v>
      </x:c>
      <x:c r="F343" s="75" t="n">
        <x:v>42</x:v>
      </x:c>
      <x:c r="G343" s="75" t="n">
        <x:v>46</x:v>
      </x:c>
      <x:c r="H343" s="75" t="n">
        <x:v>2</x:v>
      </x:c>
      <x:c r="I343" s="75" t="n">
        <x:v>10</x:v>
      </x:c>
      <x:c r="J343" s="75" t="n">
        <x:v>50</x:v>
      </x:c>
      <x:c r="K343" s="75" t="n">
        <x:v>10</x:v>
      </x:c>
      <x:c r="L343" s="75" t="str">
        <x:v>R2_5of50_2of10</x:v>
      </x:c>
      <x:c r="M343" s="213" t="str">
        <x:v>S1_pre_2024_studio_change_sensitivity_only</x:v>
      </x:c>
      <x:c r="N343" s="213" t="str">
        <x:v>Friday</x:v>
      </x:c>
      <x:c r="O343" s="213" t="str">
        <x:v>LottoMetrics full-history export</x:v>
      </x:c>
      <x:c r="P343" s="213" t="str">
        <x:v>Archive-sourced; calendar/range/uniqueness validated</x:v>
      </x:c>
      <x:c r="Q343" s="54" t="str"/>
    </x:row>
    <x:row r="344">
      <x:c r="A344" s="74" t="n">
        <x:v>341</x:v>
      </x:c>
      <x:c r="B344" s="217" t="n">
        <x:v>43371</x:v>
      </x:c>
      <x:c r="C344" s="75" t="n">
        <x:v>3</x:v>
      </x:c>
      <x:c r="D344" s="75" t="n">
        <x:v>8</x:v>
      </x:c>
      <x:c r="E344" s="75" t="n">
        <x:v>13</x:v>
      </x:c>
      <x:c r="F344" s="75" t="n">
        <x:v>18</x:v>
      </x:c>
      <x:c r="G344" s="75" t="n">
        <x:v>40</x:v>
      </x:c>
      <x:c r="H344" s="75" t="n">
        <x:v>6</x:v>
      </x:c>
      <x:c r="I344" s="75" t="n">
        <x:v>10</x:v>
      </x:c>
      <x:c r="J344" s="75" t="n">
        <x:v>50</x:v>
      </x:c>
      <x:c r="K344" s="75" t="n">
        <x:v>10</x:v>
      </x:c>
      <x:c r="L344" s="75" t="str">
        <x:v>R2_5of50_2of10</x:v>
      </x:c>
      <x:c r="M344" s="213" t="str">
        <x:v>S1_pre_2024_studio_change_sensitivity_only</x:v>
      </x:c>
      <x:c r="N344" s="213" t="str">
        <x:v>Friday</x:v>
      </x:c>
      <x:c r="O344" s="213" t="str">
        <x:v>LottoMetrics full-history export</x:v>
      </x:c>
      <x:c r="P344" s="213" t="str">
        <x:v>Archive-sourced; calendar/range/uniqueness validated</x:v>
      </x:c>
      <x:c r="Q344" s="54" t="str"/>
    </x:row>
    <x:row r="345">
      <x:c r="A345" s="74" t="n">
        <x:v>342</x:v>
      </x:c>
      <x:c r="B345" s="217" t="n">
        <x:v>43378</x:v>
      </x:c>
      <x:c r="C345" s="75" t="n">
        <x:v>12</x:v>
      </x:c>
      <x:c r="D345" s="75" t="n">
        <x:v>15</x:v>
      </x:c>
      <x:c r="E345" s="75" t="n">
        <x:v>32</x:v>
      </x:c>
      <x:c r="F345" s="75" t="n">
        <x:v>44</x:v>
      </x:c>
      <x:c r="G345" s="75" t="n">
        <x:v>49</x:v>
      </x:c>
      <x:c r="H345" s="75" t="n">
        <x:v>5</x:v>
      </x:c>
      <x:c r="I345" s="75" t="n">
        <x:v>7</x:v>
      </x:c>
      <x:c r="J345" s="75" t="n">
        <x:v>50</x:v>
      </x:c>
      <x:c r="K345" s="75" t="n">
        <x:v>10</x:v>
      </x:c>
      <x:c r="L345" s="75" t="str">
        <x:v>R2_5of50_2of10</x:v>
      </x:c>
      <x:c r="M345" s="213" t="str">
        <x:v>S1_pre_2024_studio_change_sensitivity_only</x:v>
      </x:c>
      <x:c r="N345" s="213" t="str">
        <x:v>Friday</x:v>
      </x:c>
      <x:c r="O345" s="213" t="str">
        <x:v>LottoMetrics full-history export</x:v>
      </x:c>
      <x:c r="P345" s="213" t="str">
        <x:v>Archive-sourced; calendar/range/uniqueness validated</x:v>
      </x:c>
      <x:c r="Q345" s="54" t="str"/>
    </x:row>
    <x:row r="346">
      <x:c r="A346" s="74" t="n">
        <x:v>343</x:v>
      </x:c>
      <x:c r="B346" s="217" t="n">
        <x:v>43385</x:v>
      </x:c>
      <x:c r="C346" s="75" t="n">
        <x:v>6</x:v>
      </x:c>
      <x:c r="D346" s="75" t="n">
        <x:v>26</x:v>
      </x:c>
      <x:c r="E346" s="75" t="n">
        <x:v>31</x:v>
      </x:c>
      <x:c r="F346" s="75" t="n">
        <x:v>42</x:v>
      </x:c>
      <x:c r="G346" s="75" t="n">
        <x:v>50</x:v>
      </x:c>
      <x:c r="H346" s="75" t="n">
        <x:v>2</x:v>
      </x:c>
      <x:c r="I346" s="75" t="n">
        <x:v>9</x:v>
      </x:c>
      <x:c r="J346" s="75" t="n">
        <x:v>50</x:v>
      </x:c>
      <x:c r="K346" s="75" t="n">
        <x:v>10</x:v>
      </x:c>
      <x:c r="L346" s="75" t="str">
        <x:v>R2_5of50_2of10</x:v>
      </x:c>
      <x:c r="M346" s="213" t="str">
        <x:v>S1_pre_2024_studio_change_sensitivity_only</x:v>
      </x:c>
      <x:c r="N346" s="213" t="str">
        <x:v>Friday</x:v>
      </x:c>
      <x:c r="O346" s="213" t="str">
        <x:v>LottoMetrics full-history export</x:v>
      </x:c>
      <x:c r="P346" s="213" t="str">
        <x:v>Archive-sourced; calendar/range/uniqueness validated</x:v>
      </x:c>
      <x:c r="Q346" s="54" t="str"/>
    </x:row>
    <x:row r="347">
      <x:c r="A347" s="74" t="n">
        <x:v>344</x:v>
      </x:c>
      <x:c r="B347" s="217" t="n">
        <x:v>43392</x:v>
      </x:c>
      <x:c r="C347" s="75" t="n">
        <x:v>9</x:v>
      </x:c>
      <x:c r="D347" s="75" t="n">
        <x:v>12</x:v>
      </x:c>
      <x:c r="E347" s="75" t="n">
        <x:v>28</x:v>
      </x:c>
      <x:c r="F347" s="75" t="n">
        <x:v>32</x:v>
      </x:c>
      <x:c r="G347" s="75" t="n">
        <x:v>48</x:v>
      </x:c>
      <x:c r="H347" s="75" t="n">
        <x:v>7</x:v>
      </x:c>
      <x:c r="I347" s="75" t="n">
        <x:v>8</x:v>
      </x:c>
      <x:c r="J347" s="75" t="n">
        <x:v>50</x:v>
      </x:c>
      <x:c r="K347" s="75" t="n">
        <x:v>10</x:v>
      </x:c>
      <x:c r="L347" s="75" t="str">
        <x:v>R2_5of50_2of10</x:v>
      </x:c>
      <x:c r="M347" s="213" t="str">
        <x:v>S1_pre_2024_studio_change_sensitivity_only</x:v>
      </x:c>
      <x:c r="N347" s="213" t="str">
        <x:v>Friday</x:v>
      </x:c>
      <x:c r="O347" s="213" t="str">
        <x:v>LottoMetrics full-history export</x:v>
      </x:c>
      <x:c r="P347" s="213" t="str">
        <x:v>Archive-sourced; calendar/range/uniqueness validated</x:v>
      </x:c>
      <x:c r="Q347" s="54" t="str"/>
    </x:row>
    <x:row r="348">
      <x:c r="A348" s="74" t="n">
        <x:v>345</x:v>
      </x:c>
      <x:c r="B348" s="217" t="n">
        <x:v>43399</x:v>
      </x:c>
      <x:c r="C348" s="75" t="n">
        <x:v>18</x:v>
      </x:c>
      <x:c r="D348" s="75" t="n">
        <x:v>19</x:v>
      </x:c>
      <x:c r="E348" s="75" t="n">
        <x:v>33</x:v>
      </x:c>
      <x:c r="F348" s="75" t="n">
        <x:v>38</x:v>
      </x:c>
      <x:c r="G348" s="75" t="n">
        <x:v>44</x:v>
      </x:c>
      <x:c r="H348" s="75" t="n">
        <x:v>4</x:v>
      </x:c>
      <x:c r="I348" s="75" t="n">
        <x:v>10</x:v>
      </x:c>
      <x:c r="J348" s="75" t="n">
        <x:v>50</x:v>
      </x:c>
      <x:c r="K348" s="75" t="n">
        <x:v>10</x:v>
      </x:c>
      <x:c r="L348" s="75" t="str">
        <x:v>R2_5of50_2of10</x:v>
      </x:c>
      <x:c r="M348" s="213" t="str">
        <x:v>S1_pre_2024_studio_change_sensitivity_only</x:v>
      </x:c>
      <x:c r="N348" s="213" t="str">
        <x:v>Friday</x:v>
      </x:c>
      <x:c r="O348" s="213" t="str">
        <x:v>LottoMetrics full-history export</x:v>
      </x:c>
      <x:c r="P348" s="213" t="str">
        <x:v>Archive-sourced; calendar/range/uniqueness validated</x:v>
      </x:c>
      <x:c r="Q348" s="54" t="str"/>
    </x:row>
    <x:row r="349">
      <x:c r="A349" s="74" t="n">
        <x:v>346</x:v>
      </x:c>
      <x:c r="B349" s="217" t="n">
        <x:v>43406</x:v>
      </x:c>
      <x:c r="C349" s="75" t="n">
        <x:v>5</x:v>
      </x:c>
      <x:c r="D349" s="75" t="n">
        <x:v>17</x:v>
      </x:c>
      <x:c r="E349" s="75" t="n">
        <x:v>27</x:v>
      </x:c>
      <x:c r="F349" s="75" t="n">
        <x:v>33</x:v>
      </x:c>
      <x:c r="G349" s="75" t="n">
        <x:v>42</x:v>
      </x:c>
      <x:c r="H349" s="75" t="n">
        <x:v>9</x:v>
      </x:c>
      <x:c r="I349" s="75" t="n">
        <x:v>10</x:v>
      </x:c>
      <x:c r="J349" s="75" t="n">
        <x:v>50</x:v>
      </x:c>
      <x:c r="K349" s="75" t="n">
        <x:v>10</x:v>
      </x:c>
      <x:c r="L349" s="75" t="str">
        <x:v>R2_5of50_2of10</x:v>
      </x:c>
      <x:c r="M349" s="213" t="str">
        <x:v>S1_pre_2024_studio_change_sensitivity_only</x:v>
      </x:c>
      <x:c r="N349" s="213" t="str">
        <x:v>Friday</x:v>
      </x:c>
      <x:c r="O349" s="213" t="str">
        <x:v>LottoMetrics full-history export</x:v>
      </x:c>
      <x:c r="P349" s="213" t="str">
        <x:v>Archive-sourced; calendar/range/uniqueness validated</x:v>
      </x:c>
      <x:c r="Q349" s="54" t="str"/>
    </x:row>
    <x:row r="350">
      <x:c r="A350" s="74" t="n">
        <x:v>347</x:v>
      </x:c>
      <x:c r="B350" s="217" t="n">
        <x:v>43413</x:v>
      </x:c>
      <x:c r="C350" s="75" t="n">
        <x:v>8</x:v>
      </x:c>
      <x:c r="D350" s="75" t="n">
        <x:v>32</x:v>
      </x:c>
      <x:c r="E350" s="75" t="n">
        <x:v>34</x:v>
      </x:c>
      <x:c r="F350" s="75" t="n">
        <x:v>46</x:v>
      </x:c>
      <x:c r="G350" s="75" t="n">
        <x:v>49</x:v>
      </x:c>
      <x:c r="H350" s="75" t="n">
        <x:v>3</x:v>
      </x:c>
      <x:c r="I350" s="75" t="n">
        <x:v>5</x:v>
      </x:c>
      <x:c r="J350" s="75" t="n">
        <x:v>50</x:v>
      </x:c>
      <x:c r="K350" s="75" t="n">
        <x:v>10</x:v>
      </x:c>
      <x:c r="L350" s="75" t="str">
        <x:v>R2_5of50_2of10</x:v>
      </x:c>
      <x:c r="M350" s="213" t="str">
        <x:v>S1_pre_2024_studio_change_sensitivity_only</x:v>
      </x:c>
      <x:c r="N350" s="213" t="str">
        <x:v>Friday</x:v>
      </x:c>
      <x:c r="O350" s="213" t="str">
        <x:v>LottoMetrics full-history export</x:v>
      </x:c>
      <x:c r="P350" s="213" t="str">
        <x:v>Archive-sourced; calendar/range/uniqueness validated</x:v>
      </x:c>
      <x:c r="Q350" s="54" t="str"/>
    </x:row>
    <x:row r="351">
      <x:c r="A351" s="74" t="n">
        <x:v>348</x:v>
      </x:c>
      <x:c r="B351" s="217" t="n">
        <x:v>43420</x:v>
      </x:c>
      <x:c r="C351" s="75" t="n">
        <x:v>13</x:v>
      </x:c>
      <x:c r="D351" s="75" t="n">
        <x:v>15</x:v>
      </x:c>
      <x:c r="E351" s="75" t="n">
        <x:v>18</x:v>
      </x:c>
      <x:c r="F351" s="75" t="n">
        <x:v>39</x:v>
      </x:c>
      <x:c r="G351" s="75" t="n">
        <x:v>45</x:v>
      </x:c>
      <x:c r="H351" s="75" t="n">
        <x:v>5</x:v>
      </x:c>
      <x:c r="I351" s="75" t="n">
        <x:v>6</x:v>
      </x:c>
      <x:c r="J351" s="75" t="n">
        <x:v>50</x:v>
      </x:c>
      <x:c r="K351" s="75" t="n">
        <x:v>10</x:v>
      </x:c>
      <x:c r="L351" s="75" t="str">
        <x:v>R2_5of50_2of10</x:v>
      </x:c>
      <x:c r="M351" s="213" t="str">
        <x:v>S1_pre_2024_studio_change_sensitivity_only</x:v>
      </x:c>
      <x:c r="N351" s="213" t="str">
        <x:v>Friday</x:v>
      </x:c>
      <x:c r="O351" s="213" t="str">
        <x:v>LottoMetrics full-history export</x:v>
      </x:c>
      <x:c r="P351" s="213" t="str">
        <x:v>Archive-sourced; calendar/range/uniqueness validated</x:v>
      </x:c>
      <x:c r="Q351" s="54" t="str"/>
    </x:row>
    <x:row r="352">
      <x:c r="A352" s="74" t="n">
        <x:v>349</x:v>
      </x:c>
      <x:c r="B352" s="217" t="n">
        <x:v>43427</x:v>
      </x:c>
      <x:c r="C352" s="75" t="n">
        <x:v>17</x:v>
      </x:c>
      <x:c r="D352" s="75" t="n">
        <x:v>22</x:v>
      </x:c>
      <x:c r="E352" s="75" t="n">
        <x:v>28</x:v>
      </x:c>
      <x:c r="F352" s="75" t="n">
        <x:v>31</x:v>
      </x:c>
      <x:c r="G352" s="75" t="n">
        <x:v>46</x:v>
      </x:c>
      <x:c r="H352" s="75" t="n">
        <x:v>5</x:v>
      </x:c>
      <x:c r="I352" s="75" t="n">
        <x:v>10</x:v>
      </x:c>
      <x:c r="J352" s="75" t="n">
        <x:v>50</x:v>
      </x:c>
      <x:c r="K352" s="75" t="n">
        <x:v>10</x:v>
      </x:c>
      <x:c r="L352" s="75" t="str">
        <x:v>R2_5of50_2of10</x:v>
      </x:c>
      <x:c r="M352" s="213" t="str">
        <x:v>S1_pre_2024_studio_change_sensitivity_only</x:v>
      </x:c>
      <x:c r="N352" s="213" t="str">
        <x:v>Friday</x:v>
      </x:c>
      <x:c r="O352" s="213" t="str">
        <x:v>LottoMetrics full-history export</x:v>
      </x:c>
      <x:c r="P352" s="213" t="str">
        <x:v>Archive-sourced; calendar/range/uniqueness validated</x:v>
      </x:c>
      <x:c r="Q352" s="54" t="str"/>
    </x:row>
    <x:row r="353">
      <x:c r="A353" s="74" t="n">
        <x:v>350</x:v>
      </x:c>
      <x:c r="B353" s="217" t="n">
        <x:v>43434</x:v>
      </x:c>
      <x:c r="C353" s="75" t="n">
        <x:v>18</x:v>
      </x:c>
      <x:c r="D353" s="75" t="n">
        <x:v>22</x:v>
      </x:c>
      <x:c r="E353" s="75" t="n">
        <x:v>35</x:v>
      </x:c>
      <x:c r="F353" s="75" t="n">
        <x:v>36</x:v>
      </x:c>
      <x:c r="G353" s="75" t="n">
        <x:v>41</x:v>
      </x:c>
      <x:c r="H353" s="75" t="n">
        <x:v>3</x:v>
      </x:c>
      <x:c r="I353" s="75" t="n">
        <x:v>4</x:v>
      </x:c>
      <x:c r="J353" s="75" t="n">
        <x:v>50</x:v>
      </x:c>
      <x:c r="K353" s="75" t="n">
        <x:v>10</x:v>
      </x:c>
      <x:c r="L353" s="75" t="str">
        <x:v>R2_5of50_2of10</x:v>
      </x:c>
      <x:c r="M353" s="213" t="str">
        <x:v>S1_pre_2024_studio_change_sensitivity_only</x:v>
      </x:c>
      <x:c r="N353" s="213" t="str">
        <x:v>Friday</x:v>
      </x:c>
      <x:c r="O353" s="213" t="str">
        <x:v>LottoMetrics full-history export</x:v>
      </x:c>
      <x:c r="P353" s="213" t="str">
        <x:v>Archive-sourced; calendar/range/uniqueness validated</x:v>
      </x:c>
      <x:c r="Q353" s="54" t="str"/>
    </x:row>
    <x:row r="354">
      <x:c r="A354" s="74" t="n">
        <x:v>351</x:v>
      </x:c>
      <x:c r="B354" s="217" t="n">
        <x:v>43441</x:v>
      </x:c>
      <x:c r="C354" s="75" t="n">
        <x:v>4</x:v>
      </x:c>
      <x:c r="D354" s="75" t="n">
        <x:v>16</x:v>
      </x:c>
      <x:c r="E354" s="75" t="n">
        <x:v>21</x:v>
      </x:c>
      <x:c r="F354" s="75" t="n">
        <x:v>31</x:v>
      </x:c>
      <x:c r="G354" s="75" t="n">
        <x:v>42</x:v>
      </x:c>
      <x:c r="H354" s="75" t="n">
        <x:v>4</x:v>
      </x:c>
      <x:c r="I354" s="75" t="n">
        <x:v>6</x:v>
      </x:c>
      <x:c r="J354" s="75" t="n">
        <x:v>50</x:v>
      </x:c>
      <x:c r="K354" s="75" t="n">
        <x:v>10</x:v>
      </x:c>
      <x:c r="L354" s="75" t="str">
        <x:v>R2_5of50_2of10</x:v>
      </x:c>
      <x:c r="M354" s="213" t="str">
        <x:v>S1_pre_2024_studio_change_sensitivity_only</x:v>
      </x:c>
      <x:c r="N354" s="213" t="str">
        <x:v>Friday</x:v>
      </x:c>
      <x:c r="O354" s="213" t="str">
        <x:v>LottoMetrics full-history export</x:v>
      </x:c>
      <x:c r="P354" s="213" t="str">
        <x:v>Archive-sourced; calendar/range/uniqueness validated</x:v>
      </x:c>
      <x:c r="Q354" s="54" t="str"/>
    </x:row>
    <x:row r="355">
      <x:c r="A355" s="74" t="n">
        <x:v>352</x:v>
      </x:c>
      <x:c r="B355" s="217" t="n">
        <x:v>43448</x:v>
      </x:c>
      <x:c r="C355" s="75" t="n">
        <x:v>4</x:v>
      </x:c>
      <x:c r="D355" s="75" t="n">
        <x:v>14</x:v>
      </x:c>
      <x:c r="E355" s="75" t="n">
        <x:v>24</x:v>
      </x:c>
      <x:c r="F355" s="75" t="n">
        <x:v>26</x:v>
      </x:c>
      <x:c r="G355" s="75" t="n">
        <x:v>30</x:v>
      </x:c>
      <x:c r="H355" s="75" t="n">
        <x:v>9</x:v>
      </x:c>
      <x:c r="I355" s="75" t="n">
        <x:v>10</x:v>
      </x:c>
      <x:c r="J355" s="75" t="n">
        <x:v>50</x:v>
      </x:c>
      <x:c r="K355" s="75" t="n">
        <x:v>10</x:v>
      </x:c>
      <x:c r="L355" s="75" t="str">
        <x:v>R2_5of50_2of10</x:v>
      </x:c>
      <x:c r="M355" s="213" t="str">
        <x:v>S1_pre_2024_studio_change_sensitivity_only</x:v>
      </x:c>
      <x:c r="N355" s="213" t="str">
        <x:v>Friday</x:v>
      </x:c>
      <x:c r="O355" s="213" t="str">
        <x:v>LottoMetrics full-history export</x:v>
      </x:c>
      <x:c r="P355" s="213" t="str">
        <x:v>Archive-sourced; calendar/range/uniqueness validated</x:v>
      </x:c>
      <x:c r="Q355" s="54" t="str"/>
    </x:row>
    <x:row r="356">
      <x:c r="A356" s="74" t="n">
        <x:v>353</x:v>
      </x:c>
      <x:c r="B356" s="217" t="n">
        <x:v>43455</x:v>
      </x:c>
      <x:c r="C356" s="75" t="n">
        <x:v>3</x:v>
      </x:c>
      <x:c r="D356" s="75" t="n">
        <x:v>16</x:v>
      </x:c>
      <x:c r="E356" s="75" t="n">
        <x:v>20</x:v>
      </x:c>
      <x:c r="F356" s="75" t="n">
        <x:v>34</x:v>
      </x:c>
      <x:c r="G356" s="75" t="n">
        <x:v>49</x:v>
      </x:c>
      <x:c r="H356" s="75" t="n">
        <x:v>2</x:v>
      </x:c>
      <x:c r="I356" s="75" t="n">
        <x:v>10</x:v>
      </x:c>
      <x:c r="J356" s="75" t="n">
        <x:v>50</x:v>
      </x:c>
      <x:c r="K356" s="75" t="n">
        <x:v>10</x:v>
      </x:c>
      <x:c r="L356" s="75" t="str">
        <x:v>R2_5of50_2of10</x:v>
      </x:c>
      <x:c r="M356" s="213" t="str">
        <x:v>S1_pre_2024_studio_change_sensitivity_only</x:v>
      </x:c>
      <x:c r="N356" s="213" t="str">
        <x:v>Friday</x:v>
      </x:c>
      <x:c r="O356" s="213" t="str">
        <x:v>LottoMetrics full-history export</x:v>
      </x:c>
      <x:c r="P356" s="213" t="str">
        <x:v>Archive-sourced; calendar/range/uniqueness validated</x:v>
      </x:c>
      <x:c r="Q356" s="54" t="str"/>
    </x:row>
    <x:row r="357">
      <x:c r="A357" s="74" t="n">
        <x:v>354</x:v>
      </x:c>
      <x:c r="B357" s="217" t="n">
        <x:v>43462</x:v>
      </x:c>
      <x:c r="C357" s="75" t="n">
        <x:v>19</x:v>
      </x:c>
      <x:c r="D357" s="75" t="n">
        <x:v>24</x:v>
      </x:c>
      <x:c r="E357" s="75" t="n">
        <x:v>31</x:v>
      </x:c>
      <x:c r="F357" s="75" t="n">
        <x:v>38</x:v>
      </x:c>
      <x:c r="G357" s="75" t="n">
        <x:v>40</x:v>
      </x:c>
      <x:c r="H357" s="75" t="n">
        <x:v>7</x:v>
      </x:c>
      <x:c r="I357" s="75" t="n">
        <x:v>10</x:v>
      </x:c>
      <x:c r="J357" s="75" t="n">
        <x:v>50</x:v>
      </x:c>
      <x:c r="K357" s="75" t="n">
        <x:v>10</x:v>
      </x:c>
      <x:c r="L357" s="75" t="str">
        <x:v>R2_5of50_2of10</x:v>
      </x:c>
      <x:c r="M357" s="213" t="str">
        <x:v>S1_pre_2024_studio_change_sensitivity_only</x:v>
      </x:c>
      <x:c r="N357" s="213" t="str">
        <x:v>Friday</x:v>
      </x:c>
      <x:c r="O357" s="213" t="str">
        <x:v>LottoMetrics full-history export</x:v>
      </x:c>
      <x:c r="P357" s="213" t="str">
        <x:v>Archive-sourced; calendar/range/uniqueness validated</x:v>
      </x:c>
      <x:c r="Q357" s="54" t="str"/>
    </x:row>
    <x:row r="358">
      <x:c r="A358" s="74" t="n">
        <x:v>355</x:v>
      </x:c>
      <x:c r="B358" s="217" t="n">
        <x:v>43469</x:v>
      </x:c>
      <x:c r="C358" s="75" t="n">
        <x:v>3</x:v>
      </x:c>
      <x:c r="D358" s="75" t="n">
        <x:v>10</x:v>
      </x:c>
      <x:c r="E358" s="75" t="n">
        <x:v>25</x:v>
      </x:c>
      <x:c r="F358" s="75" t="n">
        <x:v>32</x:v>
      </x:c>
      <x:c r="G358" s="75" t="n">
        <x:v>43</x:v>
      </x:c>
      <x:c r="H358" s="75" t="n">
        <x:v>1</x:v>
      </x:c>
      <x:c r="I358" s="75" t="n">
        <x:v>3</x:v>
      </x:c>
      <x:c r="J358" s="75" t="n">
        <x:v>50</x:v>
      </x:c>
      <x:c r="K358" s="75" t="n">
        <x:v>10</x:v>
      </x:c>
      <x:c r="L358" s="75" t="str">
        <x:v>R2_5of50_2of10</x:v>
      </x:c>
      <x:c r="M358" s="213" t="str">
        <x:v>S1_pre_2024_studio_change_sensitivity_only</x:v>
      </x:c>
      <x:c r="N358" s="213" t="str">
        <x:v>Friday</x:v>
      </x:c>
      <x:c r="O358" s="213" t="str">
        <x:v>LottoMetrics full-history export</x:v>
      </x:c>
      <x:c r="P358" s="213" t="str">
        <x:v>Archive-sourced; calendar/range/uniqueness validated</x:v>
      </x:c>
      <x:c r="Q358" s="54" t="str"/>
    </x:row>
    <x:row r="359">
      <x:c r="A359" s="74" t="n">
        <x:v>356</x:v>
      </x:c>
      <x:c r="B359" s="217" t="n">
        <x:v>43476</x:v>
      </x:c>
      <x:c r="C359" s="75" t="n">
        <x:v>6</x:v>
      </x:c>
      <x:c r="D359" s="75" t="n">
        <x:v>12</x:v>
      </x:c>
      <x:c r="E359" s="75" t="n">
        <x:v>35</x:v>
      </x:c>
      <x:c r="F359" s="75" t="n">
        <x:v>39</x:v>
      </x:c>
      <x:c r="G359" s="75" t="n">
        <x:v>49</x:v>
      </x:c>
      <x:c r="H359" s="75" t="n">
        <x:v>4</x:v>
      </x:c>
      <x:c r="I359" s="75" t="n">
        <x:v>9</x:v>
      </x:c>
      <x:c r="J359" s="75" t="n">
        <x:v>50</x:v>
      </x:c>
      <x:c r="K359" s="75" t="n">
        <x:v>10</x:v>
      </x:c>
      <x:c r="L359" s="75" t="str">
        <x:v>R2_5of50_2of10</x:v>
      </x:c>
      <x:c r="M359" s="213" t="str">
        <x:v>S1_pre_2024_studio_change_sensitivity_only</x:v>
      </x:c>
      <x:c r="N359" s="213" t="str">
        <x:v>Friday</x:v>
      </x:c>
      <x:c r="O359" s="213" t="str">
        <x:v>LottoMetrics full-history export</x:v>
      </x:c>
      <x:c r="P359" s="213" t="str">
        <x:v>Archive-sourced; calendar/range/uniqueness validated</x:v>
      </x:c>
      <x:c r="Q359" s="54" t="str"/>
    </x:row>
    <x:row r="360">
      <x:c r="A360" s="74" t="n">
        <x:v>357</x:v>
      </x:c>
      <x:c r="B360" s="217" t="n">
        <x:v>43483</x:v>
      </x:c>
      <x:c r="C360" s="75" t="n">
        <x:v>2</x:v>
      </x:c>
      <x:c r="D360" s="75" t="n">
        <x:v>9</x:v>
      </x:c>
      <x:c r="E360" s="75" t="n">
        <x:v>23</x:v>
      </x:c>
      <x:c r="F360" s="75" t="n">
        <x:v>36</x:v>
      </x:c>
      <x:c r="G360" s="75" t="n">
        <x:v>47</x:v>
      </x:c>
      <x:c r="H360" s="75" t="n">
        <x:v>2</x:v>
      </x:c>
      <x:c r="I360" s="75" t="n">
        <x:v>9</x:v>
      </x:c>
      <x:c r="J360" s="75" t="n">
        <x:v>50</x:v>
      </x:c>
      <x:c r="K360" s="75" t="n">
        <x:v>10</x:v>
      </x:c>
      <x:c r="L360" s="75" t="str">
        <x:v>R2_5of50_2of10</x:v>
      </x:c>
      <x:c r="M360" s="213" t="str">
        <x:v>S1_pre_2024_studio_change_sensitivity_only</x:v>
      </x:c>
      <x:c r="N360" s="213" t="str">
        <x:v>Friday</x:v>
      </x:c>
      <x:c r="O360" s="213" t="str">
        <x:v>LottoMetrics full-history export</x:v>
      </x:c>
      <x:c r="P360" s="213" t="str">
        <x:v>Archive-sourced; calendar/range/uniqueness validated</x:v>
      </x:c>
      <x:c r="Q360" s="54" t="str"/>
    </x:row>
    <x:row r="361">
      <x:c r="A361" s="74" t="n">
        <x:v>358</x:v>
      </x:c>
      <x:c r="B361" s="217" t="n">
        <x:v>43490</x:v>
      </x:c>
      <x:c r="C361" s="75" t="n">
        <x:v>24</x:v>
      </x:c>
      <x:c r="D361" s="75" t="n">
        <x:v>25</x:v>
      </x:c>
      <x:c r="E361" s="75" t="n">
        <x:v>28</x:v>
      </x:c>
      <x:c r="F361" s="75" t="n">
        <x:v>35</x:v>
      </x:c>
      <x:c r="G361" s="75" t="n">
        <x:v>48</x:v>
      </x:c>
      <x:c r="H361" s="75" t="n">
        <x:v>4</x:v>
      </x:c>
      <x:c r="I361" s="75" t="n">
        <x:v>8</x:v>
      </x:c>
      <x:c r="J361" s="75" t="n">
        <x:v>50</x:v>
      </x:c>
      <x:c r="K361" s="75" t="n">
        <x:v>10</x:v>
      </x:c>
      <x:c r="L361" s="75" t="str">
        <x:v>R2_5of50_2of10</x:v>
      </x:c>
      <x:c r="M361" s="213" t="str">
        <x:v>S1_pre_2024_studio_change_sensitivity_only</x:v>
      </x:c>
      <x:c r="N361" s="213" t="str">
        <x:v>Friday</x:v>
      </x:c>
      <x:c r="O361" s="213" t="str">
        <x:v>LottoMetrics full-history export</x:v>
      </x:c>
      <x:c r="P361" s="213" t="str">
        <x:v>Archive-sourced; calendar/range/uniqueness validated</x:v>
      </x:c>
      <x:c r="Q361" s="54" t="str"/>
    </x:row>
    <x:row r="362">
      <x:c r="A362" s="74" t="n">
        <x:v>359</x:v>
      </x:c>
      <x:c r="B362" s="217" t="n">
        <x:v>43497</x:v>
      </x:c>
      <x:c r="C362" s="75" t="n">
        <x:v>6</x:v>
      </x:c>
      <x:c r="D362" s="75" t="n">
        <x:v>29</x:v>
      </x:c>
      <x:c r="E362" s="75" t="n">
        <x:v>38</x:v>
      </x:c>
      <x:c r="F362" s="75" t="n">
        <x:v>45</x:v>
      </x:c>
      <x:c r="G362" s="75" t="n">
        <x:v>47</x:v>
      </x:c>
      <x:c r="H362" s="75" t="n">
        <x:v>2</x:v>
      </x:c>
      <x:c r="I362" s="75" t="n">
        <x:v>3</x:v>
      </x:c>
      <x:c r="J362" s="75" t="n">
        <x:v>50</x:v>
      </x:c>
      <x:c r="K362" s="75" t="n">
        <x:v>10</x:v>
      </x:c>
      <x:c r="L362" s="75" t="str">
        <x:v>R2_5of50_2of10</x:v>
      </x:c>
      <x:c r="M362" s="213" t="str">
        <x:v>S1_pre_2024_studio_change_sensitivity_only</x:v>
      </x:c>
      <x:c r="N362" s="213" t="str">
        <x:v>Friday</x:v>
      </x:c>
      <x:c r="O362" s="213" t="str">
        <x:v>LottoMetrics full-history export</x:v>
      </x:c>
      <x:c r="P362" s="213" t="str">
        <x:v>Archive-sourced; calendar/range/uniqueness validated</x:v>
      </x:c>
      <x:c r="Q362" s="54" t="str"/>
    </x:row>
    <x:row r="363">
      <x:c r="A363" s="74" t="n">
        <x:v>360</x:v>
      </x:c>
      <x:c r="B363" s="217" t="n">
        <x:v>43504</x:v>
      </x:c>
      <x:c r="C363" s="75" t="n">
        <x:v>5</x:v>
      </x:c>
      <x:c r="D363" s="75" t="n">
        <x:v>8</x:v>
      </x:c>
      <x:c r="E363" s="75" t="n">
        <x:v>21</x:v>
      </x:c>
      <x:c r="F363" s="75" t="n">
        <x:v>24</x:v>
      </x:c>
      <x:c r="G363" s="75" t="n">
        <x:v>26</x:v>
      </x:c>
      <x:c r="H363" s="75" t="n">
        <x:v>4</x:v>
      </x:c>
      <x:c r="I363" s="75" t="n">
        <x:v>5</x:v>
      </x:c>
      <x:c r="J363" s="75" t="n">
        <x:v>50</x:v>
      </x:c>
      <x:c r="K363" s="75" t="n">
        <x:v>10</x:v>
      </x:c>
      <x:c r="L363" s="75" t="str">
        <x:v>R2_5of50_2of10</x:v>
      </x:c>
      <x:c r="M363" s="213" t="str">
        <x:v>S1_pre_2024_studio_change_sensitivity_only</x:v>
      </x:c>
      <x:c r="N363" s="213" t="str">
        <x:v>Friday</x:v>
      </x:c>
      <x:c r="O363" s="213" t="str">
        <x:v>LottoMetrics full-history export</x:v>
      </x:c>
      <x:c r="P363" s="213" t="str">
        <x:v>Archive-sourced; calendar/range/uniqueness validated</x:v>
      </x:c>
      <x:c r="Q363" s="54" t="str"/>
    </x:row>
    <x:row r="364">
      <x:c r="A364" s="74" t="n">
        <x:v>361</x:v>
      </x:c>
      <x:c r="B364" s="217" t="n">
        <x:v>43511</x:v>
      </x:c>
      <x:c r="C364" s="75" t="n">
        <x:v>1</x:v>
      </x:c>
      <x:c r="D364" s="75" t="n">
        <x:v>24</x:v>
      </x:c>
      <x:c r="E364" s="75" t="n">
        <x:v>30</x:v>
      </x:c>
      <x:c r="F364" s="75" t="n">
        <x:v>31</x:v>
      </x:c>
      <x:c r="G364" s="75" t="n">
        <x:v>47</x:v>
      </x:c>
      <x:c r="H364" s="75" t="n">
        <x:v>7</x:v>
      </x:c>
      <x:c r="I364" s="75" t="n">
        <x:v>9</x:v>
      </x:c>
      <x:c r="J364" s="75" t="n">
        <x:v>50</x:v>
      </x:c>
      <x:c r="K364" s="75" t="n">
        <x:v>10</x:v>
      </x:c>
      <x:c r="L364" s="75" t="str">
        <x:v>R2_5of50_2of10</x:v>
      </x:c>
      <x:c r="M364" s="213" t="str">
        <x:v>S1_pre_2024_studio_change_sensitivity_only</x:v>
      </x:c>
      <x:c r="N364" s="213" t="str">
        <x:v>Friday</x:v>
      </x:c>
      <x:c r="O364" s="213" t="str">
        <x:v>LottoMetrics full-history export</x:v>
      </x:c>
      <x:c r="P364" s="213" t="str">
        <x:v>Archive-sourced; calendar/range/uniqueness validated</x:v>
      </x:c>
      <x:c r="Q364" s="54" t="str"/>
    </x:row>
    <x:row r="365">
      <x:c r="A365" s="74" t="n">
        <x:v>362</x:v>
      </x:c>
      <x:c r="B365" s="217" t="n">
        <x:v>43518</x:v>
      </x:c>
      <x:c r="C365" s="75" t="n">
        <x:v>14</x:v>
      </x:c>
      <x:c r="D365" s="75" t="n">
        <x:v>16</x:v>
      </x:c>
      <x:c r="E365" s="75" t="n">
        <x:v>21</x:v>
      </x:c>
      <x:c r="F365" s="75" t="n">
        <x:v>25</x:v>
      </x:c>
      <x:c r="G365" s="75" t="n">
        <x:v>26</x:v>
      </x:c>
      <x:c r="H365" s="75" t="n">
        <x:v>8</x:v>
      </x:c>
      <x:c r="I365" s="75" t="n">
        <x:v>10</x:v>
      </x:c>
      <x:c r="J365" s="75" t="n">
        <x:v>50</x:v>
      </x:c>
      <x:c r="K365" s="75" t="n">
        <x:v>10</x:v>
      </x:c>
      <x:c r="L365" s="75" t="str">
        <x:v>R2_5of50_2of10</x:v>
      </x:c>
      <x:c r="M365" s="213" t="str">
        <x:v>S1_pre_2024_studio_change_sensitivity_only</x:v>
      </x:c>
      <x:c r="N365" s="213" t="str">
        <x:v>Friday</x:v>
      </x:c>
      <x:c r="O365" s="213" t="str">
        <x:v>LottoMetrics full-history export</x:v>
      </x:c>
      <x:c r="P365" s="213" t="str">
        <x:v>Archive-sourced; calendar/range/uniqueness validated</x:v>
      </x:c>
      <x:c r="Q365" s="54" t="str"/>
    </x:row>
    <x:row r="366">
      <x:c r="A366" s="74" t="n">
        <x:v>363</x:v>
      </x:c>
      <x:c r="B366" s="217" t="n">
        <x:v>43525</x:v>
      </x:c>
      <x:c r="C366" s="75" t="n">
        <x:v>7</x:v>
      </x:c>
      <x:c r="D366" s="75" t="n">
        <x:v>16</x:v>
      </x:c>
      <x:c r="E366" s="75" t="n">
        <x:v>18</x:v>
      </x:c>
      <x:c r="F366" s="75" t="n">
        <x:v>19</x:v>
      </x:c>
      <x:c r="G366" s="75" t="n">
        <x:v>24</x:v>
      </x:c>
      <x:c r="H366" s="75" t="n">
        <x:v>1</x:v>
      </x:c>
      <x:c r="I366" s="75" t="n">
        <x:v>6</x:v>
      </x:c>
      <x:c r="J366" s="75" t="n">
        <x:v>50</x:v>
      </x:c>
      <x:c r="K366" s="75" t="n">
        <x:v>10</x:v>
      </x:c>
      <x:c r="L366" s="75" t="str">
        <x:v>R2_5of50_2of10</x:v>
      </x:c>
      <x:c r="M366" s="213" t="str">
        <x:v>S1_pre_2024_studio_change_sensitivity_only</x:v>
      </x:c>
      <x:c r="N366" s="213" t="str">
        <x:v>Friday</x:v>
      </x:c>
      <x:c r="O366" s="213" t="str">
        <x:v>LottoMetrics full-history export</x:v>
      </x:c>
      <x:c r="P366" s="213" t="str">
        <x:v>Archive-sourced; calendar/range/uniqueness validated</x:v>
      </x:c>
      <x:c r="Q366" s="54" t="str"/>
    </x:row>
    <x:row r="367">
      <x:c r="A367" s="74" t="n">
        <x:v>364</x:v>
      </x:c>
      <x:c r="B367" s="217" t="n">
        <x:v>43532</x:v>
      </x:c>
      <x:c r="C367" s="75" t="n">
        <x:v>4</x:v>
      </x:c>
      <x:c r="D367" s="75" t="n">
        <x:v>29</x:v>
      </x:c>
      <x:c r="E367" s="75" t="n">
        <x:v>30</x:v>
      </x:c>
      <x:c r="F367" s="75" t="n">
        <x:v>31</x:v>
      </x:c>
      <x:c r="G367" s="75" t="n">
        <x:v>45</x:v>
      </x:c>
      <x:c r="H367" s="75" t="n">
        <x:v>1</x:v>
      </x:c>
      <x:c r="I367" s="75" t="n">
        <x:v>7</x:v>
      </x:c>
      <x:c r="J367" s="75" t="n">
        <x:v>50</x:v>
      </x:c>
      <x:c r="K367" s="75" t="n">
        <x:v>10</x:v>
      </x:c>
      <x:c r="L367" s="75" t="str">
        <x:v>R2_5of50_2of10</x:v>
      </x:c>
      <x:c r="M367" s="213" t="str">
        <x:v>S1_pre_2024_studio_change_sensitivity_only</x:v>
      </x:c>
      <x:c r="N367" s="213" t="str">
        <x:v>Friday</x:v>
      </x:c>
      <x:c r="O367" s="213" t="str">
        <x:v>LottoMetrics full-history export</x:v>
      </x:c>
      <x:c r="P367" s="213" t="str">
        <x:v>Archive-sourced; calendar/range/uniqueness validated</x:v>
      </x:c>
      <x:c r="Q367" s="54" t="str"/>
    </x:row>
    <x:row r="368">
      <x:c r="A368" s="74" t="n">
        <x:v>365</x:v>
      </x:c>
      <x:c r="B368" s="217" t="n">
        <x:v>43539</x:v>
      </x:c>
      <x:c r="C368" s="75" t="n">
        <x:v>1</x:v>
      </x:c>
      <x:c r="D368" s="75" t="n">
        <x:v>2</x:v>
      </x:c>
      <x:c r="E368" s="75" t="n">
        <x:v>11</x:v>
      </x:c>
      <x:c r="F368" s="75" t="n">
        <x:v>19</x:v>
      </x:c>
      <x:c r="G368" s="75" t="n">
        <x:v>47</x:v>
      </x:c>
      <x:c r="H368" s="75" t="n">
        <x:v>2</x:v>
      </x:c>
      <x:c r="I368" s="75" t="n">
        <x:v>7</x:v>
      </x:c>
      <x:c r="J368" s="75" t="n">
        <x:v>50</x:v>
      </x:c>
      <x:c r="K368" s="75" t="n">
        <x:v>10</x:v>
      </x:c>
      <x:c r="L368" s="75" t="str">
        <x:v>R2_5of50_2of10</x:v>
      </x:c>
      <x:c r="M368" s="213" t="str">
        <x:v>S1_pre_2024_studio_change_sensitivity_only</x:v>
      </x:c>
      <x:c r="N368" s="213" t="str">
        <x:v>Friday</x:v>
      </x:c>
      <x:c r="O368" s="213" t="str">
        <x:v>LottoMetrics full-history export</x:v>
      </x:c>
      <x:c r="P368" s="213" t="str">
        <x:v>Archive-sourced; calendar/range/uniqueness validated</x:v>
      </x:c>
      <x:c r="Q368" s="54" t="str"/>
    </x:row>
    <x:row r="369">
      <x:c r="A369" s="74" t="n">
        <x:v>366</x:v>
      </x:c>
      <x:c r="B369" s="217" t="n">
        <x:v>43546</x:v>
      </x:c>
      <x:c r="C369" s="75" t="n">
        <x:v>15</x:v>
      </x:c>
      <x:c r="D369" s="75" t="n">
        <x:v>20</x:v>
      </x:c>
      <x:c r="E369" s="75" t="n">
        <x:v>24</x:v>
      </x:c>
      <x:c r="F369" s="75" t="n">
        <x:v>44</x:v>
      </x:c>
      <x:c r="G369" s="75" t="n">
        <x:v>49</x:v>
      </x:c>
      <x:c r="H369" s="75" t="n">
        <x:v>7</x:v>
      </x:c>
      <x:c r="I369" s="75" t="n">
        <x:v>9</x:v>
      </x:c>
      <x:c r="J369" s="75" t="n">
        <x:v>50</x:v>
      </x:c>
      <x:c r="K369" s="75" t="n">
        <x:v>10</x:v>
      </x:c>
      <x:c r="L369" s="75" t="str">
        <x:v>R2_5of50_2of10</x:v>
      </x:c>
      <x:c r="M369" s="213" t="str">
        <x:v>S1_pre_2024_studio_change_sensitivity_only</x:v>
      </x:c>
      <x:c r="N369" s="213" t="str">
        <x:v>Friday</x:v>
      </x:c>
      <x:c r="O369" s="213" t="str">
        <x:v>LottoMetrics full-history export</x:v>
      </x:c>
      <x:c r="P369" s="213" t="str">
        <x:v>Archive-sourced; calendar/range/uniqueness validated</x:v>
      </x:c>
      <x:c r="Q369" s="54" t="str"/>
    </x:row>
    <x:row r="370">
      <x:c r="A370" s="74" t="n">
        <x:v>367</x:v>
      </x:c>
      <x:c r="B370" s="217" t="n">
        <x:v>43553</x:v>
      </x:c>
      <x:c r="C370" s="75" t="n">
        <x:v>4</x:v>
      </x:c>
      <x:c r="D370" s="75" t="n">
        <x:v>9</x:v>
      </x:c>
      <x:c r="E370" s="75" t="n">
        <x:v>15</x:v>
      </x:c>
      <x:c r="F370" s="75" t="n">
        <x:v>24</x:v>
      </x:c>
      <x:c r="G370" s="75" t="n">
        <x:v>42</x:v>
      </x:c>
      <x:c r="H370" s="75" t="n">
        <x:v>8</x:v>
      </x:c>
      <x:c r="I370" s="75" t="n">
        <x:v>9</x:v>
      </x:c>
      <x:c r="J370" s="75" t="n">
        <x:v>50</x:v>
      </x:c>
      <x:c r="K370" s="75" t="n">
        <x:v>10</x:v>
      </x:c>
      <x:c r="L370" s="75" t="str">
        <x:v>R2_5of50_2of10</x:v>
      </x:c>
      <x:c r="M370" s="213" t="str">
        <x:v>S1_pre_2024_studio_change_sensitivity_only</x:v>
      </x:c>
      <x:c r="N370" s="213" t="str">
        <x:v>Friday</x:v>
      </x:c>
      <x:c r="O370" s="213" t="str">
        <x:v>LottoMetrics full-history export</x:v>
      </x:c>
      <x:c r="P370" s="213" t="str">
        <x:v>Archive-sourced; calendar/range/uniqueness validated</x:v>
      </x:c>
      <x:c r="Q370" s="54" t="str"/>
    </x:row>
    <x:row r="371">
      <x:c r="A371" s="74" t="n">
        <x:v>368</x:v>
      </x:c>
      <x:c r="B371" s="217" t="n">
        <x:v>43560</x:v>
      </x:c>
      <x:c r="C371" s="75" t="n">
        <x:v>22</x:v>
      </x:c>
      <x:c r="D371" s="75" t="n">
        <x:v>31</x:v>
      </x:c>
      <x:c r="E371" s="75" t="n">
        <x:v>43</x:v>
      </x:c>
      <x:c r="F371" s="75" t="n">
        <x:v>44</x:v>
      </x:c>
      <x:c r="G371" s="75" t="n">
        <x:v>50</x:v>
      </x:c>
      <x:c r="H371" s="75" t="n">
        <x:v>1</x:v>
      </x:c>
      <x:c r="I371" s="75" t="n">
        <x:v>9</x:v>
      </x:c>
      <x:c r="J371" s="75" t="n">
        <x:v>50</x:v>
      </x:c>
      <x:c r="K371" s="75" t="n">
        <x:v>10</x:v>
      </x:c>
      <x:c r="L371" s="75" t="str">
        <x:v>R2_5of50_2of10</x:v>
      </x:c>
      <x:c r="M371" s="213" t="str">
        <x:v>S1_pre_2024_studio_change_sensitivity_only</x:v>
      </x:c>
      <x:c r="N371" s="213" t="str">
        <x:v>Friday</x:v>
      </x:c>
      <x:c r="O371" s="213" t="str">
        <x:v>LottoMetrics full-history export</x:v>
      </x:c>
      <x:c r="P371" s="213" t="str">
        <x:v>Archive-sourced; calendar/range/uniqueness validated</x:v>
      </x:c>
      <x:c r="Q371" s="54" t="str"/>
    </x:row>
    <x:row r="372">
      <x:c r="A372" s="74" t="n">
        <x:v>369</x:v>
      </x:c>
      <x:c r="B372" s="217" t="n">
        <x:v>43567</x:v>
      </x:c>
      <x:c r="C372" s="75" t="n">
        <x:v>14</x:v>
      </x:c>
      <x:c r="D372" s="75" t="n">
        <x:v>16</x:v>
      </x:c>
      <x:c r="E372" s="75" t="n">
        <x:v>21</x:v>
      </x:c>
      <x:c r="F372" s="75" t="n">
        <x:v>30</x:v>
      </x:c>
      <x:c r="G372" s="75" t="n">
        <x:v>37</x:v>
      </x:c>
      <x:c r="H372" s="75" t="n">
        <x:v>4</x:v>
      </x:c>
      <x:c r="I372" s="75" t="n">
        <x:v>8</x:v>
      </x:c>
      <x:c r="J372" s="75" t="n">
        <x:v>50</x:v>
      </x:c>
      <x:c r="K372" s="75" t="n">
        <x:v>10</x:v>
      </x:c>
      <x:c r="L372" s="75" t="str">
        <x:v>R2_5of50_2of10</x:v>
      </x:c>
      <x:c r="M372" s="213" t="str">
        <x:v>S1_pre_2024_studio_change_sensitivity_only</x:v>
      </x:c>
      <x:c r="N372" s="213" t="str">
        <x:v>Friday</x:v>
      </x:c>
      <x:c r="O372" s="213" t="str">
        <x:v>LottoMetrics full-history export</x:v>
      </x:c>
      <x:c r="P372" s="213" t="str">
        <x:v>Archive-sourced; calendar/range/uniqueness validated</x:v>
      </x:c>
      <x:c r="Q372" s="54" t="str"/>
    </x:row>
    <x:row r="373">
      <x:c r="A373" s="74" t="n">
        <x:v>370</x:v>
      </x:c>
      <x:c r="B373" s="217" t="n">
        <x:v>43574</x:v>
      </x:c>
      <x:c r="C373" s="75" t="n">
        <x:v>18</x:v>
      </x:c>
      <x:c r="D373" s="75" t="n">
        <x:v>21</x:v>
      </x:c>
      <x:c r="E373" s="75" t="n">
        <x:v>37</x:v>
      </x:c>
      <x:c r="F373" s="75" t="n">
        <x:v>43</x:v>
      </x:c>
      <x:c r="G373" s="75" t="n">
        <x:v>47</x:v>
      </x:c>
      <x:c r="H373" s="75" t="n">
        <x:v>1</x:v>
      </x:c>
      <x:c r="I373" s="75" t="n">
        <x:v>3</x:v>
      </x:c>
      <x:c r="J373" s="75" t="n">
        <x:v>50</x:v>
      </x:c>
      <x:c r="K373" s="75" t="n">
        <x:v>10</x:v>
      </x:c>
      <x:c r="L373" s="75" t="str">
        <x:v>R2_5of50_2of10</x:v>
      </x:c>
      <x:c r="M373" s="213" t="str">
        <x:v>S1_pre_2024_studio_change_sensitivity_only</x:v>
      </x:c>
      <x:c r="N373" s="213" t="str">
        <x:v>Friday</x:v>
      </x:c>
      <x:c r="O373" s="213" t="str">
        <x:v>LottoMetrics full-history export</x:v>
      </x:c>
      <x:c r="P373" s="213" t="str">
        <x:v>Archive-sourced; calendar/range/uniqueness validated</x:v>
      </x:c>
      <x:c r="Q373" s="54" t="str"/>
    </x:row>
    <x:row r="374">
      <x:c r="A374" s="74" t="n">
        <x:v>371</x:v>
      </x:c>
      <x:c r="B374" s="217" t="n">
        <x:v>43581</x:v>
      </x:c>
      <x:c r="C374" s="75" t="n">
        <x:v>1</x:v>
      </x:c>
      <x:c r="D374" s="75" t="n">
        <x:v>6</x:v>
      </x:c>
      <x:c r="E374" s="75" t="n">
        <x:v>11</x:v>
      </x:c>
      <x:c r="F374" s="75" t="n">
        <x:v>17</x:v>
      </x:c>
      <x:c r="G374" s="75" t="n">
        <x:v>38</x:v>
      </x:c>
      <x:c r="H374" s="75" t="n">
        <x:v>4</x:v>
      </x:c>
      <x:c r="I374" s="75" t="n">
        <x:v>8</x:v>
      </x:c>
      <x:c r="J374" s="75" t="n">
        <x:v>50</x:v>
      </x:c>
      <x:c r="K374" s="75" t="n">
        <x:v>10</x:v>
      </x:c>
      <x:c r="L374" s="75" t="str">
        <x:v>R2_5of50_2of10</x:v>
      </x:c>
      <x:c r="M374" s="213" t="str">
        <x:v>S1_pre_2024_studio_change_sensitivity_only</x:v>
      </x:c>
      <x:c r="N374" s="213" t="str">
        <x:v>Friday</x:v>
      </x:c>
      <x:c r="O374" s="213" t="str">
        <x:v>LottoMetrics full-history export</x:v>
      </x:c>
      <x:c r="P374" s="213" t="str">
        <x:v>Archive-sourced; calendar/range/uniqueness validated</x:v>
      </x:c>
      <x:c r="Q374" s="54" t="str"/>
    </x:row>
    <x:row r="375">
      <x:c r="A375" s="74" t="n">
        <x:v>372</x:v>
      </x:c>
      <x:c r="B375" s="217" t="n">
        <x:v>43588</x:v>
      </x:c>
      <x:c r="C375" s="75" t="n">
        <x:v>3</x:v>
      </x:c>
      <x:c r="D375" s="75" t="n">
        <x:v>9</x:v>
      </x:c>
      <x:c r="E375" s="75" t="n">
        <x:v>10</x:v>
      </x:c>
      <x:c r="F375" s="75" t="n">
        <x:v>19</x:v>
      </x:c>
      <x:c r="G375" s="75" t="n">
        <x:v>42</x:v>
      </x:c>
      <x:c r="H375" s="75" t="n">
        <x:v>1</x:v>
      </x:c>
      <x:c r="I375" s="75" t="n">
        <x:v>7</x:v>
      </x:c>
      <x:c r="J375" s="75" t="n">
        <x:v>50</x:v>
      </x:c>
      <x:c r="K375" s="75" t="n">
        <x:v>10</x:v>
      </x:c>
      <x:c r="L375" s="75" t="str">
        <x:v>R2_5of50_2of10</x:v>
      </x:c>
      <x:c r="M375" s="213" t="str">
        <x:v>S1_pre_2024_studio_change_sensitivity_only</x:v>
      </x:c>
      <x:c r="N375" s="213" t="str">
        <x:v>Friday</x:v>
      </x:c>
      <x:c r="O375" s="213" t="str">
        <x:v>LottoMetrics full-history export</x:v>
      </x:c>
      <x:c r="P375" s="213" t="str">
        <x:v>Archive-sourced; calendar/range/uniqueness validated</x:v>
      </x:c>
      <x:c r="Q375" s="54" t="str"/>
    </x:row>
    <x:row r="376">
      <x:c r="A376" s="74" t="n">
        <x:v>373</x:v>
      </x:c>
      <x:c r="B376" s="217" t="n">
        <x:v>43595</x:v>
      </x:c>
      <x:c r="C376" s="75" t="n">
        <x:v>5</x:v>
      </x:c>
      <x:c r="D376" s="75" t="n">
        <x:v>7</x:v>
      </x:c>
      <x:c r="E376" s="75" t="n">
        <x:v>15</x:v>
      </x:c>
      <x:c r="F376" s="75" t="n">
        <x:v>19</x:v>
      </x:c>
      <x:c r="G376" s="75" t="n">
        <x:v>29</x:v>
      </x:c>
      <x:c r="H376" s="75" t="n">
        <x:v>3</x:v>
      </x:c>
      <x:c r="I376" s="75" t="n">
        <x:v>8</x:v>
      </x:c>
      <x:c r="J376" s="75" t="n">
        <x:v>50</x:v>
      </x:c>
      <x:c r="K376" s="75" t="n">
        <x:v>10</x:v>
      </x:c>
      <x:c r="L376" s="75" t="str">
        <x:v>R2_5of50_2of10</x:v>
      </x:c>
      <x:c r="M376" s="213" t="str">
        <x:v>S1_pre_2024_studio_change_sensitivity_only</x:v>
      </x:c>
      <x:c r="N376" s="213" t="str">
        <x:v>Friday</x:v>
      </x:c>
      <x:c r="O376" s="213" t="str">
        <x:v>LottoMetrics full-history export</x:v>
      </x:c>
      <x:c r="P376" s="213" t="str">
        <x:v>Archive-sourced; calendar/range/uniqueness validated</x:v>
      </x:c>
      <x:c r="Q376" s="54" t="str"/>
    </x:row>
    <x:row r="377">
      <x:c r="A377" s="74" t="n">
        <x:v>374</x:v>
      </x:c>
      <x:c r="B377" s="217" t="n">
        <x:v>43602</x:v>
      </x:c>
      <x:c r="C377" s="75" t="n">
        <x:v>20</x:v>
      </x:c>
      <x:c r="D377" s="75" t="n">
        <x:v>27</x:v>
      </x:c>
      <x:c r="E377" s="75" t="n">
        <x:v>33</x:v>
      </x:c>
      <x:c r="F377" s="75" t="n">
        <x:v>35</x:v>
      </x:c>
      <x:c r="G377" s="75" t="n">
        <x:v>46</x:v>
      </x:c>
      <x:c r="H377" s="75" t="n">
        <x:v>5</x:v>
      </x:c>
      <x:c r="I377" s="75" t="n">
        <x:v>9</x:v>
      </x:c>
      <x:c r="J377" s="75" t="n">
        <x:v>50</x:v>
      </x:c>
      <x:c r="K377" s="75" t="n">
        <x:v>10</x:v>
      </x:c>
      <x:c r="L377" s="75" t="str">
        <x:v>R2_5of50_2of10</x:v>
      </x:c>
      <x:c r="M377" s="213" t="str">
        <x:v>S1_pre_2024_studio_change_sensitivity_only</x:v>
      </x:c>
      <x:c r="N377" s="213" t="str">
        <x:v>Friday</x:v>
      </x:c>
      <x:c r="O377" s="213" t="str">
        <x:v>LottoMetrics full-history export</x:v>
      </x:c>
      <x:c r="P377" s="213" t="str">
        <x:v>Archive-sourced; calendar/range/uniqueness validated</x:v>
      </x:c>
      <x:c r="Q377" s="54" t="str"/>
    </x:row>
    <x:row r="378">
      <x:c r="A378" s="74" t="n">
        <x:v>375</x:v>
      </x:c>
      <x:c r="B378" s="217" t="n">
        <x:v>43609</x:v>
      </x:c>
      <x:c r="C378" s="75" t="n">
        <x:v>8</x:v>
      </x:c>
      <x:c r="D378" s="75" t="n">
        <x:v>26</x:v>
      </x:c>
      <x:c r="E378" s="75" t="n">
        <x:v>38</x:v>
      </x:c>
      <x:c r="F378" s="75" t="n">
        <x:v>47</x:v>
      </x:c>
      <x:c r="G378" s="75" t="n">
        <x:v>50</x:v>
      </x:c>
      <x:c r="H378" s="75" t="n">
        <x:v>3</x:v>
      </x:c>
      <x:c r="I378" s="75" t="n">
        <x:v>7</x:v>
      </x:c>
      <x:c r="J378" s="75" t="n">
        <x:v>50</x:v>
      </x:c>
      <x:c r="K378" s="75" t="n">
        <x:v>10</x:v>
      </x:c>
      <x:c r="L378" s="75" t="str">
        <x:v>R2_5of50_2of10</x:v>
      </x:c>
      <x:c r="M378" s="213" t="str">
        <x:v>S1_pre_2024_studio_change_sensitivity_only</x:v>
      </x:c>
      <x:c r="N378" s="213" t="str">
        <x:v>Friday</x:v>
      </x:c>
      <x:c r="O378" s="213" t="str">
        <x:v>LottoMetrics full-history export</x:v>
      </x:c>
      <x:c r="P378" s="213" t="str">
        <x:v>Archive-sourced; calendar/range/uniqueness validated</x:v>
      </x:c>
      <x:c r="Q378" s="54" t="str"/>
    </x:row>
    <x:row r="379">
      <x:c r="A379" s="74" t="n">
        <x:v>376</x:v>
      </x:c>
      <x:c r="B379" s="217" t="n">
        <x:v>43616</x:v>
      </x:c>
      <x:c r="C379" s="75" t="n">
        <x:v>10</x:v>
      </x:c>
      <x:c r="D379" s="75" t="n">
        <x:v>12</x:v>
      </x:c>
      <x:c r="E379" s="75" t="n">
        <x:v>35</x:v>
      </x:c>
      <x:c r="F379" s="75" t="n">
        <x:v>36</x:v>
      </x:c>
      <x:c r="G379" s="75" t="n">
        <x:v>43</x:v>
      </x:c>
      <x:c r="H379" s="75" t="n">
        <x:v>2</x:v>
      </x:c>
      <x:c r="I379" s="75" t="n">
        <x:v>5</x:v>
      </x:c>
      <x:c r="J379" s="75" t="n">
        <x:v>50</x:v>
      </x:c>
      <x:c r="K379" s="75" t="n">
        <x:v>10</x:v>
      </x:c>
      <x:c r="L379" s="75" t="str">
        <x:v>R2_5of50_2of10</x:v>
      </x:c>
      <x:c r="M379" s="213" t="str">
        <x:v>S1_pre_2024_studio_change_sensitivity_only</x:v>
      </x:c>
      <x:c r="N379" s="213" t="str">
        <x:v>Friday</x:v>
      </x:c>
      <x:c r="O379" s="213" t="str">
        <x:v>LottoMetrics full-history export</x:v>
      </x:c>
      <x:c r="P379" s="213" t="str">
        <x:v>Archive-sourced; calendar/range/uniqueness validated</x:v>
      </x:c>
      <x:c r="Q379" s="54" t="str"/>
    </x:row>
    <x:row r="380">
      <x:c r="A380" s="74" t="n">
        <x:v>377</x:v>
      </x:c>
      <x:c r="B380" s="217" t="n">
        <x:v>43623</x:v>
      </x:c>
      <x:c r="C380" s="75" t="n">
        <x:v>7</x:v>
      </x:c>
      <x:c r="D380" s="75" t="n">
        <x:v>8</x:v>
      </x:c>
      <x:c r="E380" s="75" t="n">
        <x:v>20</x:v>
      </x:c>
      <x:c r="F380" s="75" t="n">
        <x:v>35</x:v>
      </x:c>
      <x:c r="G380" s="75" t="n">
        <x:v>38</x:v>
      </x:c>
      <x:c r="H380" s="75" t="n">
        <x:v>5</x:v>
      </x:c>
      <x:c r="I380" s="75" t="n">
        <x:v>9</x:v>
      </x:c>
      <x:c r="J380" s="75" t="n">
        <x:v>50</x:v>
      </x:c>
      <x:c r="K380" s="75" t="n">
        <x:v>10</x:v>
      </x:c>
      <x:c r="L380" s="75" t="str">
        <x:v>R2_5of50_2of10</x:v>
      </x:c>
      <x:c r="M380" s="213" t="str">
        <x:v>S1_pre_2024_studio_change_sensitivity_only</x:v>
      </x:c>
      <x:c r="N380" s="213" t="str">
        <x:v>Friday</x:v>
      </x:c>
      <x:c r="O380" s="213" t="str">
        <x:v>LottoMetrics full-history export</x:v>
      </x:c>
      <x:c r="P380" s="213" t="str">
        <x:v>Archive-sourced; calendar/range/uniqueness validated</x:v>
      </x:c>
      <x:c r="Q380" s="54" t="str"/>
    </x:row>
    <x:row r="381">
      <x:c r="A381" s="74" t="n">
        <x:v>378</x:v>
      </x:c>
      <x:c r="B381" s="217" t="n">
        <x:v>43630</x:v>
      </x:c>
      <x:c r="C381" s="75" t="n">
        <x:v>8</x:v>
      </x:c>
      <x:c r="D381" s="75" t="n">
        <x:v>23</x:v>
      </x:c>
      <x:c r="E381" s="75" t="n">
        <x:v>40</x:v>
      </x:c>
      <x:c r="F381" s="75" t="n">
        <x:v>41</x:v>
      </x:c>
      <x:c r="G381" s="75" t="n">
        <x:v>42</x:v>
      </x:c>
      <x:c r="H381" s="75" t="n">
        <x:v>2</x:v>
      </x:c>
      <x:c r="I381" s="75" t="n">
        <x:v>10</x:v>
      </x:c>
      <x:c r="J381" s="75" t="n">
        <x:v>50</x:v>
      </x:c>
      <x:c r="K381" s="75" t="n">
        <x:v>10</x:v>
      </x:c>
      <x:c r="L381" s="75" t="str">
        <x:v>R2_5of50_2of10</x:v>
      </x:c>
      <x:c r="M381" s="213" t="str">
        <x:v>S1_pre_2024_studio_change_sensitivity_only</x:v>
      </x:c>
      <x:c r="N381" s="213" t="str">
        <x:v>Friday</x:v>
      </x:c>
      <x:c r="O381" s="213" t="str">
        <x:v>LottoMetrics full-history export</x:v>
      </x:c>
      <x:c r="P381" s="213" t="str">
        <x:v>Archive-sourced; calendar/range/uniqueness validated</x:v>
      </x:c>
      <x:c r="Q381" s="54" t="str"/>
    </x:row>
    <x:row r="382">
      <x:c r="A382" s="74" t="n">
        <x:v>379</x:v>
      </x:c>
      <x:c r="B382" s="217" t="n">
        <x:v>43637</x:v>
      </x:c>
      <x:c r="C382" s="75" t="n">
        <x:v>20</x:v>
      </x:c>
      <x:c r="D382" s="75" t="n">
        <x:v>27</x:v>
      </x:c>
      <x:c r="E382" s="75" t="n">
        <x:v>37</x:v>
      </x:c>
      <x:c r="F382" s="75" t="n">
        <x:v>41</x:v>
      </x:c>
      <x:c r="G382" s="75" t="n">
        <x:v>45</x:v>
      </x:c>
      <x:c r="H382" s="75" t="n">
        <x:v>1</x:v>
      </x:c>
      <x:c r="I382" s="75" t="n">
        <x:v>7</x:v>
      </x:c>
      <x:c r="J382" s="75" t="n">
        <x:v>50</x:v>
      </x:c>
      <x:c r="K382" s="75" t="n">
        <x:v>10</x:v>
      </x:c>
      <x:c r="L382" s="75" t="str">
        <x:v>R2_5of50_2of10</x:v>
      </x:c>
      <x:c r="M382" s="213" t="str">
        <x:v>S1_pre_2024_studio_change_sensitivity_only</x:v>
      </x:c>
      <x:c r="N382" s="213" t="str">
        <x:v>Friday</x:v>
      </x:c>
      <x:c r="O382" s="213" t="str">
        <x:v>LottoMetrics full-history export</x:v>
      </x:c>
      <x:c r="P382" s="213" t="str">
        <x:v>Archive-sourced; calendar/range/uniqueness validated</x:v>
      </x:c>
      <x:c r="Q382" s="54" t="str"/>
    </x:row>
    <x:row r="383">
      <x:c r="A383" s="74" t="n">
        <x:v>380</x:v>
      </x:c>
      <x:c r="B383" s="217" t="n">
        <x:v>43644</x:v>
      </x:c>
      <x:c r="C383" s="75" t="n">
        <x:v>18</x:v>
      </x:c>
      <x:c r="D383" s="75" t="n">
        <x:v>25</x:v>
      </x:c>
      <x:c r="E383" s="75" t="n">
        <x:v>26</x:v>
      </x:c>
      <x:c r="F383" s="75" t="n">
        <x:v>35</x:v>
      </x:c>
      <x:c r="G383" s="75" t="n">
        <x:v>38</x:v>
      </x:c>
      <x:c r="H383" s="75" t="n">
        <x:v>5</x:v>
      </x:c>
      <x:c r="I383" s="75" t="n">
        <x:v>6</x:v>
      </x:c>
      <x:c r="J383" s="75" t="n">
        <x:v>50</x:v>
      </x:c>
      <x:c r="K383" s="75" t="n">
        <x:v>10</x:v>
      </x:c>
      <x:c r="L383" s="75" t="str">
        <x:v>R2_5of50_2of10</x:v>
      </x:c>
      <x:c r="M383" s="213" t="str">
        <x:v>S1_pre_2024_studio_change_sensitivity_only</x:v>
      </x:c>
      <x:c r="N383" s="213" t="str">
        <x:v>Friday</x:v>
      </x:c>
      <x:c r="O383" s="213" t="str">
        <x:v>LottoMetrics full-history export</x:v>
      </x:c>
      <x:c r="P383" s="213" t="str">
        <x:v>Archive-sourced; calendar/range/uniqueness validated</x:v>
      </x:c>
      <x:c r="Q383" s="54" t="str"/>
    </x:row>
    <x:row r="384">
      <x:c r="A384" s="74" t="n">
        <x:v>381</x:v>
      </x:c>
      <x:c r="B384" s="217" t="n">
        <x:v>43651</x:v>
      </x:c>
      <x:c r="C384" s="75" t="n">
        <x:v>1</x:v>
      </x:c>
      <x:c r="D384" s="75" t="n">
        <x:v>15</x:v>
      </x:c>
      <x:c r="E384" s="75" t="n">
        <x:v>34</x:v>
      </x:c>
      <x:c r="F384" s="75" t="n">
        <x:v>48</x:v>
      </x:c>
      <x:c r="G384" s="75" t="n">
        <x:v>50</x:v>
      </x:c>
      <x:c r="H384" s="75" t="n">
        <x:v>6</x:v>
      </x:c>
      <x:c r="I384" s="75" t="n">
        <x:v>10</x:v>
      </x:c>
      <x:c r="J384" s="75" t="n">
        <x:v>50</x:v>
      </x:c>
      <x:c r="K384" s="75" t="n">
        <x:v>10</x:v>
      </x:c>
      <x:c r="L384" s="75" t="str">
        <x:v>R2_5of50_2of10</x:v>
      </x:c>
      <x:c r="M384" s="213" t="str">
        <x:v>S1_pre_2024_studio_change_sensitivity_only</x:v>
      </x:c>
      <x:c r="N384" s="213" t="str">
        <x:v>Friday</x:v>
      </x:c>
      <x:c r="O384" s="213" t="str">
        <x:v>LottoMetrics full-history export</x:v>
      </x:c>
      <x:c r="P384" s="213" t="str">
        <x:v>Archive-sourced; calendar/range/uniqueness validated</x:v>
      </x:c>
      <x:c r="Q384" s="54" t="str"/>
    </x:row>
    <x:row r="385">
      <x:c r="A385" s="74" t="n">
        <x:v>382</x:v>
      </x:c>
      <x:c r="B385" s="217" t="n">
        <x:v>43658</x:v>
      </x:c>
      <x:c r="C385" s="75" t="n">
        <x:v>31</x:v>
      </x:c>
      <x:c r="D385" s="75" t="n">
        <x:v>36</x:v>
      </x:c>
      <x:c r="E385" s="75" t="n">
        <x:v>40</x:v>
      </x:c>
      <x:c r="F385" s="75" t="n">
        <x:v>42</x:v>
      </x:c>
      <x:c r="G385" s="75" t="n">
        <x:v>45</x:v>
      </x:c>
      <x:c r="H385" s="75" t="n">
        <x:v>7</x:v>
      </x:c>
      <x:c r="I385" s="75" t="n">
        <x:v>9</x:v>
      </x:c>
      <x:c r="J385" s="75" t="n">
        <x:v>50</x:v>
      </x:c>
      <x:c r="K385" s="75" t="n">
        <x:v>10</x:v>
      </x:c>
      <x:c r="L385" s="75" t="str">
        <x:v>R2_5of50_2of10</x:v>
      </x:c>
      <x:c r="M385" s="213" t="str">
        <x:v>S1_pre_2024_studio_change_sensitivity_only</x:v>
      </x:c>
      <x:c r="N385" s="213" t="str">
        <x:v>Friday</x:v>
      </x:c>
      <x:c r="O385" s="213" t="str">
        <x:v>LottoMetrics full-history export</x:v>
      </x:c>
      <x:c r="P385" s="213" t="str">
        <x:v>Archive-sourced; calendar/range/uniqueness validated</x:v>
      </x:c>
      <x:c r="Q385" s="54" t="str"/>
    </x:row>
    <x:row r="386">
      <x:c r="A386" s="74" t="n">
        <x:v>383</x:v>
      </x:c>
      <x:c r="B386" s="217" t="n">
        <x:v>43665</x:v>
      </x:c>
      <x:c r="C386" s="75" t="n">
        <x:v>31</x:v>
      </x:c>
      <x:c r="D386" s="75" t="n">
        <x:v>32</x:v>
      </x:c>
      <x:c r="E386" s="75" t="n">
        <x:v>45</x:v>
      </x:c>
      <x:c r="F386" s="75" t="n">
        <x:v>47</x:v>
      </x:c>
      <x:c r="G386" s="75" t="n">
        <x:v>49</x:v>
      </x:c>
      <x:c r="H386" s="75" t="n">
        <x:v>7</x:v>
      </x:c>
      <x:c r="I386" s="75" t="n">
        <x:v>9</x:v>
      </x:c>
      <x:c r="J386" s="75" t="n">
        <x:v>50</x:v>
      </x:c>
      <x:c r="K386" s="75" t="n">
        <x:v>10</x:v>
      </x:c>
      <x:c r="L386" s="75" t="str">
        <x:v>R2_5of50_2of10</x:v>
      </x:c>
      <x:c r="M386" s="213" t="str">
        <x:v>S1_pre_2024_studio_change_sensitivity_only</x:v>
      </x:c>
      <x:c r="N386" s="213" t="str">
        <x:v>Friday</x:v>
      </x:c>
      <x:c r="O386" s="213" t="str">
        <x:v>LottoMetrics full-history export</x:v>
      </x:c>
      <x:c r="P386" s="213" t="str">
        <x:v>Archive-sourced; calendar/range/uniqueness validated</x:v>
      </x:c>
      <x:c r="Q386" s="54" t="str"/>
    </x:row>
    <x:row r="387">
      <x:c r="A387" s="74" t="n">
        <x:v>384</x:v>
      </x:c>
      <x:c r="B387" s="217" t="n">
        <x:v>43672</x:v>
      </x:c>
      <x:c r="C387" s="75" t="n">
        <x:v>3</x:v>
      </x:c>
      <x:c r="D387" s="75" t="n">
        <x:v>8</x:v>
      </x:c>
      <x:c r="E387" s="75" t="n">
        <x:v>30</x:v>
      </x:c>
      <x:c r="F387" s="75" t="n">
        <x:v>46</x:v>
      </x:c>
      <x:c r="G387" s="75" t="n">
        <x:v>48</x:v>
      </x:c>
      <x:c r="H387" s="75" t="n">
        <x:v>1</x:v>
      </x:c>
      <x:c r="I387" s="75" t="n">
        <x:v>3</x:v>
      </x:c>
      <x:c r="J387" s="75" t="n">
        <x:v>50</x:v>
      </x:c>
      <x:c r="K387" s="75" t="n">
        <x:v>10</x:v>
      </x:c>
      <x:c r="L387" s="75" t="str">
        <x:v>R2_5of50_2of10</x:v>
      </x:c>
      <x:c r="M387" s="213" t="str">
        <x:v>S1_pre_2024_studio_change_sensitivity_only</x:v>
      </x:c>
      <x:c r="N387" s="213" t="str">
        <x:v>Friday</x:v>
      </x:c>
      <x:c r="O387" s="213" t="str">
        <x:v>LottoMetrics full-history export</x:v>
      </x:c>
      <x:c r="P387" s="213" t="str">
        <x:v>Archive-sourced; calendar/range/uniqueness validated</x:v>
      </x:c>
      <x:c r="Q387" s="54" t="str"/>
    </x:row>
    <x:row r="388">
      <x:c r="A388" s="74" t="n">
        <x:v>385</x:v>
      </x:c>
      <x:c r="B388" s="217" t="n">
        <x:v>43679</x:v>
      </x:c>
      <x:c r="C388" s="75" t="n">
        <x:v>6</x:v>
      </x:c>
      <x:c r="D388" s="75" t="n">
        <x:v>11</x:v>
      </x:c>
      <x:c r="E388" s="75" t="n">
        <x:v>38</x:v>
      </x:c>
      <x:c r="F388" s="75" t="n">
        <x:v>41</x:v>
      </x:c>
      <x:c r="G388" s="75" t="n">
        <x:v>44</x:v>
      </x:c>
      <x:c r="H388" s="75" t="n">
        <x:v>9</x:v>
      </x:c>
      <x:c r="I388" s="75" t="n">
        <x:v>10</x:v>
      </x:c>
      <x:c r="J388" s="75" t="n">
        <x:v>50</x:v>
      </x:c>
      <x:c r="K388" s="75" t="n">
        <x:v>10</x:v>
      </x:c>
      <x:c r="L388" s="75" t="str">
        <x:v>R2_5of50_2of10</x:v>
      </x:c>
      <x:c r="M388" s="213" t="str">
        <x:v>S1_pre_2024_studio_change_sensitivity_only</x:v>
      </x:c>
      <x:c r="N388" s="213" t="str">
        <x:v>Friday</x:v>
      </x:c>
      <x:c r="O388" s="213" t="str">
        <x:v>LottoMetrics full-history export</x:v>
      </x:c>
      <x:c r="P388" s="213" t="str">
        <x:v>Archive-sourced; calendar/range/uniqueness validated</x:v>
      </x:c>
      <x:c r="Q388" s="54" t="str"/>
    </x:row>
    <x:row r="389">
      <x:c r="A389" s="74" t="n">
        <x:v>386</x:v>
      </x:c>
      <x:c r="B389" s="217" t="n">
        <x:v>43686</x:v>
      </x:c>
      <x:c r="C389" s="75" t="n">
        <x:v>2</x:v>
      </x:c>
      <x:c r="D389" s="75" t="n">
        <x:v>4</x:v>
      </x:c>
      <x:c r="E389" s="75" t="n">
        <x:v>20</x:v>
      </x:c>
      <x:c r="F389" s="75" t="n">
        <x:v>21</x:v>
      </x:c>
      <x:c r="G389" s="75" t="n">
        <x:v>49</x:v>
      </x:c>
      <x:c r="H389" s="75" t="n">
        <x:v>9</x:v>
      </x:c>
      <x:c r="I389" s="75" t="n">
        <x:v>10</x:v>
      </x:c>
      <x:c r="J389" s="75" t="n">
        <x:v>50</x:v>
      </x:c>
      <x:c r="K389" s="75" t="n">
        <x:v>10</x:v>
      </x:c>
      <x:c r="L389" s="75" t="str">
        <x:v>R2_5of50_2of10</x:v>
      </x:c>
      <x:c r="M389" s="213" t="str">
        <x:v>S1_pre_2024_studio_change_sensitivity_only</x:v>
      </x:c>
      <x:c r="N389" s="213" t="str">
        <x:v>Friday</x:v>
      </x:c>
      <x:c r="O389" s="213" t="str">
        <x:v>LottoMetrics full-history export</x:v>
      </x:c>
      <x:c r="P389" s="213" t="str">
        <x:v>Archive-sourced; calendar/range/uniqueness validated</x:v>
      </x:c>
      <x:c r="Q389" s="54" t="str"/>
    </x:row>
    <x:row r="390">
      <x:c r="A390" s="74" t="n">
        <x:v>387</x:v>
      </x:c>
      <x:c r="B390" s="217" t="n">
        <x:v>43693</x:v>
      </x:c>
      <x:c r="C390" s="75" t="n">
        <x:v>7</x:v>
      </x:c>
      <x:c r="D390" s="75" t="n">
        <x:v>20</x:v>
      </x:c>
      <x:c r="E390" s="75" t="n">
        <x:v>35</x:v>
      </x:c>
      <x:c r="F390" s="75" t="n">
        <x:v>42</x:v>
      </x:c>
      <x:c r="G390" s="75" t="n">
        <x:v>44</x:v>
      </x:c>
      <x:c r="H390" s="75" t="n">
        <x:v>3</x:v>
      </x:c>
      <x:c r="I390" s="75" t="n">
        <x:v>7</x:v>
      </x:c>
      <x:c r="J390" s="75" t="n">
        <x:v>50</x:v>
      </x:c>
      <x:c r="K390" s="75" t="n">
        <x:v>10</x:v>
      </x:c>
      <x:c r="L390" s="75" t="str">
        <x:v>R2_5of50_2of10</x:v>
      </x:c>
      <x:c r="M390" s="213" t="str">
        <x:v>S1_pre_2024_studio_change_sensitivity_only</x:v>
      </x:c>
      <x:c r="N390" s="213" t="str">
        <x:v>Friday</x:v>
      </x:c>
      <x:c r="O390" s="213" t="str">
        <x:v>LottoMetrics full-history export</x:v>
      </x:c>
      <x:c r="P390" s="213" t="str">
        <x:v>Archive-sourced; calendar/range/uniqueness validated</x:v>
      </x:c>
      <x:c r="Q390" s="54" t="str"/>
    </x:row>
    <x:row r="391">
      <x:c r="A391" s="74" t="n">
        <x:v>388</x:v>
      </x:c>
      <x:c r="B391" s="217" t="n">
        <x:v>43700</x:v>
      </x:c>
      <x:c r="C391" s="75" t="n">
        <x:v>15</x:v>
      </x:c>
      <x:c r="D391" s="75" t="n">
        <x:v>18</x:v>
      </x:c>
      <x:c r="E391" s="75" t="n">
        <x:v>19</x:v>
      </x:c>
      <x:c r="F391" s="75" t="n">
        <x:v>41</x:v>
      </x:c>
      <x:c r="G391" s="75" t="n">
        <x:v>42</x:v>
      </x:c>
      <x:c r="H391" s="75" t="n">
        <x:v>4</x:v>
      </x:c>
      <x:c r="I391" s="75" t="n">
        <x:v>6</x:v>
      </x:c>
      <x:c r="J391" s="75" t="n">
        <x:v>50</x:v>
      </x:c>
      <x:c r="K391" s="75" t="n">
        <x:v>10</x:v>
      </x:c>
      <x:c r="L391" s="75" t="str">
        <x:v>R2_5of50_2of10</x:v>
      </x:c>
      <x:c r="M391" s="213" t="str">
        <x:v>S1_pre_2024_studio_change_sensitivity_only</x:v>
      </x:c>
      <x:c r="N391" s="213" t="str">
        <x:v>Friday</x:v>
      </x:c>
      <x:c r="O391" s="213" t="str">
        <x:v>LottoMetrics full-history export</x:v>
      </x:c>
      <x:c r="P391" s="213" t="str">
        <x:v>Archive-sourced; calendar/range/uniqueness validated</x:v>
      </x:c>
      <x:c r="Q391" s="54" t="str"/>
    </x:row>
    <x:row r="392">
      <x:c r="A392" s="74" t="n">
        <x:v>389</x:v>
      </x:c>
      <x:c r="B392" s="217" t="n">
        <x:v>43707</x:v>
      </x:c>
      <x:c r="C392" s="75" t="n">
        <x:v>10</x:v>
      </x:c>
      <x:c r="D392" s="75" t="n">
        <x:v>18</x:v>
      </x:c>
      <x:c r="E392" s="75" t="n">
        <x:v>32</x:v>
      </x:c>
      <x:c r="F392" s="75" t="n">
        <x:v>35</x:v>
      </x:c>
      <x:c r="G392" s="75" t="n">
        <x:v>46</x:v>
      </x:c>
      <x:c r="H392" s="75" t="n">
        <x:v>3</x:v>
      </x:c>
      <x:c r="I392" s="75" t="n">
        <x:v>10</x:v>
      </x:c>
      <x:c r="J392" s="75" t="n">
        <x:v>50</x:v>
      </x:c>
      <x:c r="K392" s="75" t="n">
        <x:v>10</x:v>
      </x:c>
      <x:c r="L392" s="75" t="str">
        <x:v>R2_5of50_2of10</x:v>
      </x:c>
      <x:c r="M392" s="213" t="str">
        <x:v>S1_pre_2024_studio_change_sensitivity_only</x:v>
      </x:c>
      <x:c r="N392" s="213" t="str">
        <x:v>Friday</x:v>
      </x:c>
      <x:c r="O392" s="213" t="str">
        <x:v>LottoMetrics full-history export</x:v>
      </x:c>
      <x:c r="P392" s="213" t="str">
        <x:v>Archive-sourced; calendar/range/uniqueness validated</x:v>
      </x:c>
      <x:c r="Q392" s="54" t="str"/>
    </x:row>
    <x:row r="393">
      <x:c r="A393" s="74" t="n">
        <x:v>390</x:v>
      </x:c>
      <x:c r="B393" s="217" t="n">
        <x:v>43714</x:v>
      </x:c>
      <x:c r="C393" s="75" t="n">
        <x:v>21</x:v>
      </x:c>
      <x:c r="D393" s="75" t="n">
        <x:v>24</x:v>
      </x:c>
      <x:c r="E393" s="75" t="n">
        <x:v>29</x:v>
      </x:c>
      <x:c r="F393" s="75" t="n">
        <x:v>30</x:v>
      </x:c>
      <x:c r="G393" s="75" t="n">
        <x:v>50</x:v>
      </x:c>
      <x:c r="H393" s="75" t="n">
        <x:v>1</x:v>
      </x:c>
      <x:c r="I393" s="75" t="n">
        <x:v>5</x:v>
      </x:c>
      <x:c r="J393" s="75" t="n">
        <x:v>50</x:v>
      </x:c>
      <x:c r="K393" s="75" t="n">
        <x:v>10</x:v>
      </x:c>
      <x:c r="L393" s="75" t="str">
        <x:v>R2_5of50_2of10</x:v>
      </x:c>
      <x:c r="M393" s="213" t="str">
        <x:v>S1_pre_2024_studio_change_sensitivity_only</x:v>
      </x:c>
      <x:c r="N393" s="213" t="str">
        <x:v>Friday</x:v>
      </x:c>
      <x:c r="O393" s="213" t="str">
        <x:v>LottoMetrics full-history export</x:v>
      </x:c>
      <x:c r="P393" s="213" t="str">
        <x:v>Archive-sourced; calendar/range/uniqueness validated</x:v>
      </x:c>
      <x:c r="Q393" s="54" t="str"/>
    </x:row>
    <x:row r="394">
      <x:c r="A394" s="74" t="n">
        <x:v>391</x:v>
      </x:c>
      <x:c r="B394" s="217" t="n">
        <x:v>43721</x:v>
      </x:c>
      <x:c r="C394" s="75" t="n">
        <x:v>3</x:v>
      </x:c>
      <x:c r="D394" s="75" t="n">
        <x:v>21</x:v>
      </x:c>
      <x:c r="E394" s="75" t="n">
        <x:v>22</x:v>
      </x:c>
      <x:c r="F394" s="75" t="n">
        <x:v>33</x:v>
      </x:c>
      <x:c r="G394" s="75" t="n">
        <x:v>47</x:v>
      </x:c>
      <x:c r="H394" s="75" t="n">
        <x:v>2</x:v>
      </x:c>
      <x:c r="I394" s="75" t="n">
        <x:v>9</x:v>
      </x:c>
      <x:c r="J394" s="75" t="n">
        <x:v>50</x:v>
      </x:c>
      <x:c r="K394" s="75" t="n">
        <x:v>10</x:v>
      </x:c>
      <x:c r="L394" s="75" t="str">
        <x:v>R2_5of50_2of10</x:v>
      </x:c>
      <x:c r="M394" s="213" t="str">
        <x:v>S1_pre_2024_studio_change_sensitivity_only</x:v>
      </x:c>
      <x:c r="N394" s="213" t="str">
        <x:v>Friday</x:v>
      </x:c>
      <x:c r="O394" s="213" t="str">
        <x:v>LottoMetrics full-history export</x:v>
      </x:c>
      <x:c r="P394" s="213" t="str">
        <x:v>Archive-sourced; calendar/range/uniqueness validated</x:v>
      </x:c>
      <x:c r="Q394" s="54" t="str"/>
    </x:row>
    <x:row r="395">
      <x:c r="A395" s="74" t="n">
        <x:v>392</x:v>
      </x:c>
      <x:c r="B395" s="217" t="n">
        <x:v>43728</x:v>
      </x:c>
      <x:c r="C395" s="75" t="n">
        <x:v>17</x:v>
      </x:c>
      <x:c r="D395" s="75" t="n">
        <x:v>21</x:v>
      </x:c>
      <x:c r="E395" s="75" t="n">
        <x:v>41</x:v>
      </x:c>
      <x:c r="F395" s="75" t="n">
        <x:v>48</x:v>
      </x:c>
      <x:c r="G395" s="75" t="n">
        <x:v>49</x:v>
      </x:c>
      <x:c r="H395" s="75" t="n">
        <x:v>4</x:v>
      </x:c>
      <x:c r="I395" s="75" t="n">
        <x:v>8</x:v>
      </x:c>
      <x:c r="J395" s="75" t="n">
        <x:v>50</x:v>
      </x:c>
      <x:c r="K395" s="75" t="n">
        <x:v>10</x:v>
      </x:c>
      <x:c r="L395" s="75" t="str">
        <x:v>R2_5of50_2of10</x:v>
      </x:c>
      <x:c r="M395" s="213" t="str">
        <x:v>S1_pre_2024_studio_change_sensitivity_only</x:v>
      </x:c>
      <x:c r="N395" s="213" t="str">
        <x:v>Friday</x:v>
      </x:c>
      <x:c r="O395" s="213" t="str">
        <x:v>LottoMetrics full-history export</x:v>
      </x:c>
      <x:c r="P395" s="213" t="str">
        <x:v>Archive-sourced; calendar/range/uniqueness validated</x:v>
      </x:c>
      <x:c r="Q395" s="54" t="str"/>
    </x:row>
    <x:row r="396">
      <x:c r="A396" s="74" t="n">
        <x:v>393</x:v>
      </x:c>
      <x:c r="B396" s="217" t="n">
        <x:v>43735</x:v>
      </x:c>
      <x:c r="C396" s="75" t="n">
        <x:v>21</x:v>
      </x:c>
      <x:c r="D396" s="75" t="n">
        <x:v>24</x:v>
      </x:c>
      <x:c r="E396" s="75" t="n">
        <x:v>26</x:v>
      </x:c>
      <x:c r="F396" s="75" t="n">
        <x:v>34</x:v>
      </x:c>
      <x:c r="G396" s="75" t="n">
        <x:v>47</x:v>
      </x:c>
      <x:c r="H396" s="75" t="n">
        <x:v>4</x:v>
      </x:c>
      <x:c r="I396" s="75" t="n">
        <x:v>6</x:v>
      </x:c>
      <x:c r="J396" s="75" t="n">
        <x:v>50</x:v>
      </x:c>
      <x:c r="K396" s="75" t="n">
        <x:v>10</x:v>
      </x:c>
      <x:c r="L396" s="75" t="str">
        <x:v>R2_5of50_2of10</x:v>
      </x:c>
      <x:c r="M396" s="213" t="str">
        <x:v>S1_pre_2024_studio_change_sensitivity_only</x:v>
      </x:c>
      <x:c r="N396" s="213" t="str">
        <x:v>Friday</x:v>
      </x:c>
      <x:c r="O396" s="213" t="str">
        <x:v>LottoMetrics full-history export</x:v>
      </x:c>
      <x:c r="P396" s="213" t="str">
        <x:v>Archive-sourced; calendar/range/uniqueness validated</x:v>
      </x:c>
      <x:c r="Q396" s="54" t="str"/>
    </x:row>
    <x:row r="397">
      <x:c r="A397" s="74" t="n">
        <x:v>394</x:v>
      </x:c>
      <x:c r="B397" s="217" t="n">
        <x:v>43742</x:v>
      </x:c>
      <x:c r="C397" s="75" t="n">
        <x:v>15</x:v>
      </x:c>
      <x:c r="D397" s="75" t="n">
        <x:v>19</x:v>
      </x:c>
      <x:c r="E397" s="75" t="n">
        <x:v>20</x:v>
      </x:c>
      <x:c r="F397" s="75" t="n">
        <x:v>45</x:v>
      </x:c>
      <x:c r="G397" s="75" t="n">
        <x:v>49</x:v>
      </x:c>
      <x:c r="H397" s="75" t="n">
        <x:v>7</x:v>
      </x:c>
      <x:c r="I397" s="75" t="n">
        <x:v>8</x:v>
      </x:c>
      <x:c r="J397" s="75" t="n">
        <x:v>50</x:v>
      </x:c>
      <x:c r="K397" s="75" t="n">
        <x:v>10</x:v>
      </x:c>
      <x:c r="L397" s="75" t="str">
        <x:v>R2_5of50_2of10</x:v>
      </x:c>
      <x:c r="M397" s="213" t="str">
        <x:v>S1_pre_2024_studio_change_sensitivity_only</x:v>
      </x:c>
      <x:c r="N397" s="213" t="str">
        <x:v>Friday</x:v>
      </x:c>
      <x:c r="O397" s="213" t="str">
        <x:v>LottoMetrics full-history export</x:v>
      </x:c>
      <x:c r="P397" s="213" t="str">
        <x:v>Archive-sourced; calendar/range/uniqueness validated</x:v>
      </x:c>
      <x:c r="Q397" s="54" t="str"/>
    </x:row>
    <x:row r="398">
      <x:c r="A398" s="74" t="n">
        <x:v>395</x:v>
      </x:c>
      <x:c r="B398" s="217" t="n">
        <x:v>43749</x:v>
      </x:c>
      <x:c r="C398" s="75" t="n">
        <x:v>8</x:v>
      </x:c>
      <x:c r="D398" s="75" t="n">
        <x:v>12</x:v>
      </x:c>
      <x:c r="E398" s="75" t="n">
        <x:v>13</x:v>
      </x:c>
      <x:c r="F398" s="75" t="n">
        <x:v>39</x:v>
      </x:c>
      <x:c r="G398" s="75" t="n">
        <x:v>44</x:v>
      </x:c>
      <x:c r="H398" s="75" t="n">
        <x:v>4</x:v>
      </x:c>
      <x:c r="I398" s="75" t="n">
        <x:v>9</x:v>
      </x:c>
      <x:c r="J398" s="75" t="n">
        <x:v>50</x:v>
      </x:c>
      <x:c r="K398" s="75" t="n">
        <x:v>10</x:v>
      </x:c>
      <x:c r="L398" s="75" t="str">
        <x:v>R2_5of50_2of10</x:v>
      </x:c>
      <x:c r="M398" s="213" t="str">
        <x:v>S1_pre_2024_studio_change_sensitivity_only</x:v>
      </x:c>
      <x:c r="N398" s="213" t="str">
        <x:v>Friday</x:v>
      </x:c>
      <x:c r="O398" s="213" t="str">
        <x:v>LottoMetrics full-history export</x:v>
      </x:c>
      <x:c r="P398" s="213" t="str">
        <x:v>Archive-sourced; calendar/range/uniqueness validated</x:v>
      </x:c>
      <x:c r="Q398" s="54" t="str"/>
    </x:row>
    <x:row r="399">
      <x:c r="A399" s="74" t="n">
        <x:v>396</x:v>
      </x:c>
      <x:c r="B399" s="217" t="n">
        <x:v>43756</x:v>
      </x:c>
      <x:c r="C399" s="75" t="n">
        <x:v>6</x:v>
      </x:c>
      <x:c r="D399" s="75" t="n">
        <x:v>9</x:v>
      </x:c>
      <x:c r="E399" s="75" t="n">
        <x:v>31</x:v>
      </x:c>
      <x:c r="F399" s="75" t="n">
        <x:v>43</x:v>
      </x:c>
      <x:c r="G399" s="75" t="n">
        <x:v>44</x:v>
      </x:c>
      <x:c r="H399" s="75" t="n">
        <x:v>6</x:v>
      </x:c>
      <x:c r="I399" s="75" t="n">
        <x:v>9</x:v>
      </x:c>
      <x:c r="J399" s="75" t="n">
        <x:v>50</x:v>
      </x:c>
      <x:c r="K399" s="75" t="n">
        <x:v>10</x:v>
      </x:c>
      <x:c r="L399" s="75" t="str">
        <x:v>R2_5of50_2of10</x:v>
      </x:c>
      <x:c r="M399" s="213" t="str">
        <x:v>S1_pre_2024_studio_change_sensitivity_only</x:v>
      </x:c>
      <x:c r="N399" s="213" t="str">
        <x:v>Friday</x:v>
      </x:c>
      <x:c r="O399" s="213" t="str">
        <x:v>LottoMetrics full-history export</x:v>
      </x:c>
      <x:c r="P399" s="213" t="str">
        <x:v>Archive-sourced; calendar/range/uniqueness validated</x:v>
      </x:c>
      <x:c r="Q399" s="54" t="str"/>
    </x:row>
    <x:row r="400">
      <x:c r="A400" s="74" t="n">
        <x:v>397</x:v>
      </x:c>
      <x:c r="B400" s="217" t="n">
        <x:v>43763</x:v>
      </x:c>
      <x:c r="C400" s="75" t="n">
        <x:v>2</x:v>
      </x:c>
      <x:c r="D400" s="75" t="n">
        <x:v>30</x:v>
      </x:c>
      <x:c r="E400" s="75" t="n">
        <x:v>34</x:v>
      </x:c>
      <x:c r="F400" s="75" t="n">
        <x:v>35</x:v>
      </x:c>
      <x:c r="G400" s="75" t="n">
        <x:v>45</x:v>
      </x:c>
      <x:c r="H400" s="75" t="n">
        <x:v>1</x:v>
      </x:c>
      <x:c r="I400" s="75" t="n">
        <x:v>2</x:v>
      </x:c>
      <x:c r="J400" s="75" t="n">
        <x:v>50</x:v>
      </x:c>
      <x:c r="K400" s="75" t="n">
        <x:v>10</x:v>
      </x:c>
      <x:c r="L400" s="75" t="str">
        <x:v>R2_5of50_2of10</x:v>
      </x:c>
      <x:c r="M400" s="213" t="str">
        <x:v>S1_pre_2024_studio_change_sensitivity_only</x:v>
      </x:c>
      <x:c r="N400" s="213" t="str">
        <x:v>Friday</x:v>
      </x:c>
      <x:c r="O400" s="213" t="str">
        <x:v>LottoMetrics full-history export</x:v>
      </x:c>
      <x:c r="P400" s="213" t="str">
        <x:v>Archive-sourced; calendar/range/uniqueness validated</x:v>
      </x:c>
      <x:c r="Q400" s="54" t="str"/>
    </x:row>
    <x:row r="401">
      <x:c r="A401" s="74" t="n">
        <x:v>398</x:v>
      </x:c>
      <x:c r="B401" s="217" t="n">
        <x:v>43770</x:v>
      </x:c>
      <x:c r="C401" s="75" t="n">
        <x:v>3</x:v>
      </x:c>
      <x:c r="D401" s="75" t="n">
        <x:v>17</x:v>
      </x:c>
      <x:c r="E401" s="75" t="n">
        <x:v>31</x:v>
      </x:c>
      <x:c r="F401" s="75" t="n">
        <x:v>34</x:v>
      </x:c>
      <x:c r="G401" s="75" t="n">
        <x:v>40</x:v>
      </x:c>
      <x:c r="H401" s="75" t="n">
        <x:v>1</x:v>
      </x:c>
      <x:c r="I401" s="75" t="n">
        <x:v>2</x:v>
      </x:c>
      <x:c r="J401" s="75" t="n">
        <x:v>50</x:v>
      </x:c>
      <x:c r="K401" s="75" t="n">
        <x:v>10</x:v>
      </x:c>
      <x:c r="L401" s="75" t="str">
        <x:v>R2_5of50_2of10</x:v>
      </x:c>
      <x:c r="M401" s="213" t="str">
        <x:v>S1_pre_2024_studio_change_sensitivity_only</x:v>
      </x:c>
      <x:c r="N401" s="213" t="str">
        <x:v>Friday</x:v>
      </x:c>
      <x:c r="O401" s="213" t="str">
        <x:v>LottoMetrics full-history export</x:v>
      </x:c>
      <x:c r="P401" s="213" t="str">
        <x:v>Archive-sourced; calendar/range/uniqueness validated</x:v>
      </x:c>
      <x:c r="Q401" s="54" t="str"/>
    </x:row>
    <x:row r="402">
      <x:c r="A402" s="74" t="n">
        <x:v>399</x:v>
      </x:c>
      <x:c r="B402" s="217" t="n">
        <x:v>43777</x:v>
      </x:c>
      <x:c r="C402" s="75" t="n">
        <x:v>14</x:v>
      </x:c>
      <x:c r="D402" s="75" t="n">
        <x:v>20</x:v>
      </x:c>
      <x:c r="E402" s="75" t="n">
        <x:v>23</x:v>
      </x:c>
      <x:c r="F402" s="75" t="n">
        <x:v>39</x:v>
      </x:c>
      <x:c r="G402" s="75" t="n">
        <x:v>49</x:v>
      </x:c>
      <x:c r="H402" s="75" t="n">
        <x:v>4</x:v>
      </x:c>
      <x:c r="I402" s="75" t="n">
        <x:v>10</x:v>
      </x:c>
      <x:c r="J402" s="75" t="n">
        <x:v>50</x:v>
      </x:c>
      <x:c r="K402" s="75" t="n">
        <x:v>10</x:v>
      </x:c>
      <x:c r="L402" s="75" t="str">
        <x:v>R2_5of50_2of10</x:v>
      </x:c>
      <x:c r="M402" s="213" t="str">
        <x:v>S1_pre_2024_studio_change_sensitivity_only</x:v>
      </x:c>
      <x:c r="N402" s="213" t="str">
        <x:v>Friday</x:v>
      </x:c>
      <x:c r="O402" s="213" t="str">
        <x:v>LottoMetrics full-history export</x:v>
      </x:c>
      <x:c r="P402" s="213" t="str">
        <x:v>Archive-sourced; calendar/range/uniqueness validated</x:v>
      </x:c>
      <x:c r="Q402" s="54" t="str"/>
    </x:row>
    <x:row r="403">
      <x:c r="A403" s="74" t="n">
        <x:v>400</x:v>
      </x:c>
      <x:c r="B403" s="217" t="n">
        <x:v>43784</x:v>
      </x:c>
      <x:c r="C403" s="75" t="n">
        <x:v>10</x:v>
      </x:c>
      <x:c r="D403" s="75" t="n">
        <x:v>19</x:v>
      </x:c>
      <x:c r="E403" s="75" t="n">
        <x:v>24</x:v>
      </x:c>
      <x:c r="F403" s="75" t="n">
        <x:v>30</x:v>
      </x:c>
      <x:c r="G403" s="75" t="n">
        <x:v>39</x:v>
      </x:c>
      <x:c r="H403" s="75" t="n">
        <x:v>2</x:v>
      </x:c>
      <x:c r="I403" s="75" t="n">
        <x:v>4</x:v>
      </x:c>
      <x:c r="J403" s="75" t="n">
        <x:v>50</x:v>
      </x:c>
      <x:c r="K403" s="75" t="n">
        <x:v>10</x:v>
      </x:c>
      <x:c r="L403" s="75" t="str">
        <x:v>R2_5of50_2of10</x:v>
      </x:c>
      <x:c r="M403" s="213" t="str">
        <x:v>S1_pre_2024_studio_change_sensitivity_only</x:v>
      </x:c>
      <x:c r="N403" s="213" t="str">
        <x:v>Friday</x:v>
      </x:c>
      <x:c r="O403" s="213" t="str">
        <x:v>LottoMetrics full-history export</x:v>
      </x:c>
      <x:c r="P403" s="213" t="str">
        <x:v>Archive-sourced; calendar/range/uniqueness validated</x:v>
      </x:c>
      <x:c r="Q403" s="54" t="str"/>
    </x:row>
    <x:row r="404">
      <x:c r="A404" s="74" t="n">
        <x:v>401</x:v>
      </x:c>
      <x:c r="B404" s="217" t="n">
        <x:v>43791</x:v>
      </x:c>
      <x:c r="C404" s="75" t="n">
        <x:v>3</x:v>
      </x:c>
      <x:c r="D404" s="75" t="n">
        <x:v>12</x:v>
      </x:c>
      <x:c r="E404" s="75" t="n">
        <x:v>24</x:v>
      </x:c>
      <x:c r="F404" s="75" t="n">
        <x:v>37</x:v>
      </x:c>
      <x:c r="G404" s="75" t="n">
        <x:v>38</x:v>
      </x:c>
      <x:c r="H404" s="75" t="n">
        <x:v>3</x:v>
      </x:c>
      <x:c r="I404" s="75" t="n">
        <x:v>7</x:v>
      </x:c>
      <x:c r="J404" s="75" t="n">
        <x:v>50</x:v>
      </x:c>
      <x:c r="K404" s="75" t="n">
        <x:v>10</x:v>
      </x:c>
      <x:c r="L404" s="75" t="str">
        <x:v>R2_5of50_2of10</x:v>
      </x:c>
      <x:c r="M404" s="213" t="str">
        <x:v>S1_pre_2024_studio_change_sensitivity_only</x:v>
      </x:c>
      <x:c r="N404" s="213" t="str">
        <x:v>Friday</x:v>
      </x:c>
      <x:c r="O404" s="213" t="str">
        <x:v>LottoMetrics full-history export</x:v>
      </x:c>
      <x:c r="P404" s="213" t="str">
        <x:v>Archive-sourced; calendar/range/uniqueness validated</x:v>
      </x:c>
      <x:c r="Q404" s="54" t="str"/>
    </x:row>
    <x:row r="405">
      <x:c r="A405" s="74" t="n">
        <x:v>402</x:v>
      </x:c>
      <x:c r="B405" s="217" t="n">
        <x:v>43798</x:v>
      </x:c>
      <x:c r="C405" s="75" t="n">
        <x:v>2</x:v>
      </x:c>
      <x:c r="D405" s="75" t="n">
        <x:v>3</x:v>
      </x:c>
      <x:c r="E405" s="75" t="n">
        <x:v>30</x:v>
      </x:c>
      <x:c r="F405" s="75" t="n">
        <x:v>31</x:v>
      </x:c>
      <x:c r="G405" s="75" t="n">
        <x:v>45</x:v>
      </x:c>
      <x:c r="H405" s="75" t="n">
        <x:v>6</x:v>
      </x:c>
      <x:c r="I405" s="75" t="n">
        <x:v>8</x:v>
      </x:c>
      <x:c r="J405" s="75" t="n">
        <x:v>50</x:v>
      </x:c>
      <x:c r="K405" s="75" t="n">
        <x:v>10</x:v>
      </x:c>
      <x:c r="L405" s="75" t="str">
        <x:v>R2_5of50_2of10</x:v>
      </x:c>
      <x:c r="M405" s="213" t="str">
        <x:v>S1_pre_2024_studio_change_sensitivity_only</x:v>
      </x:c>
      <x:c r="N405" s="213" t="str">
        <x:v>Friday</x:v>
      </x:c>
      <x:c r="O405" s="213" t="str">
        <x:v>LottoMetrics full-history export</x:v>
      </x:c>
      <x:c r="P405" s="213" t="str">
        <x:v>Archive-sourced; calendar/range/uniqueness validated</x:v>
      </x:c>
      <x:c r="Q405" s="54" t="str"/>
    </x:row>
    <x:row r="406">
      <x:c r="A406" s="74" t="n">
        <x:v>403</x:v>
      </x:c>
      <x:c r="B406" s="217" t="n">
        <x:v>43805</x:v>
      </x:c>
      <x:c r="C406" s="75" t="n">
        <x:v>8</x:v>
      </x:c>
      <x:c r="D406" s="75" t="n">
        <x:v>14</x:v>
      </x:c>
      <x:c r="E406" s="75" t="n">
        <x:v>23</x:v>
      </x:c>
      <x:c r="F406" s="75" t="n">
        <x:v>30</x:v>
      </x:c>
      <x:c r="G406" s="75" t="n">
        <x:v>45</x:v>
      </x:c>
      <x:c r="H406" s="75" t="n">
        <x:v>1</x:v>
      </x:c>
      <x:c r="I406" s="75" t="n">
        <x:v>9</x:v>
      </x:c>
      <x:c r="J406" s="75" t="n">
        <x:v>50</x:v>
      </x:c>
      <x:c r="K406" s="75" t="n">
        <x:v>10</x:v>
      </x:c>
      <x:c r="L406" s="75" t="str">
        <x:v>R2_5of50_2of10</x:v>
      </x:c>
      <x:c r="M406" s="213" t="str">
        <x:v>S1_pre_2024_studio_change_sensitivity_only</x:v>
      </x:c>
      <x:c r="N406" s="213" t="str">
        <x:v>Friday</x:v>
      </x:c>
      <x:c r="O406" s="213" t="str">
        <x:v>LottoMetrics full-history export</x:v>
      </x:c>
      <x:c r="P406" s="213" t="str">
        <x:v>Archive-sourced; calendar/range/uniqueness validated</x:v>
      </x:c>
      <x:c r="Q406" s="54" t="str"/>
    </x:row>
    <x:row r="407">
      <x:c r="A407" s="74" t="n">
        <x:v>404</x:v>
      </x:c>
      <x:c r="B407" s="217" t="n">
        <x:v>43812</x:v>
      </x:c>
      <x:c r="C407" s="75" t="n">
        <x:v>25</x:v>
      </x:c>
      <x:c r="D407" s="75" t="n">
        <x:v>31</x:v>
      </x:c>
      <x:c r="E407" s="75" t="n">
        <x:v>38</x:v>
      </x:c>
      <x:c r="F407" s="75" t="n">
        <x:v>49</x:v>
      </x:c>
      <x:c r="G407" s="75" t="n">
        <x:v>50</x:v>
      </x:c>
      <x:c r="H407" s="75" t="n">
        <x:v>5</x:v>
      </x:c>
      <x:c r="I407" s="75" t="n">
        <x:v>10</x:v>
      </x:c>
      <x:c r="J407" s="75" t="n">
        <x:v>50</x:v>
      </x:c>
      <x:c r="K407" s="75" t="n">
        <x:v>10</x:v>
      </x:c>
      <x:c r="L407" s="75" t="str">
        <x:v>R2_5of50_2of10</x:v>
      </x:c>
      <x:c r="M407" s="213" t="str">
        <x:v>S1_pre_2024_studio_change_sensitivity_only</x:v>
      </x:c>
      <x:c r="N407" s="213" t="str">
        <x:v>Friday</x:v>
      </x:c>
      <x:c r="O407" s="213" t="str">
        <x:v>LottoMetrics full-history export</x:v>
      </x:c>
      <x:c r="P407" s="213" t="str">
        <x:v>Archive-sourced; calendar/range/uniqueness validated</x:v>
      </x:c>
      <x:c r="Q407" s="54" t="str"/>
    </x:row>
    <x:row r="408">
      <x:c r="A408" s="74" t="n">
        <x:v>405</x:v>
      </x:c>
      <x:c r="B408" s="217" t="n">
        <x:v>43819</x:v>
      </x:c>
      <x:c r="C408" s="75" t="n">
        <x:v>12</x:v>
      </x:c>
      <x:c r="D408" s="75" t="n">
        <x:v>20</x:v>
      </x:c>
      <x:c r="E408" s="75" t="n">
        <x:v>21</x:v>
      </x:c>
      <x:c r="F408" s="75" t="n">
        <x:v>22</x:v>
      </x:c>
      <x:c r="G408" s="75" t="n">
        <x:v>35</x:v>
      </x:c>
      <x:c r="H408" s="75" t="n">
        <x:v>4</x:v>
      </x:c>
      <x:c r="I408" s="75" t="n">
        <x:v>10</x:v>
      </x:c>
      <x:c r="J408" s="75" t="n">
        <x:v>50</x:v>
      </x:c>
      <x:c r="K408" s="75" t="n">
        <x:v>10</x:v>
      </x:c>
      <x:c r="L408" s="75" t="str">
        <x:v>R2_5of50_2of10</x:v>
      </x:c>
      <x:c r="M408" s="213" t="str">
        <x:v>S1_pre_2024_studio_change_sensitivity_only</x:v>
      </x:c>
      <x:c r="N408" s="213" t="str">
        <x:v>Friday</x:v>
      </x:c>
      <x:c r="O408" s="213" t="str">
        <x:v>LottoMetrics full-history export</x:v>
      </x:c>
      <x:c r="P408" s="213" t="str">
        <x:v>Archive-sourced; calendar/range/uniqueness validated</x:v>
      </x:c>
      <x:c r="Q408" s="54" t="str"/>
    </x:row>
    <x:row r="409">
      <x:c r="A409" s="74" t="n">
        <x:v>406</x:v>
      </x:c>
      <x:c r="B409" s="217" t="n">
        <x:v>43826</x:v>
      </x:c>
      <x:c r="C409" s="75" t="n">
        <x:v>7</x:v>
      </x:c>
      <x:c r="D409" s="75" t="n">
        <x:v>12</x:v>
      </x:c>
      <x:c r="E409" s="75" t="n">
        <x:v>28</x:v>
      </x:c>
      <x:c r="F409" s="75" t="n">
        <x:v>34</x:v>
      </x:c>
      <x:c r="G409" s="75" t="n">
        <x:v>45</x:v>
      </x:c>
      <x:c r="H409" s="75" t="n">
        <x:v>3</x:v>
      </x:c>
      <x:c r="I409" s="75" t="n">
        <x:v>6</x:v>
      </x:c>
      <x:c r="J409" s="75" t="n">
        <x:v>50</x:v>
      </x:c>
      <x:c r="K409" s="75" t="n">
        <x:v>10</x:v>
      </x:c>
      <x:c r="L409" s="75" t="str">
        <x:v>R2_5of50_2of10</x:v>
      </x:c>
      <x:c r="M409" s="213" t="str">
        <x:v>S1_pre_2024_studio_change_sensitivity_only</x:v>
      </x:c>
      <x:c r="N409" s="213" t="str">
        <x:v>Friday</x:v>
      </x:c>
      <x:c r="O409" s="213" t="str">
        <x:v>LottoMetrics full-history export</x:v>
      </x:c>
      <x:c r="P409" s="213" t="str">
        <x:v>Archive-sourced; calendar/range/uniqueness validated</x:v>
      </x:c>
      <x:c r="Q409" s="54" t="str"/>
    </x:row>
    <x:row r="410">
      <x:c r="A410" s="74" t="n">
        <x:v>407</x:v>
      </x:c>
      <x:c r="B410" s="217" t="n">
        <x:v>43833</x:v>
      </x:c>
      <x:c r="C410" s="75" t="n">
        <x:v>6</x:v>
      </x:c>
      <x:c r="D410" s="75" t="n">
        <x:v>27</x:v>
      </x:c>
      <x:c r="E410" s="75" t="n">
        <x:v>30</x:v>
      </x:c>
      <x:c r="F410" s="75" t="n">
        <x:v>35</x:v>
      </x:c>
      <x:c r="G410" s="75" t="n">
        <x:v>41</x:v>
      </x:c>
      <x:c r="H410" s="75" t="n">
        <x:v>4</x:v>
      </x:c>
      <x:c r="I410" s="75" t="n">
        <x:v>5</x:v>
      </x:c>
      <x:c r="J410" s="75" t="n">
        <x:v>50</x:v>
      </x:c>
      <x:c r="K410" s="75" t="n">
        <x:v>10</x:v>
      </x:c>
      <x:c r="L410" s="75" t="str">
        <x:v>R2_5of50_2of10</x:v>
      </x:c>
      <x:c r="M410" s="213" t="str">
        <x:v>S1_pre_2024_studio_change_sensitivity_only</x:v>
      </x:c>
      <x:c r="N410" s="213" t="str">
        <x:v>Friday</x:v>
      </x:c>
      <x:c r="O410" s="213" t="str">
        <x:v>LottoMetrics full-history export</x:v>
      </x:c>
      <x:c r="P410" s="213" t="str">
        <x:v>Archive-sourced; calendar/range/uniqueness validated</x:v>
      </x:c>
      <x:c r="Q410" s="54" t="str"/>
    </x:row>
    <x:row r="411">
      <x:c r="A411" s="74" t="n">
        <x:v>408</x:v>
      </x:c>
      <x:c r="B411" s="217" t="n">
        <x:v>43840</x:v>
      </x:c>
      <x:c r="C411" s="75" t="n">
        <x:v>4</x:v>
      </x:c>
      <x:c r="D411" s="75" t="n">
        <x:v>14</x:v>
      </x:c>
      <x:c r="E411" s="75" t="n">
        <x:v>25</x:v>
      </x:c>
      <x:c r="F411" s="75" t="n">
        <x:v>34</x:v>
      </x:c>
      <x:c r="G411" s="75" t="n">
        <x:v>49</x:v>
      </x:c>
      <x:c r="H411" s="75" t="n">
        <x:v>4</x:v>
      </x:c>
      <x:c r="I411" s="75" t="n">
        <x:v>9</x:v>
      </x:c>
      <x:c r="J411" s="75" t="n">
        <x:v>50</x:v>
      </x:c>
      <x:c r="K411" s="75" t="n">
        <x:v>10</x:v>
      </x:c>
      <x:c r="L411" s="75" t="str">
        <x:v>R2_5of50_2of10</x:v>
      </x:c>
      <x:c r="M411" s="213" t="str">
        <x:v>S1_pre_2024_studio_change_sensitivity_only</x:v>
      </x:c>
      <x:c r="N411" s="213" t="str">
        <x:v>Friday</x:v>
      </x:c>
      <x:c r="O411" s="213" t="str">
        <x:v>LottoMetrics full-history export</x:v>
      </x:c>
      <x:c r="P411" s="213" t="str">
        <x:v>Archive-sourced; calendar/range/uniqueness validated</x:v>
      </x:c>
      <x:c r="Q411" s="54" t="str"/>
    </x:row>
    <x:row r="412">
      <x:c r="A412" s="74" t="n">
        <x:v>409</x:v>
      </x:c>
      <x:c r="B412" s="217" t="n">
        <x:v>43847</x:v>
      </x:c>
      <x:c r="C412" s="75" t="n">
        <x:v>1</x:v>
      </x:c>
      <x:c r="D412" s="75" t="n">
        <x:v>23</x:v>
      </x:c>
      <x:c r="E412" s="75" t="n">
        <x:v>32</x:v>
      </x:c>
      <x:c r="F412" s="75" t="n">
        <x:v>45</x:v>
      </x:c>
      <x:c r="G412" s="75" t="n">
        <x:v>49</x:v>
      </x:c>
      <x:c r="H412" s="75" t="n">
        <x:v>5</x:v>
      </x:c>
      <x:c r="I412" s="75" t="n">
        <x:v>10</x:v>
      </x:c>
      <x:c r="J412" s="75" t="n">
        <x:v>50</x:v>
      </x:c>
      <x:c r="K412" s="75" t="n">
        <x:v>10</x:v>
      </x:c>
      <x:c r="L412" s="75" t="str">
        <x:v>R2_5of50_2of10</x:v>
      </x:c>
      <x:c r="M412" s="213" t="str">
        <x:v>S1_pre_2024_studio_change_sensitivity_only</x:v>
      </x:c>
      <x:c r="N412" s="213" t="str">
        <x:v>Friday</x:v>
      </x:c>
      <x:c r="O412" s="213" t="str">
        <x:v>LottoMetrics full-history export</x:v>
      </x:c>
      <x:c r="P412" s="213" t="str">
        <x:v>Archive-sourced; calendar/range/uniqueness validated</x:v>
      </x:c>
      <x:c r="Q412" s="54" t="str"/>
    </x:row>
    <x:row r="413">
      <x:c r="A413" s="74" t="n">
        <x:v>410</x:v>
      </x:c>
      <x:c r="B413" s="217" t="n">
        <x:v>43854</x:v>
      </x:c>
      <x:c r="C413" s="75" t="n">
        <x:v>5</x:v>
      </x:c>
      <x:c r="D413" s="75" t="n">
        <x:v>12</x:v>
      </x:c>
      <x:c r="E413" s="75" t="n">
        <x:v>20</x:v>
      </x:c>
      <x:c r="F413" s="75" t="n">
        <x:v>29</x:v>
      </x:c>
      <x:c r="G413" s="75" t="n">
        <x:v>48</x:v>
      </x:c>
      <x:c r="H413" s="75" t="n">
        <x:v>7</x:v>
      </x:c>
      <x:c r="I413" s="75" t="n">
        <x:v>9</x:v>
      </x:c>
      <x:c r="J413" s="75" t="n">
        <x:v>50</x:v>
      </x:c>
      <x:c r="K413" s="75" t="n">
        <x:v>10</x:v>
      </x:c>
      <x:c r="L413" s="75" t="str">
        <x:v>R2_5of50_2of10</x:v>
      </x:c>
      <x:c r="M413" s="213" t="str">
        <x:v>S1_pre_2024_studio_change_sensitivity_only</x:v>
      </x:c>
      <x:c r="N413" s="213" t="str">
        <x:v>Friday</x:v>
      </x:c>
      <x:c r="O413" s="213" t="str">
        <x:v>LottoMetrics full-history export</x:v>
      </x:c>
      <x:c r="P413" s="213" t="str">
        <x:v>Archive-sourced; calendar/range/uniqueness validated</x:v>
      </x:c>
      <x:c r="Q413" s="54" t="str"/>
    </x:row>
    <x:row r="414">
      <x:c r="A414" s="74" t="n">
        <x:v>411</x:v>
      </x:c>
      <x:c r="B414" s="217" t="n">
        <x:v>43861</x:v>
      </x:c>
      <x:c r="C414" s="75" t="n">
        <x:v>1</x:v>
      </x:c>
      <x:c r="D414" s="75" t="n">
        <x:v>7</x:v>
      </x:c>
      <x:c r="E414" s="75" t="n">
        <x:v>12</x:v>
      </x:c>
      <x:c r="F414" s="75" t="n">
        <x:v>23</x:v>
      </x:c>
      <x:c r="G414" s="75" t="n">
        <x:v>39</x:v>
      </x:c>
      <x:c r="H414" s="75" t="n">
        <x:v>3</x:v>
      </x:c>
      <x:c r="I414" s="75" t="n">
        <x:v>4</x:v>
      </x:c>
      <x:c r="J414" s="75" t="n">
        <x:v>50</x:v>
      </x:c>
      <x:c r="K414" s="75" t="n">
        <x:v>10</x:v>
      </x:c>
      <x:c r="L414" s="75" t="str">
        <x:v>R2_5of50_2of10</x:v>
      </x:c>
      <x:c r="M414" s="213" t="str">
        <x:v>S1_pre_2024_studio_change_sensitivity_only</x:v>
      </x:c>
      <x:c r="N414" s="213" t="str">
        <x:v>Friday</x:v>
      </x:c>
      <x:c r="O414" s="213" t="str">
        <x:v>LottoMetrics full-history export</x:v>
      </x:c>
      <x:c r="P414" s="213" t="str">
        <x:v>Archive-sourced; calendar/range/uniqueness validated</x:v>
      </x:c>
      <x:c r="Q414" s="54" t="str"/>
    </x:row>
    <x:row r="415">
      <x:c r="A415" s="74" t="n">
        <x:v>412</x:v>
      </x:c>
      <x:c r="B415" s="217" t="n">
        <x:v>43868</x:v>
      </x:c>
      <x:c r="C415" s="75" t="n">
        <x:v>7</x:v>
      </x:c>
      <x:c r="D415" s="75" t="n">
        <x:v>16</x:v>
      </x:c>
      <x:c r="E415" s="75" t="n">
        <x:v>22</x:v>
      </x:c>
      <x:c r="F415" s="75" t="n">
        <x:v>36</x:v>
      </x:c>
      <x:c r="G415" s="75" t="n">
        <x:v>44</x:v>
      </x:c>
      <x:c r="H415" s="75" t="n">
        <x:v>3</x:v>
      </x:c>
      <x:c r="I415" s="75" t="n">
        <x:v>4</x:v>
      </x:c>
      <x:c r="J415" s="75" t="n">
        <x:v>50</x:v>
      </x:c>
      <x:c r="K415" s="75" t="n">
        <x:v>10</x:v>
      </x:c>
      <x:c r="L415" s="75" t="str">
        <x:v>R2_5of50_2of10</x:v>
      </x:c>
      <x:c r="M415" s="213" t="str">
        <x:v>S1_pre_2024_studio_change_sensitivity_only</x:v>
      </x:c>
      <x:c r="N415" s="213" t="str">
        <x:v>Friday</x:v>
      </x:c>
      <x:c r="O415" s="213" t="str">
        <x:v>LottoMetrics full-history export</x:v>
      </x:c>
      <x:c r="P415" s="213" t="str">
        <x:v>Archive-sourced; calendar/range/uniqueness validated</x:v>
      </x:c>
      <x:c r="Q415" s="54" t="str"/>
    </x:row>
    <x:row r="416">
      <x:c r="A416" s="74" t="n">
        <x:v>413</x:v>
      </x:c>
      <x:c r="B416" s="217" t="n">
        <x:v>43875</x:v>
      </x:c>
      <x:c r="C416" s="75" t="n">
        <x:v>2</x:v>
      </x:c>
      <x:c r="D416" s="75" t="n">
        <x:v>6</x:v>
      </x:c>
      <x:c r="E416" s="75" t="n">
        <x:v>30</x:v>
      </x:c>
      <x:c r="F416" s="75" t="n">
        <x:v>32</x:v>
      </x:c>
      <x:c r="G416" s="75" t="n">
        <x:v>49</x:v>
      </x:c>
      <x:c r="H416" s="75" t="n">
        <x:v>1</x:v>
      </x:c>
      <x:c r="I416" s="75" t="n">
        <x:v>4</x:v>
      </x:c>
      <x:c r="J416" s="75" t="n">
        <x:v>50</x:v>
      </x:c>
      <x:c r="K416" s="75" t="n">
        <x:v>10</x:v>
      </x:c>
      <x:c r="L416" s="75" t="str">
        <x:v>R2_5of50_2of10</x:v>
      </x:c>
      <x:c r="M416" s="213" t="str">
        <x:v>S1_pre_2024_studio_change_sensitivity_only</x:v>
      </x:c>
      <x:c r="N416" s="213" t="str">
        <x:v>Friday</x:v>
      </x:c>
      <x:c r="O416" s="213" t="str">
        <x:v>LottoMetrics full-history export</x:v>
      </x:c>
      <x:c r="P416" s="213" t="str">
        <x:v>Archive-sourced; calendar/range/uniqueness validated</x:v>
      </x:c>
      <x:c r="Q416" s="54" t="str"/>
    </x:row>
    <x:row r="417">
      <x:c r="A417" s="74" t="n">
        <x:v>414</x:v>
      </x:c>
      <x:c r="B417" s="217" t="n">
        <x:v>43882</x:v>
      </x:c>
      <x:c r="C417" s="75" t="n">
        <x:v>2</x:v>
      </x:c>
      <x:c r="D417" s="75" t="n">
        <x:v>13</x:v>
      </x:c>
      <x:c r="E417" s="75" t="n">
        <x:v>39</x:v>
      </x:c>
      <x:c r="F417" s="75" t="n">
        <x:v>45</x:v>
      </x:c>
      <x:c r="G417" s="75" t="n">
        <x:v>47</x:v>
      </x:c>
      <x:c r="H417" s="75" t="n">
        <x:v>4</x:v>
      </x:c>
      <x:c r="I417" s="75" t="n">
        <x:v>6</x:v>
      </x:c>
      <x:c r="J417" s="75" t="n">
        <x:v>50</x:v>
      </x:c>
      <x:c r="K417" s="75" t="n">
        <x:v>10</x:v>
      </x:c>
      <x:c r="L417" s="75" t="str">
        <x:v>R2_5of50_2of10</x:v>
      </x:c>
      <x:c r="M417" s="213" t="str">
        <x:v>S1_pre_2024_studio_change_sensitivity_only</x:v>
      </x:c>
      <x:c r="N417" s="213" t="str">
        <x:v>Friday</x:v>
      </x:c>
      <x:c r="O417" s="213" t="str">
        <x:v>LottoMetrics full-history export</x:v>
      </x:c>
      <x:c r="P417" s="213" t="str">
        <x:v>Archive-sourced; calendar/range/uniqueness validated</x:v>
      </x:c>
      <x:c r="Q417" s="54" t="str"/>
    </x:row>
    <x:row r="418">
      <x:c r="A418" s="74" t="n">
        <x:v>415</x:v>
      </x:c>
      <x:c r="B418" s="217" t="n">
        <x:v>43889</x:v>
      </x:c>
      <x:c r="C418" s="75" t="n">
        <x:v>12</x:v>
      </x:c>
      <x:c r="D418" s="75" t="n">
        <x:v>22</x:v>
      </x:c>
      <x:c r="E418" s="75" t="n">
        <x:v>24</x:v>
      </x:c>
      <x:c r="F418" s="75" t="n">
        <x:v>29</x:v>
      </x:c>
      <x:c r="G418" s="75" t="n">
        <x:v>38</x:v>
      </x:c>
      <x:c r="H418" s="75" t="n">
        <x:v>5</x:v>
      </x:c>
      <x:c r="I418" s="75" t="n">
        <x:v>6</x:v>
      </x:c>
      <x:c r="J418" s="75" t="n">
        <x:v>50</x:v>
      </x:c>
      <x:c r="K418" s="75" t="n">
        <x:v>10</x:v>
      </x:c>
      <x:c r="L418" s="75" t="str">
        <x:v>R2_5of50_2of10</x:v>
      </x:c>
      <x:c r="M418" s="213" t="str">
        <x:v>S1_pre_2024_studio_change_sensitivity_only</x:v>
      </x:c>
      <x:c r="N418" s="213" t="str">
        <x:v>Friday</x:v>
      </x:c>
      <x:c r="O418" s="213" t="str">
        <x:v>LottoMetrics full-history export</x:v>
      </x:c>
      <x:c r="P418" s="213" t="str">
        <x:v>Archive-sourced; calendar/range/uniqueness validated</x:v>
      </x:c>
      <x:c r="Q418" s="54" t="str"/>
    </x:row>
    <x:row r="419">
      <x:c r="A419" s="74" t="n">
        <x:v>416</x:v>
      </x:c>
      <x:c r="B419" s="217" t="n">
        <x:v>43896</x:v>
      </x:c>
      <x:c r="C419" s="75" t="n">
        <x:v>15</x:v>
      </x:c>
      <x:c r="D419" s="75" t="n">
        <x:v>19</x:v>
      </x:c>
      <x:c r="E419" s="75" t="n">
        <x:v>35</x:v>
      </x:c>
      <x:c r="F419" s="75" t="n">
        <x:v>36</x:v>
      </x:c>
      <x:c r="G419" s="75" t="n">
        <x:v>41</x:v>
      </x:c>
      <x:c r="H419" s="75" t="n">
        <x:v>5</x:v>
      </x:c>
      <x:c r="I419" s="75" t="n">
        <x:v>10</x:v>
      </x:c>
      <x:c r="J419" s="75" t="n">
        <x:v>50</x:v>
      </x:c>
      <x:c r="K419" s="75" t="n">
        <x:v>10</x:v>
      </x:c>
      <x:c r="L419" s="75" t="str">
        <x:v>R2_5of50_2of10</x:v>
      </x:c>
      <x:c r="M419" s="213" t="str">
        <x:v>S1_pre_2024_studio_change_sensitivity_only</x:v>
      </x:c>
      <x:c r="N419" s="213" t="str">
        <x:v>Friday</x:v>
      </x:c>
      <x:c r="O419" s="213" t="str">
        <x:v>LottoMetrics full-history export</x:v>
      </x:c>
      <x:c r="P419" s="213" t="str">
        <x:v>Archive-sourced; calendar/range/uniqueness validated</x:v>
      </x:c>
      <x:c r="Q419" s="54" t="str"/>
    </x:row>
    <x:row r="420">
      <x:c r="A420" s="74" t="n">
        <x:v>417</x:v>
      </x:c>
      <x:c r="B420" s="217" t="n">
        <x:v>43903</x:v>
      </x:c>
      <x:c r="C420" s="75" t="n">
        <x:v>1</x:v>
      </x:c>
      <x:c r="D420" s="75" t="n">
        <x:v>17</x:v>
      </x:c>
      <x:c r="E420" s="75" t="n">
        <x:v>29</x:v>
      </x:c>
      <x:c r="F420" s="75" t="n">
        <x:v>39</x:v>
      </x:c>
      <x:c r="G420" s="75" t="n">
        <x:v>42</x:v>
      </x:c>
      <x:c r="H420" s="75" t="n">
        <x:v>7</x:v>
      </x:c>
      <x:c r="I420" s="75" t="n">
        <x:v>8</x:v>
      </x:c>
      <x:c r="J420" s="75" t="n">
        <x:v>50</x:v>
      </x:c>
      <x:c r="K420" s="75" t="n">
        <x:v>10</x:v>
      </x:c>
      <x:c r="L420" s="75" t="str">
        <x:v>R2_5of50_2of10</x:v>
      </x:c>
      <x:c r="M420" s="213" t="str">
        <x:v>S1_pre_2024_studio_change_sensitivity_only</x:v>
      </x:c>
      <x:c r="N420" s="213" t="str">
        <x:v>Friday</x:v>
      </x:c>
      <x:c r="O420" s="213" t="str">
        <x:v>LottoMetrics full-history export</x:v>
      </x:c>
      <x:c r="P420" s="213" t="str">
        <x:v>Archive-sourced; calendar/range/uniqueness validated</x:v>
      </x:c>
      <x:c r="Q420" s="54" t="str"/>
    </x:row>
    <x:row r="421">
      <x:c r="A421" s="74" t="n">
        <x:v>418</x:v>
      </x:c>
      <x:c r="B421" s="217" t="n">
        <x:v>43910</x:v>
      </x:c>
      <x:c r="C421" s="75" t="n">
        <x:v>9</x:v>
      </x:c>
      <x:c r="D421" s="75" t="n">
        <x:v>14</x:v>
      </x:c>
      <x:c r="E421" s="75" t="n">
        <x:v>28</x:v>
      </x:c>
      <x:c r="F421" s="75" t="n">
        <x:v>30</x:v>
      </x:c>
      <x:c r="G421" s="75" t="n">
        <x:v>37</x:v>
      </x:c>
      <x:c r="H421" s="75" t="n">
        <x:v>3</x:v>
      </x:c>
      <x:c r="I421" s="75" t="n">
        <x:v>10</x:v>
      </x:c>
      <x:c r="J421" s="75" t="n">
        <x:v>50</x:v>
      </x:c>
      <x:c r="K421" s="75" t="n">
        <x:v>10</x:v>
      </x:c>
      <x:c r="L421" s="75" t="str">
        <x:v>R2_5of50_2of10</x:v>
      </x:c>
      <x:c r="M421" s="213" t="str">
        <x:v>S1_pre_2024_studio_change_sensitivity_only</x:v>
      </x:c>
      <x:c r="N421" s="213" t="str">
        <x:v>Friday</x:v>
      </x:c>
      <x:c r="O421" s="213" t="str">
        <x:v>LottoMetrics full-history export</x:v>
      </x:c>
      <x:c r="P421" s="213" t="str">
        <x:v>Archive-sourced; calendar/range/uniqueness validated</x:v>
      </x:c>
      <x:c r="Q421" s="54" t="str"/>
    </x:row>
    <x:row r="422">
      <x:c r="A422" s="74" t="n">
        <x:v>419</x:v>
      </x:c>
      <x:c r="B422" s="217" t="n">
        <x:v>43917</x:v>
      </x:c>
      <x:c r="C422" s="75" t="n">
        <x:v>13</x:v>
      </x:c>
      <x:c r="D422" s="75" t="n">
        <x:v>19</x:v>
      </x:c>
      <x:c r="E422" s="75" t="n">
        <x:v>23</x:v>
      </x:c>
      <x:c r="F422" s="75" t="n">
        <x:v>34</x:v>
      </x:c>
      <x:c r="G422" s="75" t="n">
        <x:v>41</x:v>
      </x:c>
      <x:c r="H422" s="75" t="n">
        <x:v>3</x:v>
      </x:c>
      <x:c r="I422" s="75" t="n">
        <x:v>8</x:v>
      </x:c>
      <x:c r="J422" s="75" t="n">
        <x:v>50</x:v>
      </x:c>
      <x:c r="K422" s="75" t="n">
        <x:v>10</x:v>
      </x:c>
      <x:c r="L422" s="75" t="str">
        <x:v>R2_5of50_2of10</x:v>
      </x:c>
      <x:c r="M422" s="213" t="str">
        <x:v>S1_pre_2024_studio_change_sensitivity_only</x:v>
      </x:c>
      <x:c r="N422" s="213" t="str">
        <x:v>Friday</x:v>
      </x:c>
      <x:c r="O422" s="213" t="str">
        <x:v>LottoMetrics full-history export</x:v>
      </x:c>
      <x:c r="P422" s="213" t="str">
        <x:v>Archive-sourced; calendar/range/uniqueness validated</x:v>
      </x:c>
      <x:c r="Q422" s="54" t="str"/>
    </x:row>
    <x:row r="423">
      <x:c r="A423" s="74" t="n">
        <x:v>420</x:v>
      </x:c>
      <x:c r="B423" s="217" t="n">
        <x:v>43924</x:v>
      </x:c>
      <x:c r="C423" s="75" t="n">
        <x:v>3</x:v>
      </x:c>
      <x:c r="D423" s="75" t="n">
        <x:v>21</x:v>
      </x:c>
      <x:c r="E423" s="75" t="n">
        <x:v>26</x:v>
      </x:c>
      <x:c r="F423" s="75" t="n">
        <x:v>40</x:v>
      </x:c>
      <x:c r="G423" s="75" t="n">
        <x:v>41</x:v>
      </x:c>
      <x:c r="H423" s="75" t="n">
        <x:v>8</x:v>
      </x:c>
      <x:c r="I423" s="75" t="n">
        <x:v>10</x:v>
      </x:c>
      <x:c r="J423" s="75" t="n">
        <x:v>50</x:v>
      </x:c>
      <x:c r="K423" s="75" t="n">
        <x:v>10</x:v>
      </x:c>
      <x:c r="L423" s="75" t="str">
        <x:v>R2_5of50_2of10</x:v>
      </x:c>
      <x:c r="M423" s="213" t="str">
        <x:v>S1_pre_2024_studio_change_sensitivity_only</x:v>
      </x:c>
      <x:c r="N423" s="213" t="str">
        <x:v>Friday</x:v>
      </x:c>
      <x:c r="O423" s="213" t="str">
        <x:v>LottoMetrics full-history export</x:v>
      </x:c>
      <x:c r="P423" s="213" t="str">
        <x:v>Archive-sourced; calendar/range/uniqueness validated</x:v>
      </x:c>
      <x:c r="Q423" s="54" t="str"/>
    </x:row>
    <x:row r="424">
      <x:c r="A424" s="74" t="n">
        <x:v>421</x:v>
      </x:c>
      <x:c r="B424" s="217" t="n">
        <x:v>43931</x:v>
      </x:c>
      <x:c r="C424" s="75" t="n">
        <x:v>2</x:v>
      </x:c>
      <x:c r="D424" s="75" t="n">
        <x:v>7</x:v>
      </x:c>
      <x:c r="E424" s="75" t="n">
        <x:v>8</x:v>
      </x:c>
      <x:c r="F424" s="75" t="n">
        <x:v>43</x:v>
      </x:c>
      <x:c r="G424" s="75" t="n">
        <x:v>50</x:v>
      </x:c>
      <x:c r="H424" s="75" t="n">
        <x:v>2</x:v>
      </x:c>
      <x:c r="I424" s="75" t="n">
        <x:v>3</x:v>
      </x:c>
      <x:c r="J424" s="75" t="n">
        <x:v>50</x:v>
      </x:c>
      <x:c r="K424" s="75" t="n">
        <x:v>10</x:v>
      </x:c>
      <x:c r="L424" s="75" t="str">
        <x:v>R2_5of50_2of10</x:v>
      </x:c>
      <x:c r="M424" s="213" t="str">
        <x:v>S1_pre_2024_studio_change_sensitivity_only</x:v>
      </x:c>
      <x:c r="N424" s="213" t="str">
        <x:v>Friday</x:v>
      </x:c>
      <x:c r="O424" s="213" t="str">
        <x:v>LottoMetrics full-history export</x:v>
      </x:c>
      <x:c r="P424" s="213" t="str">
        <x:v>Archive-sourced; calendar/range/uniqueness validated</x:v>
      </x:c>
      <x:c r="Q424" s="54" t="str"/>
    </x:row>
    <x:row r="425">
      <x:c r="A425" s="74" t="n">
        <x:v>422</x:v>
      </x:c>
      <x:c r="B425" s="217" t="n">
        <x:v>43938</x:v>
      </x:c>
      <x:c r="C425" s="75" t="n">
        <x:v>1</x:v>
      </x:c>
      <x:c r="D425" s="75" t="n">
        <x:v>18</x:v>
      </x:c>
      <x:c r="E425" s="75" t="n">
        <x:v>23</x:v>
      </x:c>
      <x:c r="F425" s="75" t="n">
        <x:v>33</x:v>
      </x:c>
      <x:c r="G425" s="75" t="n">
        <x:v>41</x:v>
      </x:c>
      <x:c r="H425" s="75" t="n">
        <x:v>2</x:v>
      </x:c>
      <x:c r="I425" s="75" t="n">
        <x:v>6</x:v>
      </x:c>
      <x:c r="J425" s="75" t="n">
        <x:v>50</x:v>
      </x:c>
      <x:c r="K425" s="75" t="n">
        <x:v>10</x:v>
      </x:c>
      <x:c r="L425" s="75" t="str">
        <x:v>R2_5of50_2of10</x:v>
      </x:c>
      <x:c r="M425" s="213" t="str">
        <x:v>S1_pre_2024_studio_change_sensitivity_only</x:v>
      </x:c>
      <x:c r="N425" s="213" t="str">
        <x:v>Friday</x:v>
      </x:c>
      <x:c r="O425" s="213" t="str">
        <x:v>LottoMetrics full-history export</x:v>
      </x:c>
      <x:c r="P425" s="213" t="str">
        <x:v>Archive-sourced; calendar/range/uniqueness validated</x:v>
      </x:c>
      <x:c r="Q425" s="54" t="str"/>
    </x:row>
    <x:row r="426">
      <x:c r="A426" s="74" t="n">
        <x:v>423</x:v>
      </x:c>
      <x:c r="B426" s="217" t="n">
        <x:v>43945</x:v>
      </x:c>
      <x:c r="C426" s="75" t="n">
        <x:v>6</x:v>
      </x:c>
      <x:c r="D426" s="75" t="n">
        <x:v>13</x:v>
      </x:c>
      <x:c r="E426" s="75" t="n">
        <x:v>15</x:v>
      </x:c>
      <x:c r="F426" s="75" t="n">
        <x:v>34</x:v>
      </x:c>
      <x:c r="G426" s="75" t="n">
        <x:v>35</x:v>
      </x:c>
      <x:c r="H426" s="75" t="n">
        <x:v>1</x:v>
      </x:c>
      <x:c r="I426" s="75" t="n">
        <x:v>5</x:v>
      </x:c>
      <x:c r="J426" s="75" t="n">
        <x:v>50</x:v>
      </x:c>
      <x:c r="K426" s="75" t="n">
        <x:v>10</x:v>
      </x:c>
      <x:c r="L426" s="75" t="str">
        <x:v>R2_5of50_2of10</x:v>
      </x:c>
      <x:c r="M426" s="213" t="str">
        <x:v>S1_pre_2024_studio_change_sensitivity_only</x:v>
      </x:c>
      <x:c r="N426" s="213" t="str">
        <x:v>Friday</x:v>
      </x:c>
      <x:c r="O426" s="213" t="str">
        <x:v>LottoMetrics full-history export</x:v>
      </x:c>
      <x:c r="P426" s="213" t="str">
        <x:v>Archive-sourced; calendar/range/uniqueness validated</x:v>
      </x:c>
      <x:c r="Q426" s="54" t="str"/>
    </x:row>
    <x:row r="427">
      <x:c r="A427" s="74" t="n">
        <x:v>424</x:v>
      </x:c>
      <x:c r="B427" s="217" t="n">
        <x:v>43952</x:v>
      </x:c>
      <x:c r="C427" s="75" t="n">
        <x:v>6</x:v>
      </x:c>
      <x:c r="D427" s="75" t="n">
        <x:v>11</x:v>
      </x:c>
      <x:c r="E427" s="75" t="n">
        <x:v>12</x:v>
      </x:c>
      <x:c r="F427" s="75" t="n">
        <x:v>21</x:v>
      </x:c>
      <x:c r="G427" s="75" t="n">
        <x:v>41</x:v>
      </x:c>
      <x:c r="H427" s="75" t="n">
        <x:v>1</x:v>
      </x:c>
      <x:c r="I427" s="75" t="n">
        <x:v>2</x:v>
      </x:c>
      <x:c r="J427" s="75" t="n">
        <x:v>50</x:v>
      </x:c>
      <x:c r="K427" s="75" t="n">
        <x:v>10</x:v>
      </x:c>
      <x:c r="L427" s="75" t="str">
        <x:v>R2_5of50_2of10</x:v>
      </x:c>
      <x:c r="M427" s="213" t="str">
        <x:v>S1_pre_2024_studio_change_sensitivity_only</x:v>
      </x:c>
      <x:c r="N427" s="213" t="str">
        <x:v>Friday</x:v>
      </x:c>
      <x:c r="O427" s="213" t="str">
        <x:v>LottoMetrics full-history export</x:v>
      </x:c>
      <x:c r="P427" s="213" t="str">
        <x:v>Archive-sourced; calendar/range/uniqueness validated</x:v>
      </x:c>
      <x:c r="Q427" s="54" t="str"/>
    </x:row>
    <x:row r="428">
      <x:c r="A428" s="74" t="n">
        <x:v>425</x:v>
      </x:c>
      <x:c r="B428" s="217" t="n">
        <x:v>43959</x:v>
      </x:c>
      <x:c r="C428" s="75" t="n">
        <x:v>9</x:v>
      </x:c>
      <x:c r="D428" s="75" t="n">
        <x:v>11</x:v>
      </x:c>
      <x:c r="E428" s="75" t="n">
        <x:v>15</x:v>
      </x:c>
      <x:c r="F428" s="75" t="n">
        <x:v>36</x:v>
      </x:c>
      <x:c r="G428" s="75" t="n">
        <x:v>43</x:v>
      </x:c>
      <x:c r="H428" s="75" t="n">
        <x:v>8</x:v>
      </x:c>
      <x:c r="I428" s="75" t="n">
        <x:v>9</x:v>
      </x:c>
      <x:c r="J428" s="75" t="n">
        <x:v>50</x:v>
      </x:c>
      <x:c r="K428" s="75" t="n">
        <x:v>10</x:v>
      </x:c>
      <x:c r="L428" s="75" t="str">
        <x:v>R2_5of50_2of10</x:v>
      </x:c>
      <x:c r="M428" s="213" t="str">
        <x:v>S1_pre_2024_studio_change_sensitivity_only</x:v>
      </x:c>
      <x:c r="N428" s="213" t="str">
        <x:v>Friday</x:v>
      </x:c>
      <x:c r="O428" s="213" t="str">
        <x:v>LottoMetrics full-history export</x:v>
      </x:c>
      <x:c r="P428" s="213" t="str">
        <x:v>Archive-sourced; calendar/range/uniqueness validated</x:v>
      </x:c>
      <x:c r="Q428" s="54" t="str"/>
    </x:row>
    <x:row r="429">
      <x:c r="A429" s="74" t="n">
        <x:v>426</x:v>
      </x:c>
      <x:c r="B429" s="217" t="n">
        <x:v>43966</x:v>
      </x:c>
      <x:c r="C429" s="75" t="n">
        <x:v>21</x:v>
      </x:c>
      <x:c r="D429" s="75" t="n">
        <x:v>27</x:v>
      </x:c>
      <x:c r="E429" s="75" t="n">
        <x:v>29</x:v>
      </x:c>
      <x:c r="F429" s="75" t="n">
        <x:v>34</x:v>
      </x:c>
      <x:c r="G429" s="75" t="n">
        <x:v>49</x:v>
      </x:c>
      <x:c r="H429" s="75" t="n">
        <x:v>8</x:v>
      </x:c>
      <x:c r="I429" s="75" t="n">
        <x:v>10</x:v>
      </x:c>
      <x:c r="J429" s="75" t="n">
        <x:v>50</x:v>
      </x:c>
      <x:c r="K429" s="75" t="n">
        <x:v>10</x:v>
      </x:c>
      <x:c r="L429" s="75" t="str">
        <x:v>R2_5of50_2of10</x:v>
      </x:c>
      <x:c r="M429" s="213" t="str">
        <x:v>S1_pre_2024_studio_change_sensitivity_only</x:v>
      </x:c>
      <x:c r="N429" s="213" t="str">
        <x:v>Friday</x:v>
      </x:c>
      <x:c r="O429" s="213" t="str">
        <x:v>LottoMetrics full-history export</x:v>
      </x:c>
      <x:c r="P429" s="213" t="str">
        <x:v>Archive-sourced; calendar/range/uniqueness validated</x:v>
      </x:c>
      <x:c r="Q429" s="54" t="str"/>
    </x:row>
    <x:row r="430">
      <x:c r="A430" s="74" t="n">
        <x:v>427</x:v>
      </x:c>
      <x:c r="B430" s="217" t="n">
        <x:v>43973</x:v>
      </x:c>
      <x:c r="C430" s="75" t="n">
        <x:v>12</x:v>
      </x:c>
      <x:c r="D430" s="75" t="n">
        <x:v>15</x:v>
      </x:c>
      <x:c r="E430" s="75" t="n">
        <x:v>32</x:v>
      </x:c>
      <x:c r="F430" s="75" t="n">
        <x:v>40</x:v>
      </x:c>
      <x:c r="G430" s="75" t="n">
        <x:v>45</x:v>
      </x:c>
      <x:c r="H430" s="75" t="n">
        <x:v>7</x:v>
      </x:c>
      <x:c r="I430" s="75" t="n">
        <x:v>10</x:v>
      </x:c>
      <x:c r="J430" s="75" t="n">
        <x:v>50</x:v>
      </x:c>
      <x:c r="K430" s="75" t="n">
        <x:v>10</x:v>
      </x:c>
      <x:c r="L430" s="75" t="str">
        <x:v>R2_5of50_2of10</x:v>
      </x:c>
      <x:c r="M430" s="213" t="str">
        <x:v>S1_pre_2024_studio_change_sensitivity_only</x:v>
      </x:c>
      <x:c r="N430" s="213" t="str">
        <x:v>Friday</x:v>
      </x:c>
      <x:c r="O430" s="213" t="str">
        <x:v>LottoMetrics full-history export</x:v>
      </x:c>
      <x:c r="P430" s="213" t="str">
        <x:v>Archive-sourced; calendar/range/uniqueness validated</x:v>
      </x:c>
      <x:c r="Q430" s="54" t="str"/>
    </x:row>
    <x:row r="431">
      <x:c r="A431" s="74" t="n">
        <x:v>428</x:v>
      </x:c>
      <x:c r="B431" s="217" t="n">
        <x:v>43980</x:v>
      </x:c>
      <x:c r="C431" s="75" t="n">
        <x:v>8</x:v>
      </x:c>
      <x:c r="D431" s="75" t="n">
        <x:v>22</x:v>
      </x:c>
      <x:c r="E431" s="75" t="n">
        <x:v>31</x:v>
      </x:c>
      <x:c r="F431" s="75" t="n">
        <x:v>32</x:v>
      </x:c>
      <x:c r="G431" s="75" t="n">
        <x:v>36</x:v>
      </x:c>
      <x:c r="H431" s="75" t="n">
        <x:v>6</x:v>
      </x:c>
      <x:c r="I431" s="75" t="n">
        <x:v>10</x:v>
      </x:c>
      <x:c r="J431" s="75" t="n">
        <x:v>50</x:v>
      </x:c>
      <x:c r="K431" s="75" t="n">
        <x:v>10</x:v>
      </x:c>
      <x:c r="L431" s="75" t="str">
        <x:v>R2_5of50_2of10</x:v>
      </x:c>
      <x:c r="M431" s="213" t="str">
        <x:v>S1_pre_2024_studio_change_sensitivity_only</x:v>
      </x:c>
      <x:c r="N431" s="213" t="str">
        <x:v>Friday</x:v>
      </x:c>
      <x:c r="O431" s="213" t="str">
        <x:v>LottoMetrics full-history export</x:v>
      </x:c>
      <x:c r="P431" s="213" t="str">
        <x:v>Archive-sourced; calendar/range/uniqueness validated</x:v>
      </x:c>
      <x:c r="Q431" s="54" t="str"/>
    </x:row>
    <x:row r="432">
      <x:c r="A432" s="74" t="n">
        <x:v>429</x:v>
      </x:c>
      <x:c r="B432" s="217" t="n">
        <x:v>43987</x:v>
      </x:c>
      <x:c r="C432" s="75" t="n">
        <x:v>9</x:v>
      </x:c>
      <x:c r="D432" s="75" t="n">
        <x:v>16</x:v>
      </x:c>
      <x:c r="E432" s="75" t="n">
        <x:v>17</x:v>
      </x:c>
      <x:c r="F432" s="75" t="n">
        <x:v>29</x:v>
      </x:c>
      <x:c r="G432" s="75" t="n">
        <x:v>39</x:v>
      </x:c>
      <x:c r="H432" s="75" t="n">
        <x:v>1</x:v>
      </x:c>
      <x:c r="I432" s="75" t="n">
        <x:v>8</x:v>
      </x:c>
      <x:c r="J432" s="75" t="n">
        <x:v>50</x:v>
      </x:c>
      <x:c r="K432" s="75" t="n">
        <x:v>10</x:v>
      </x:c>
      <x:c r="L432" s="75" t="str">
        <x:v>R2_5of50_2of10</x:v>
      </x:c>
      <x:c r="M432" s="213" t="str">
        <x:v>S1_pre_2024_studio_change_sensitivity_only</x:v>
      </x:c>
      <x:c r="N432" s="213" t="str">
        <x:v>Friday</x:v>
      </x:c>
      <x:c r="O432" s="213" t="str">
        <x:v>LottoMetrics full-history export</x:v>
      </x:c>
      <x:c r="P432" s="213" t="str">
        <x:v>Archive-sourced; calendar/range/uniqueness validated</x:v>
      </x:c>
      <x:c r="Q432" s="54" t="str"/>
    </x:row>
    <x:row r="433">
      <x:c r="A433" s="74" t="n">
        <x:v>430</x:v>
      </x:c>
      <x:c r="B433" s="217" t="n">
        <x:v>43994</x:v>
      </x:c>
      <x:c r="C433" s="75" t="n">
        <x:v>7</x:v>
      </x:c>
      <x:c r="D433" s="75" t="n">
        <x:v>16</x:v>
      </x:c>
      <x:c r="E433" s="75" t="n">
        <x:v>22</x:v>
      </x:c>
      <x:c r="F433" s="75" t="n">
        <x:v>30</x:v>
      </x:c>
      <x:c r="G433" s="75" t="n">
        <x:v>48</x:v>
      </x:c>
      <x:c r="H433" s="75" t="n">
        <x:v>2</x:v>
      </x:c>
      <x:c r="I433" s="75" t="n">
        <x:v>8</x:v>
      </x:c>
      <x:c r="J433" s="75" t="n">
        <x:v>50</x:v>
      </x:c>
      <x:c r="K433" s="75" t="n">
        <x:v>10</x:v>
      </x:c>
      <x:c r="L433" s="75" t="str">
        <x:v>R2_5of50_2of10</x:v>
      </x:c>
      <x:c r="M433" s="213" t="str">
        <x:v>S1_pre_2024_studio_change_sensitivity_only</x:v>
      </x:c>
      <x:c r="N433" s="213" t="str">
        <x:v>Friday</x:v>
      </x:c>
      <x:c r="O433" s="213" t="str">
        <x:v>LottoMetrics full-history export</x:v>
      </x:c>
      <x:c r="P433" s="213" t="str">
        <x:v>Archive-sourced; calendar/range/uniqueness validated</x:v>
      </x:c>
      <x:c r="Q433" s="54" t="str"/>
    </x:row>
    <x:row r="434">
      <x:c r="A434" s="74" t="n">
        <x:v>431</x:v>
      </x:c>
      <x:c r="B434" s="217" t="n">
        <x:v>44001</x:v>
      </x:c>
      <x:c r="C434" s="75" t="n">
        <x:v>2</x:v>
      </x:c>
      <x:c r="D434" s="75" t="n">
        <x:v>22</x:v>
      </x:c>
      <x:c r="E434" s="75" t="n">
        <x:v>33</x:v>
      </x:c>
      <x:c r="F434" s="75" t="n">
        <x:v>38</x:v>
      </x:c>
      <x:c r="G434" s="75" t="n">
        <x:v>47</x:v>
      </x:c>
      <x:c r="H434" s="75" t="n">
        <x:v>2</x:v>
      </x:c>
      <x:c r="I434" s="75" t="n">
        <x:v>9</x:v>
      </x:c>
      <x:c r="J434" s="75" t="n">
        <x:v>50</x:v>
      </x:c>
      <x:c r="K434" s="75" t="n">
        <x:v>10</x:v>
      </x:c>
      <x:c r="L434" s="75" t="str">
        <x:v>R2_5of50_2of10</x:v>
      </x:c>
      <x:c r="M434" s="213" t="str">
        <x:v>S1_pre_2024_studio_change_sensitivity_only</x:v>
      </x:c>
      <x:c r="N434" s="213" t="str">
        <x:v>Friday</x:v>
      </x:c>
      <x:c r="O434" s="213" t="str">
        <x:v>LottoMetrics full-history export</x:v>
      </x:c>
      <x:c r="P434" s="213" t="str">
        <x:v>Archive-sourced; calendar/range/uniqueness validated</x:v>
      </x:c>
      <x:c r="Q434" s="54" t="str"/>
    </x:row>
    <x:row r="435">
      <x:c r="A435" s="74" t="n">
        <x:v>432</x:v>
      </x:c>
      <x:c r="B435" s="217" t="n">
        <x:v>44008</x:v>
      </x:c>
      <x:c r="C435" s="75" t="n">
        <x:v>14</x:v>
      </x:c>
      <x:c r="D435" s="75" t="n">
        <x:v>16</x:v>
      </x:c>
      <x:c r="E435" s="75" t="n">
        <x:v>32</x:v>
      </x:c>
      <x:c r="F435" s="75" t="n">
        <x:v>34</x:v>
      </x:c>
      <x:c r="G435" s="75" t="n">
        <x:v>47</x:v>
      </x:c>
      <x:c r="H435" s="75" t="n">
        <x:v>7</x:v>
      </x:c>
      <x:c r="I435" s="75" t="n">
        <x:v>9</x:v>
      </x:c>
      <x:c r="J435" s="75" t="n">
        <x:v>50</x:v>
      </x:c>
      <x:c r="K435" s="75" t="n">
        <x:v>10</x:v>
      </x:c>
      <x:c r="L435" s="75" t="str">
        <x:v>R2_5of50_2of10</x:v>
      </x:c>
      <x:c r="M435" s="213" t="str">
        <x:v>S1_pre_2024_studio_change_sensitivity_only</x:v>
      </x:c>
      <x:c r="N435" s="213" t="str">
        <x:v>Friday</x:v>
      </x:c>
      <x:c r="O435" s="213" t="str">
        <x:v>LottoMetrics full-history export</x:v>
      </x:c>
      <x:c r="P435" s="213" t="str">
        <x:v>Archive-sourced; calendar/range/uniqueness validated</x:v>
      </x:c>
      <x:c r="Q435" s="54" t="str"/>
    </x:row>
    <x:row r="436">
      <x:c r="A436" s="74" t="n">
        <x:v>433</x:v>
      </x:c>
      <x:c r="B436" s="217" t="n">
        <x:v>44015</x:v>
      </x:c>
      <x:c r="C436" s="75" t="n">
        <x:v>12</x:v>
      </x:c>
      <x:c r="D436" s="75" t="n">
        <x:v>34</x:v>
      </x:c>
      <x:c r="E436" s="75" t="n">
        <x:v>36</x:v>
      </x:c>
      <x:c r="F436" s="75" t="n">
        <x:v>47</x:v>
      </x:c>
      <x:c r="G436" s="75" t="n">
        <x:v>48</x:v>
      </x:c>
      <x:c r="H436" s="75" t="n">
        <x:v>5</x:v>
      </x:c>
      <x:c r="I436" s="75" t="n">
        <x:v>7</x:v>
      </x:c>
      <x:c r="J436" s="75" t="n">
        <x:v>50</x:v>
      </x:c>
      <x:c r="K436" s="75" t="n">
        <x:v>10</x:v>
      </x:c>
      <x:c r="L436" s="75" t="str">
        <x:v>R2_5of50_2of10</x:v>
      </x:c>
      <x:c r="M436" s="213" t="str">
        <x:v>S1_pre_2024_studio_change_sensitivity_only</x:v>
      </x:c>
      <x:c r="N436" s="213" t="str">
        <x:v>Friday</x:v>
      </x:c>
      <x:c r="O436" s="213" t="str">
        <x:v>LottoMetrics full-history export</x:v>
      </x:c>
      <x:c r="P436" s="213" t="str">
        <x:v>Archive-sourced; calendar/range/uniqueness validated</x:v>
      </x:c>
      <x:c r="Q436" s="54" t="str"/>
    </x:row>
    <x:row r="437">
      <x:c r="A437" s="74" t="n">
        <x:v>434</x:v>
      </x:c>
      <x:c r="B437" s="217" t="n">
        <x:v>44022</x:v>
      </x:c>
      <x:c r="C437" s="75" t="n">
        <x:v>5</x:v>
      </x:c>
      <x:c r="D437" s="75" t="n">
        <x:v>6</x:v>
      </x:c>
      <x:c r="E437" s="75" t="n">
        <x:v>9</x:v>
      </x:c>
      <x:c r="F437" s="75" t="n">
        <x:v>15</x:v>
      </x:c>
      <x:c r="G437" s="75" t="n">
        <x:v>29</x:v>
      </x:c>
      <x:c r="H437" s="75" t="n">
        <x:v>4</x:v>
      </x:c>
      <x:c r="I437" s="75" t="n">
        <x:v>9</x:v>
      </x:c>
      <x:c r="J437" s="75" t="n">
        <x:v>50</x:v>
      </x:c>
      <x:c r="K437" s="75" t="n">
        <x:v>10</x:v>
      </x:c>
      <x:c r="L437" s="75" t="str">
        <x:v>R2_5of50_2of10</x:v>
      </x:c>
      <x:c r="M437" s="213" t="str">
        <x:v>S1_pre_2024_studio_change_sensitivity_only</x:v>
      </x:c>
      <x:c r="N437" s="213" t="str">
        <x:v>Friday</x:v>
      </x:c>
      <x:c r="O437" s="213" t="str">
        <x:v>LottoMetrics full-history export</x:v>
      </x:c>
      <x:c r="P437" s="213" t="str">
        <x:v>Archive-sourced; calendar/range/uniqueness validated</x:v>
      </x:c>
      <x:c r="Q437" s="54" t="str"/>
    </x:row>
    <x:row r="438">
      <x:c r="A438" s="74" t="n">
        <x:v>435</x:v>
      </x:c>
      <x:c r="B438" s="217" t="n">
        <x:v>44029</x:v>
      </x:c>
      <x:c r="C438" s="75" t="n">
        <x:v>13</x:v>
      </x:c>
      <x:c r="D438" s="75" t="n">
        <x:v>21</x:v>
      </x:c>
      <x:c r="E438" s="75" t="n">
        <x:v>25</x:v>
      </x:c>
      <x:c r="F438" s="75" t="n">
        <x:v>34</x:v>
      </x:c>
      <x:c r="G438" s="75" t="n">
        <x:v>35</x:v>
      </x:c>
      <x:c r="H438" s="75" t="n">
        <x:v>5</x:v>
      </x:c>
      <x:c r="I438" s="75" t="n">
        <x:v>10</x:v>
      </x:c>
      <x:c r="J438" s="75" t="n">
        <x:v>50</x:v>
      </x:c>
      <x:c r="K438" s="75" t="n">
        <x:v>10</x:v>
      </x:c>
      <x:c r="L438" s="75" t="str">
        <x:v>R2_5of50_2of10</x:v>
      </x:c>
      <x:c r="M438" s="213" t="str">
        <x:v>S1_pre_2024_studio_change_sensitivity_only</x:v>
      </x:c>
      <x:c r="N438" s="213" t="str">
        <x:v>Friday</x:v>
      </x:c>
      <x:c r="O438" s="213" t="str">
        <x:v>LottoMetrics full-history export</x:v>
      </x:c>
      <x:c r="P438" s="213" t="str">
        <x:v>Archive-sourced; calendar/range/uniqueness validated</x:v>
      </x:c>
      <x:c r="Q438" s="54" t="str"/>
    </x:row>
    <x:row r="439">
      <x:c r="A439" s="74" t="n">
        <x:v>436</x:v>
      </x:c>
      <x:c r="B439" s="217" t="n">
        <x:v>44036</x:v>
      </x:c>
      <x:c r="C439" s="75" t="n">
        <x:v>7</x:v>
      </x:c>
      <x:c r="D439" s="75" t="n">
        <x:v>11</x:v>
      </x:c>
      <x:c r="E439" s="75" t="n">
        <x:v>19</x:v>
      </x:c>
      <x:c r="F439" s="75" t="n">
        <x:v>32</x:v>
      </x:c>
      <x:c r="G439" s="75" t="n">
        <x:v>43</x:v>
      </x:c>
      <x:c r="H439" s="75" t="n">
        <x:v>2</x:v>
      </x:c>
      <x:c r="I439" s="75" t="n">
        <x:v>8</x:v>
      </x:c>
      <x:c r="J439" s="75" t="n">
        <x:v>50</x:v>
      </x:c>
      <x:c r="K439" s="75" t="n">
        <x:v>10</x:v>
      </x:c>
      <x:c r="L439" s="75" t="str">
        <x:v>R2_5of50_2of10</x:v>
      </x:c>
      <x:c r="M439" s="213" t="str">
        <x:v>S1_pre_2024_studio_change_sensitivity_only</x:v>
      </x:c>
      <x:c r="N439" s="213" t="str">
        <x:v>Friday</x:v>
      </x:c>
      <x:c r="O439" s="213" t="str">
        <x:v>LottoMetrics full-history export</x:v>
      </x:c>
      <x:c r="P439" s="213" t="str">
        <x:v>Archive-sourced; calendar/range/uniqueness validated</x:v>
      </x:c>
      <x:c r="Q439" s="54" t="str"/>
    </x:row>
    <x:row r="440">
      <x:c r="A440" s="74" t="n">
        <x:v>437</x:v>
      </x:c>
      <x:c r="B440" s="217" t="n">
        <x:v>44043</x:v>
      </x:c>
      <x:c r="C440" s="75" t="n">
        <x:v>3</x:v>
      </x:c>
      <x:c r="D440" s="75" t="n">
        <x:v>19</x:v>
      </x:c>
      <x:c r="E440" s="75" t="n">
        <x:v>28</x:v>
      </x:c>
      <x:c r="F440" s="75" t="n">
        <x:v>43</x:v>
      </x:c>
      <x:c r="G440" s="75" t="n">
        <x:v>49</x:v>
      </x:c>
      <x:c r="H440" s="75" t="n">
        <x:v>2</x:v>
      </x:c>
      <x:c r="I440" s="75" t="n">
        <x:v>3</x:v>
      </x:c>
      <x:c r="J440" s="75" t="n">
        <x:v>50</x:v>
      </x:c>
      <x:c r="K440" s="75" t="n">
        <x:v>10</x:v>
      </x:c>
      <x:c r="L440" s="75" t="str">
        <x:v>R2_5of50_2of10</x:v>
      </x:c>
      <x:c r="M440" s="213" t="str">
        <x:v>S1_pre_2024_studio_change_sensitivity_only</x:v>
      </x:c>
      <x:c r="N440" s="213" t="str">
        <x:v>Friday</x:v>
      </x:c>
      <x:c r="O440" s="213" t="str">
        <x:v>LottoMetrics full-history export</x:v>
      </x:c>
      <x:c r="P440" s="213" t="str">
        <x:v>Archive-sourced; calendar/range/uniqueness validated</x:v>
      </x:c>
      <x:c r="Q440" s="54" t="str"/>
    </x:row>
    <x:row r="441">
      <x:c r="A441" s="74" t="n">
        <x:v>438</x:v>
      </x:c>
      <x:c r="B441" s="217" t="n">
        <x:v>44050</x:v>
      </x:c>
      <x:c r="C441" s="75" t="n">
        <x:v>4</x:v>
      </x:c>
      <x:c r="D441" s="75" t="n">
        <x:v>9</x:v>
      </x:c>
      <x:c r="E441" s="75" t="n">
        <x:v>15</x:v>
      </x:c>
      <x:c r="F441" s="75" t="n">
        <x:v>24</x:v>
      </x:c>
      <x:c r="G441" s="75" t="n">
        <x:v>28</x:v>
      </x:c>
      <x:c r="H441" s="75" t="n">
        <x:v>2</x:v>
      </x:c>
      <x:c r="I441" s="75" t="n">
        <x:v>6</x:v>
      </x:c>
      <x:c r="J441" s="75" t="n">
        <x:v>50</x:v>
      </x:c>
      <x:c r="K441" s="75" t="n">
        <x:v>10</x:v>
      </x:c>
      <x:c r="L441" s="75" t="str">
        <x:v>R2_5of50_2of10</x:v>
      </x:c>
      <x:c r="M441" s="213" t="str">
        <x:v>S1_pre_2024_studio_change_sensitivity_only</x:v>
      </x:c>
      <x:c r="N441" s="213" t="str">
        <x:v>Friday</x:v>
      </x:c>
      <x:c r="O441" s="213" t="str">
        <x:v>LottoMetrics full-history export</x:v>
      </x:c>
      <x:c r="P441" s="213" t="str">
        <x:v>Archive-sourced; calendar/range/uniqueness validated</x:v>
      </x:c>
      <x:c r="Q441" s="54" t="str"/>
    </x:row>
    <x:row r="442">
      <x:c r="A442" s="74" t="n">
        <x:v>439</x:v>
      </x:c>
      <x:c r="B442" s="217" t="n">
        <x:v>44057</x:v>
      </x:c>
      <x:c r="C442" s="75" t="n">
        <x:v>9</x:v>
      </x:c>
      <x:c r="D442" s="75" t="n">
        <x:v>20</x:v>
      </x:c>
      <x:c r="E442" s="75" t="n">
        <x:v>27</x:v>
      </x:c>
      <x:c r="F442" s="75" t="n">
        <x:v>35</x:v>
      </x:c>
      <x:c r="G442" s="75" t="n">
        <x:v>48</x:v>
      </x:c>
      <x:c r="H442" s="75" t="n">
        <x:v>5</x:v>
      </x:c>
      <x:c r="I442" s="75" t="n">
        <x:v>9</x:v>
      </x:c>
      <x:c r="J442" s="75" t="n">
        <x:v>50</x:v>
      </x:c>
      <x:c r="K442" s="75" t="n">
        <x:v>10</x:v>
      </x:c>
      <x:c r="L442" s="75" t="str">
        <x:v>R2_5of50_2of10</x:v>
      </x:c>
      <x:c r="M442" s="213" t="str">
        <x:v>S1_pre_2024_studio_change_sensitivity_only</x:v>
      </x:c>
      <x:c r="N442" s="213" t="str">
        <x:v>Friday</x:v>
      </x:c>
      <x:c r="O442" s="213" t="str">
        <x:v>LottoMetrics full-history export</x:v>
      </x:c>
      <x:c r="P442" s="213" t="str">
        <x:v>Archive-sourced; calendar/range/uniqueness validated</x:v>
      </x:c>
      <x:c r="Q442" s="54" t="str"/>
    </x:row>
    <x:row r="443">
      <x:c r="A443" s="74" t="n">
        <x:v>440</x:v>
      </x:c>
      <x:c r="B443" s="217" t="n">
        <x:v>44064</x:v>
      </x:c>
      <x:c r="C443" s="75" t="n">
        <x:v>26</x:v>
      </x:c>
      <x:c r="D443" s="75" t="n">
        <x:v>27</x:v>
      </x:c>
      <x:c r="E443" s="75" t="n">
        <x:v>30</x:v>
      </x:c>
      <x:c r="F443" s="75" t="n">
        <x:v>46</x:v>
      </x:c>
      <x:c r="G443" s="75" t="n">
        <x:v>49</x:v>
      </x:c>
      <x:c r="H443" s="75" t="n">
        <x:v>1</x:v>
      </x:c>
      <x:c r="I443" s="75" t="n">
        <x:v>2</x:v>
      </x:c>
      <x:c r="J443" s="75" t="n">
        <x:v>50</x:v>
      </x:c>
      <x:c r="K443" s="75" t="n">
        <x:v>10</x:v>
      </x:c>
      <x:c r="L443" s="75" t="str">
        <x:v>R2_5of50_2of10</x:v>
      </x:c>
      <x:c r="M443" s="213" t="str">
        <x:v>S1_pre_2024_studio_change_sensitivity_only</x:v>
      </x:c>
      <x:c r="N443" s="213" t="str">
        <x:v>Friday</x:v>
      </x:c>
      <x:c r="O443" s="213" t="str">
        <x:v>LottoMetrics full-history export</x:v>
      </x:c>
      <x:c r="P443" s="213" t="str">
        <x:v>Archive-sourced; calendar/range/uniqueness validated</x:v>
      </x:c>
      <x:c r="Q443" s="54" t="str"/>
    </x:row>
    <x:row r="444">
      <x:c r="A444" s="74" t="n">
        <x:v>441</x:v>
      </x:c>
      <x:c r="B444" s="217" t="n">
        <x:v>44071</x:v>
      </x:c>
      <x:c r="C444" s="75" t="n">
        <x:v>8</x:v>
      </x:c>
      <x:c r="D444" s="75" t="n">
        <x:v>11</x:v>
      </x:c>
      <x:c r="E444" s="75" t="n">
        <x:v>22</x:v>
      </x:c>
      <x:c r="F444" s="75" t="n">
        <x:v>38</x:v>
      </x:c>
      <x:c r="G444" s="75" t="n">
        <x:v>41</x:v>
      </x:c>
      <x:c r="H444" s="75" t="n">
        <x:v>4</x:v>
      </x:c>
      <x:c r="I444" s="75" t="n">
        <x:v>7</x:v>
      </x:c>
      <x:c r="J444" s="75" t="n">
        <x:v>50</x:v>
      </x:c>
      <x:c r="K444" s="75" t="n">
        <x:v>10</x:v>
      </x:c>
      <x:c r="L444" s="75" t="str">
        <x:v>R2_5of50_2of10</x:v>
      </x:c>
      <x:c r="M444" s="213" t="str">
        <x:v>S1_pre_2024_studio_change_sensitivity_only</x:v>
      </x:c>
      <x:c r="N444" s="213" t="str">
        <x:v>Friday</x:v>
      </x:c>
      <x:c r="O444" s="213" t="str">
        <x:v>LottoMetrics full-history export</x:v>
      </x:c>
      <x:c r="P444" s="213" t="str">
        <x:v>Archive-sourced; calendar/range/uniqueness validated</x:v>
      </x:c>
      <x:c r="Q444" s="54" t="str"/>
    </x:row>
    <x:row r="445">
      <x:c r="A445" s="74" t="n">
        <x:v>442</x:v>
      </x:c>
      <x:c r="B445" s="217" t="n">
        <x:v>44078</x:v>
      </x:c>
      <x:c r="C445" s="75" t="n">
        <x:v>5</x:v>
      </x:c>
      <x:c r="D445" s="75" t="n">
        <x:v>23</x:v>
      </x:c>
      <x:c r="E445" s="75" t="n">
        <x:v>28</x:v>
      </x:c>
      <x:c r="F445" s="75" t="n">
        <x:v>38</x:v>
      </x:c>
      <x:c r="G445" s="75" t="n">
        <x:v>49</x:v>
      </x:c>
      <x:c r="H445" s="75" t="n">
        <x:v>3</x:v>
      </x:c>
      <x:c r="I445" s="75" t="n">
        <x:v>9</x:v>
      </x:c>
      <x:c r="J445" s="75" t="n">
        <x:v>50</x:v>
      </x:c>
      <x:c r="K445" s="75" t="n">
        <x:v>10</x:v>
      </x:c>
      <x:c r="L445" s="75" t="str">
        <x:v>R2_5of50_2of10</x:v>
      </x:c>
      <x:c r="M445" s="213" t="str">
        <x:v>S1_pre_2024_studio_change_sensitivity_only</x:v>
      </x:c>
      <x:c r="N445" s="213" t="str">
        <x:v>Friday</x:v>
      </x:c>
      <x:c r="O445" s="213" t="str">
        <x:v>LottoMetrics full-history export</x:v>
      </x:c>
      <x:c r="P445" s="213" t="str">
        <x:v>Archive-sourced; calendar/range/uniqueness validated</x:v>
      </x:c>
      <x:c r="Q445" s="54" t="str"/>
    </x:row>
    <x:row r="446">
      <x:c r="A446" s="74" t="n">
        <x:v>443</x:v>
      </x:c>
      <x:c r="B446" s="217" t="n">
        <x:v>44085</x:v>
      </x:c>
      <x:c r="C446" s="75" t="n">
        <x:v>2</x:v>
      </x:c>
      <x:c r="D446" s="75" t="n">
        <x:v>5</x:v>
      </x:c>
      <x:c r="E446" s="75" t="n">
        <x:v>24</x:v>
      </x:c>
      <x:c r="F446" s="75" t="n">
        <x:v>43</x:v>
      </x:c>
      <x:c r="G446" s="75" t="n">
        <x:v>45</x:v>
      </x:c>
      <x:c r="H446" s="75" t="n">
        <x:v>4</x:v>
      </x:c>
      <x:c r="I446" s="75" t="n">
        <x:v>10</x:v>
      </x:c>
      <x:c r="J446" s="75" t="n">
        <x:v>50</x:v>
      </x:c>
      <x:c r="K446" s="75" t="n">
        <x:v>10</x:v>
      </x:c>
      <x:c r="L446" s="75" t="str">
        <x:v>R2_5of50_2of10</x:v>
      </x:c>
      <x:c r="M446" s="213" t="str">
        <x:v>S1_pre_2024_studio_change_sensitivity_only</x:v>
      </x:c>
      <x:c r="N446" s="213" t="str">
        <x:v>Friday</x:v>
      </x:c>
      <x:c r="O446" s="213" t="str">
        <x:v>LottoMetrics full-history export</x:v>
      </x:c>
      <x:c r="P446" s="213" t="str">
        <x:v>Archive-sourced; calendar/range/uniqueness validated</x:v>
      </x:c>
      <x:c r="Q446" s="54" t="str"/>
    </x:row>
    <x:row r="447">
      <x:c r="A447" s="74" t="n">
        <x:v>444</x:v>
      </x:c>
      <x:c r="B447" s="217" t="n">
        <x:v>44092</x:v>
      </x:c>
      <x:c r="C447" s="75" t="n">
        <x:v>7</x:v>
      </x:c>
      <x:c r="D447" s="75" t="n">
        <x:v>12</x:v>
      </x:c>
      <x:c r="E447" s="75" t="n">
        <x:v>14</x:v>
      </x:c>
      <x:c r="F447" s="75" t="n">
        <x:v>40</x:v>
      </x:c>
      <x:c r="G447" s="75" t="n">
        <x:v>42</x:v>
      </x:c>
      <x:c r="H447" s="75" t="n">
        <x:v>7</x:v>
      </x:c>
      <x:c r="I447" s="75" t="n">
        <x:v>8</x:v>
      </x:c>
      <x:c r="J447" s="75" t="n">
        <x:v>50</x:v>
      </x:c>
      <x:c r="K447" s="75" t="n">
        <x:v>10</x:v>
      </x:c>
      <x:c r="L447" s="75" t="str">
        <x:v>R2_5of50_2of10</x:v>
      </x:c>
      <x:c r="M447" s="213" t="str">
        <x:v>S1_pre_2024_studio_change_sensitivity_only</x:v>
      </x:c>
      <x:c r="N447" s="213" t="str">
        <x:v>Friday</x:v>
      </x:c>
      <x:c r="O447" s="213" t="str">
        <x:v>LottoMetrics full-history export</x:v>
      </x:c>
      <x:c r="P447" s="213" t="str">
        <x:v>Archive-sourced; calendar/range/uniqueness validated</x:v>
      </x:c>
      <x:c r="Q447" s="54" t="str"/>
    </x:row>
    <x:row r="448">
      <x:c r="A448" s="74" t="n">
        <x:v>445</x:v>
      </x:c>
      <x:c r="B448" s="217" t="n">
        <x:v>44099</x:v>
      </x:c>
      <x:c r="C448" s="75" t="n">
        <x:v>1</x:v>
      </x:c>
      <x:c r="D448" s="75" t="n">
        <x:v>7</x:v>
      </x:c>
      <x:c r="E448" s="75" t="n">
        <x:v>9</x:v>
      </x:c>
      <x:c r="F448" s="75" t="n">
        <x:v>29</x:v>
      </x:c>
      <x:c r="G448" s="75" t="n">
        <x:v>46</x:v>
      </x:c>
      <x:c r="H448" s="75" t="n">
        <x:v>9</x:v>
      </x:c>
      <x:c r="I448" s="75" t="n">
        <x:v>10</x:v>
      </x:c>
      <x:c r="J448" s="75" t="n">
        <x:v>50</x:v>
      </x:c>
      <x:c r="K448" s="75" t="n">
        <x:v>10</x:v>
      </x:c>
      <x:c r="L448" s="75" t="str">
        <x:v>R2_5of50_2of10</x:v>
      </x:c>
      <x:c r="M448" s="213" t="str">
        <x:v>S1_pre_2024_studio_change_sensitivity_only</x:v>
      </x:c>
      <x:c r="N448" s="213" t="str">
        <x:v>Friday</x:v>
      </x:c>
      <x:c r="O448" s="213" t="str">
        <x:v>LottoMetrics full-history export</x:v>
      </x:c>
      <x:c r="P448" s="213" t="str">
        <x:v>Archive-sourced; calendar/range/uniqueness validated</x:v>
      </x:c>
      <x:c r="Q448" s="54" t="str"/>
    </x:row>
    <x:row r="449">
      <x:c r="A449" s="74" t="n">
        <x:v>446</x:v>
      </x:c>
      <x:c r="B449" s="217" t="n">
        <x:v>44106</x:v>
      </x:c>
      <x:c r="C449" s="75" t="n">
        <x:v>15</x:v>
      </x:c>
      <x:c r="D449" s="75" t="n">
        <x:v>19</x:v>
      </x:c>
      <x:c r="E449" s="75" t="n">
        <x:v>34</x:v>
      </x:c>
      <x:c r="F449" s="75" t="n">
        <x:v>39</x:v>
      </x:c>
      <x:c r="G449" s="75" t="n">
        <x:v>49</x:v>
      </x:c>
      <x:c r="H449" s="75" t="n">
        <x:v>2</x:v>
      </x:c>
      <x:c r="I449" s="75" t="n">
        <x:v>7</x:v>
      </x:c>
      <x:c r="J449" s="75" t="n">
        <x:v>50</x:v>
      </x:c>
      <x:c r="K449" s="75" t="n">
        <x:v>10</x:v>
      </x:c>
      <x:c r="L449" s="75" t="str">
        <x:v>R2_5of50_2of10</x:v>
      </x:c>
      <x:c r="M449" s="213" t="str">
        <x:v>S1_pre_2024_studio_change_sensitivity_only</x:v>
      </x:c>
      <x:c r="N449" s="213" t="str">
        <x:v>Friday</x:v>
      </x:c>
      <x:c r="O449" s="213" t="str">
        <x:v>LottoMetrics full-history export</x:v>
      </x:c>
      <x:c r="P449" s="213" t="str">
        <x:v>Archive-sourced; calendar/range/uniqueness validated</x:v>
      </x:c>
      <x:c r="Q449" s="54" t="str"/>
    </x:row>
    <x:row r="450">
      <x:c r="A450" s="74" t="n">
        <x:v>447</x:v>
      </x:c>
      <x:c r="B450" s="217" t="n">
        <x:v>44113</x:v>
      </x:c>
      <x:c r="C450" s="75" t="n">
        <x:v>1</x:v>
      </x:c>
      <x:c r="D450" s="75" t="n">
        <x:v>11</x:v>
      </x:c>
      <x:c r="E450" s="75" t="n">
        <x:v>17</x:v>
      </x:c>
      <x:c r="F450" s="75" t="n">
        <x:v>23</x:v>
      </x:c>
      <x:c r="G450" s="75" t="n">
        <x:v>29</x:v>
      </x:c>
      <x:c r="H450" s="75" t="n">
        <x:v>1</x:v>
      </x:c>
      <x:c r="I450" s="75" t="n">
        <x:v>8</x:v>
      </x:c>
      <x:c r="J450" s="75" t="n">
        <x:v>50</x:v>
      </x:c>
      <x:c r="K450" s="75" t="n">
        <x:v>10</x:v>
      </x:c>
      <x:c r="L450" s="75" t="str">
        <x:v>R2_5of50_2of10</x:v>
      </x:c>
      <x:c r="M450" s="213" t="str">
        <x:v>S1_pre_2024_studio_change_sensitivity_only</x:v>
      </x:c>
      <x:c r="N450" s="213" t="str">
        <x:v>Friday</x:v>
      </x:c>
      <x:c r="O450" s="213" t="str">
        <x:v>LottoMetrics full-history export</x:v>
      </x:c>
      <x:c r="P450" s="213" t="str">
        <x:v>Archive-sourced; calendar/range/uniqueness validated</x:v>
      </x:c>
      <x:c r="Q450" s="54" t="str"/>
    </x:row>
    <x:row r="451">
      <x:c r="A451" s="74" t="n">
        <x:v>448</x:v>
      </x:c>
      <x:c r="B451" s="217" t="n">
        <x:v>44120</x:v>
      </x:c>
      <x:c r="C451" s="75" t="n">
        <x:v>5</x:v>
      </x:c>
      <x:c r="D451" s="75" t="n">
        <x:v>11</x:v>
      </x:c>
      <x:c r="E451" s="75" t="n">
        <x:v>35</x:v>
      </x:c>
      <x:c r="F451" s="75" t="n">
        <x:v>44</x:v>
      </x:c>
      <x:c r="G451" s="75" t="n">
        <x:v>50</x:v>
      </x:c>
      <x:c r="H451" s="75" t="n">
        <x:v>4</x:v>
      </x:c>
      <x:c r="I451" s="75" t="n">
        <x:v>10</x:v>
      </x:c>
      <x:c r="J451" s="75" t="n">
        <x:v>50</x:v>
      </x:c>
      <x:c r="K451" s="75" t="n">
        <x:v>10</x:v>
      </x:c>
      <x:c r="L451" s="75" t="str">
        <x:v>R2_5of50_2of10</x:v>
      </x:c>
      <x:c r="M451" s="213" t="str">
        <x:v>S1_pre_2024_studio_change_sensitivity_only</x:v>
      </x:c>
      <x:c r="N451" s="213" t="str">
        <x:v>Friday</x:v>
      </x:c>
      <x:c r="O451" s="213" t="str">
        <x:v>LottoMetrics full-history export</x:v>
      </x:c>
      <x:c r="P451" s="213" t="str">
        <x:v>Archive-sourced; calendar/range/uniqueness validated</x:v>
      </x:c>
      <x:c r="Q451" s="54" t="str"/>
    </x:row>
    <x:row r="452">
      <x:c r="A452" s="74" t="n">
        <x:v>449</x:v>
      </x:c>
      <x:c r="B452" s="217" t="n">
        <x:v>44127</x:v>
      </x:c>
      <x:c r="C452" s="75" t="n">
        <x:v>17</x:v>
      </x:c>
      <x:c r="D452" s="75" t="n">
        <x:v>21</x:v>
      </x:c>
      <x:c r="E452" s="75" t="n">
        <x:v>23</x:v>
      </x:c>
      <x:c r="F452" s="75" t="n">
        <x:v>37</x:v>
      </x:c>
      <x:c r="G452" s="75" t="n">
        <x:v>45</x:v>
      </x:c>
      <x:c r="H452" s="75" t="n">
        <x:v>7</x:v>
      </x:c>
      <x:c r="I452" s="75" t="n">
        <x:v>9</x:v>
      </x:c>
      <x:c r="J452" s="75" t="n">
        <x:v>50</x:v>
      </x:c>
      <x:c r="K452" s="75" t="n">
        <x:v>10</x:v>
      </x:c>
      <x:c r="L452" s="75" t="str">
        <x:v>R2_5of50_2of10</x:v>
      </x:c>
      <x:c r="M452" s="213" t="str">
        <x:v>S1_pre_2024_studio_change_sensitivity_only</x:v>
      </x:c>
      <x:c r="N452" s="213" t="str">
        <x:v>Friday</x:v>
      </x:c>
      <x:c r="O452" s="213" t="str">
        <x:v>LottoMetrics full-history export</x:v>
      </x:c>
      <x:c r="P452" s="213" t="str">
        <x:v>Archive-sourced; calendar/range/uniqueness validated</x:v>
      </x:c>
      <x:c r="Q452" s="54" t="str"/>
    </x:row>
    <x:row r="453">
      <x:c r="A453" s="74" t="n">
        <x:v>450</x:v>
      </x:c>
      <x:c r="B453" s="217" t="n">
        <x:v>44134</x:v>
      </x:c>
      <x:c r="C453" s="75" t="n">
        <x:v>11</x:v>
      </x:c>
      <x:c r="D453" s="75" t="n">
        <x:v>19</x:v>
      </x:c>
      <x:c r="E453" s="75" t="n">
        <x:v>24</x:v>
      </x:c>
      <x:c r="F453" s="75" t="n">
        <x:v>33</x:v>
      </x:c>
      <x:c r="G453" s="75" t="n">
        <x:v>39</x:v>
      </x:c>
      <x:c r="H453" s="75" t="n">
        <x:v>1</x:v>
      </x:c>
      <x:c r="I453" s="75" t="n">
        <x:v>4</x:v>
      </x:c>
      <x:c r="J453" s="75" t="n">
        <x:v>50</x:v>
      </x:c>
      <x:c r="K453" s="75" t="n">
        <x:v>10</x:v>
      </x:c>
      <x:c r="L453" s="75" t="str">
        <x:v>R2_5of50_2of10</x:v>
      </x:c>
      <x:c r="M453" s="213" t="str">
        <x:v>S1_pre_2024_studio_change_sensitivity_only</x:v>
      </x:c>
      <x:c r="N453" s="213" t="str">
        <x:v>Friday</x:v>
      </x:c>
      <x:c r="O453" s="213" t="str">
        <x:v>LottoMetrics full-history export</x:v>
      </x:c>
      <x:c r="P453" s="213" t="str">
        <x:v>Archive-sourced; calendar/range/uniqueness validated</x:v>
      </x:c>
      <x:c r="Q453" s="54" t="str"/>
    </x:row>
    <x:row r="454">
      <x:c r="A454" s="74" t="n">
        <x:v>451</x:v>
      </x:c>
      <x:c r="B454" s="217" t="n">
        <x:v>44141</x:v>
      </x:c>
      <x:c r="C454" s="75" t="n">
        <x:v>5</x:v>
      </x:c>
      <x:c r="D454" s="75" t="n">
        <x:v>12</x:v>
      </x:c>
      <x:c r="E454" s="75" t="n">
        <x:v>26</x:v>
      </x:c>
      <x:c r="F454" s="75" t="n">
        <x:v>47</x:v>
      </x:c>
      <x:c r="G454" s="75" t="n">
        <x:v>50</x:v>
      </x:c>
      <x:c r="H454" s="75" t="n">
        <x:v>2</x:v>
      </x:c>
      <x:c r="I454" s="75" t="n">
        <x:v>3</x:v>
      </x:c>
      <x:c r="J454" s="75" t="n">
        <x:v>50</x:v>
      </x:c>
      <x:c r="K454" s="75" t="n">
        <x:v>10</x:v>
      </x:c>
      <x:c r="L454" s="75" t="str">
        <x:v>R2_5of50_2of10</x:v>
      </x:c>
      <x:c r="M454" s="213" t="str">
        <x:v>S1_pre_2024_studio_change_sensitivity_only</x:v>
      </x:c>
      <x:c r="N454" s="213" t="str">
        <x:v>Friday</x:v>
      </x:c>
      <x:c r="O454" s="213" t="str">
        <x:v>LottoMetrics full-history export</x:v>
      </x:c>
      <x:c r="P454" s="213" t="str">
        <x:v>Archive-sourced; calendar/range/uniqueness validated</x:v>
      </x:c>
      <x:c r="Q454" s="54" t="str"/>
    </x:row>
    <x:row r="455">
      <x:c r="A455" s="74" t="n">
        <x:v>452</x:v>
      </x:c>
      <x:c r="B455" s="217" t="n">
        <x:v>44148</x:v>
      </x:c>
      <x:c r="C455" s="75" t="n">
        <x:v>5</x:v>
      </x:c>
      <x:c r="D455" s="75" t="n">
        <x:v>17</x:v>
      </x:c>
      <x:c r="E455" s="75" t="n">
        <x:v>21</x:v>
      </x:c>
      <x:c r="F455" s="75" t="n">
        <x:v>37</x:v>
      </x:c>
      <x:c r="G455" s="75" t="n">
        <x:v>38</x:v>
      </x:c>
      <x:c r="H455" s="75" t="n">
        <x:v>1</x:v>
      </x:c>
      <x:c r="I455" s="75" t="n">
        <x:v>4</x:v>
      </x:c>
      <x:c r="J455" s="75" t="n">
        <x:v>50</x:v>
      </x:c>
      <x:c r="K455" s="75" t="n">
        <x:v>10</x:v>
      </x:c>
      <x:c r="L455" s="75" t="str">
        <x:v>R2_5of50_2of10</x:v>
      </x:c>
      <x:c r="M455" s="213" t="str">
        <x:v>S1_pre_2024_studio_change_sensitivity_only</x:v>
      </x:c>
      <x:c r="N455" s="213" t="str">
        <x:v>Friday</x:v>
      </x:c>
      <x:c r="O455" s="213" t="str">
        <x:v>LottoMetrics full-history export</x:v>
      </x:c>
      <x:c r="P455" s="213" t="str">
        <x:v>Archive-sourced; calendar/range/uniqueness validated</x:v>
      </x:c>
      <x:c r="Q455" s="54" t="str"/>
    </x:row>
    <x:row r="456">
      <x:c r="A456" s="74" t="n">
        <x:v>453</x:v>
      </x:c>
      <x:c r="B456" s="217" t="n">
        <x:v>44155</x:v>
      </x:c>
      <x:c r="C456" s="75" t="n">
        <x:v>18</x:v>
      </x:c>
      <x:c r="D456" s="75" t="n">
        <x:v>20</x:v>
      </x:c>
      <x:c r="E456" s="75" t="n">
        <x:v>34</x:v>
      </x:c>
      <x:c r="F456" s="75" t="n">
        <x:v>49</x:v>
      </x:c>
      <x:c r="G456" s="75" t="n">
        <x:v>50</x:v>
      </x:c>
      <x:c r="H456" s="75" t="n">
        <x:v>7</x:v>
      </x:c>
      <x:c r="I456" s="75" t="n">
        <x:v>8</x:v>
      </x:c>
      <x:c r="J456" s="75" t="n">
        <x:v>50</x:v>
      </x:c>
      <x:c r="K456" s="75" t="n">
        <x:v>10</x:v>
      </x:c>
      <x:c r="L456" s="75" t="str">
        <x:v>R2_5of50_2of10</x:v>
      </x:c>
      <x:c r="M456" s="213" t="str">
        <x:v>S1_pre_2024_studio_change_sensitivity_only</x:v>
      </x:c>
      <x:c r="N456" s="213" t="str">
        <x:v>Friday</x:v>
      </x:c>
      <x:c r="O456" s="213" t="str">
        <x:v>LottoMetrics full-history export</x:v>
      </x:c>
      <x:c r="P456" s="213" t="str">
        <x:v>Archive-sourced; calendar/range/uniqueness validated</x:v>
      </x:c>
      <x:c r="Q456" s="54" t="str"/>
    </x:row>
    <x:row r="457">
      <x:c r="A457" s="74" t="n">
        <x:v>454</x:v>
      </x:c>
      <x:c r="B457" s="217" t="n">
        <x:v>44162</x:v>
      </x:c>
      <x:c r="C457" s="75" t="n">
        <x:v>1</x:v>
      </x:c>
      <x:c r="D457" s="75" t="n">
        <x:v>2</x:v>
      </x:c>
      <x:c r="E457" s="75" t="n">
        <x:v>22</x:v>
      </x:c>
      <x:c r="F457" s="75" t="n">
        <x:v>25</x:v>
      </x:c>
      <x:c r="G457" s="75" t="n">
        <x:v>30</x:v>
      </x:c>
      <x:c r="H457" s="75" t="n">
        <x:v>5</x:v>
      </x:c>
      <x:c r="I457" s="75" t="n">
        <x:v>10</x:v>
      </x:c>
      <x:c r="J457" s="75" t="n">
        <x:v>50</x:v>
      </x:c>
      <x:c r="K457" s="75" t="n">
        <x:v>10</x:v>
      </x:c>
      <x:c r="L457" s="75" t="str">
        <x:v>R2_5of50_2of10</x:v>
      </x:c>
      <x:c r="M457" s="213" t="str">
        <x:v>S1_pre_2024_studio_change_sensitivity_only</x:v>
      </x:c>
      <x:c r="N457" s="213" t="str">
        <x:v>Friday</x:v>
      </x:c>
      <x:c r="O457" s="213" t="str">
        <x:v>LottoMetrics full-history export</x:v>
      </x:c>
      <x:c r="P457" s="213" t="str">
        <x:v>Archive-sourced; calendar/range/uniqueness validated</x:v>
      </x:c>
      <x:c r="Q457" s="54" t="str"/>
    </x:row>
    <x:row r="458">
      <x:c r="A458" s="74" t="n">
        <x:v>455</x:v>
      </x:c>
      <x:c r="B458" s="217" t="n">
        <x:v>44169</x:v>
      </x:c>
      <x:c r="C458" s="75" t="n">
        <x:v>1</x:v>
      </x:c>
      <x:c r="D458" s="75" t="n">
        <x:v>27</x:v>
      </x:c>
      <x:c r="E458" s="75" t="n">
        <x:v>37</x:v>
      </x:c>
      <x:c r="F458" s="75" t="n">
        <x:v>40</x:v>
      </x:c>
      <x:c r="G458" s="75" t="n">
        <x:v>41</x:v>
      </x:c>
      <x:c r="H458" s="75" t="n">
        <x:v>7</x:v>
      </x:c>
      <x:c r="I458" s="75" t="n">
        <x:v>10</x:v>
      </x:c>
      <x:c r="J458" s="75" t="n">
        <x:v>50</x:v>
      </x:c>
      <x:c r="K458" s="75" t="n">
        <x:v>10</x:v>
      </x:c>
      <x:c r="L458" s="75" t="str">
        <x:v>R2_5of50_2of10</x:v>
      </x:c>
      <x:c r="M458" s="213" t="str">
        <x:v>S1_pre_2024_studio_change_sensitivity_only</x:v>
      </x:c>
      <x:c r="N458" s="213" t="str">
        <x:v>Friday</x:v>
      </x:c>
      <x:c r="O458" s="213" t="str">
        <x:v>LottoMetrics full-history export</x:v>
      </x:c>
      <x:c r="P458" s="213" t="str">
        <x:v>Archive-sourced; calendar/range/uniqueness validated</x:v>
      </x:c>
      <x:c r="Q458" s="54" t="str"/>
    </x:row>
    <x:row r="459">
      <x:c r="A459" s="74" t="n">
        <x:v>456</x:v>
      </x:c>
      <x:c r="B459" s="217" t="n">
        <x:v>44176</x:v>
      </x:c>
      <x:c r="C459" s="75" t="n">
        <x:v>4</x:v>
      </x:c>
      <x:c r="D459" s="75" t="n">
        <x:v>13</x:v>
      </x:c>
      <x:c r="E459" s="75" t="n">
        <x:v>15</x:v>
      </x:c>
      <x:c r="F459" s="75" t="n">
        <x:v>41</x:v>
      </x:c>
      <x:c r="G459" s="75" t="n">
        <x:v>49</x:v>
      </x:c>
      <x:c r="H459" s="75" t="n">
        <x:v>1</x:v>
      </x:c>
      <x:c r="I459" s="75" t="n">
        <x:v>9</x:v>
      </x:c>
      <x:c r="J459" s="75" t="n">
        <x:v>50</x:v>
      </x:c>
      <x:c r="K459" s="75" t="n">
        <x:v>10</x:v>
      </x:c>
      <x:c r="L459" s="75" t="str">
        <x:v>R2_5of50_2of10</x:v>
      </x:c>
      <x:c r="M459" s="213" t="str">
        <x:v>S1_pre_2024_studio_change_sensitivity_only</x:v>
      </x:c>
      <x:c r="N459" s="213" t="str">
        <x:v>Friday</x:v>
      </x:c>
      <x:c r="O459" s="213" t="str">
        <x:v>LottoMetrics full-history export</x:v>
      </x:c>
      <x:c r="P459" s="213" t="str">
        <x:v>Archive-sourced; calendar/range/uniqueness validated</x:v>
      </x:c>
      <x:c r="Q459" s="54" t="str"/>
    </x:row>
    <x:row r="460">
      <x:c r="A460" s="74" t="n">
        <x:v>457</x:v>
      </x:c>
      <x:c r="B460" s="217" t="n">
        <x:v>44183</x:v>
      </x:c>
      <x:c r="C460" s="75" t="n">
        <x:v>4</x:v>
      </x:c>
      <x:c r="D460" s="75" t="n">
        <x:v>17</x:v>
      </x:c>
      <x:c r="E460" s="75" t="n">
        <x:v>27</x:v>
      </x:c>
      <x:c r="F460" s="75" t="n">
        <x:v>28</x:v>
      </x:c>
      <x:c r="G460" s="75" t="n">
        <x:v>50</x:v>
      </x:c>
      <x:c r="H460" s="75" t="n">
        <x:v>5</x:v>
      </x:c>
      <x:c r="I460" s="75" t="n">
        <x:v>8</x:v>
      </x:c>
      <x:c r="J460" s="75" t="n">
        <x:v>50</x:v>
      </x:c>
      <x:c r="K460" s="75" t="n">
        <x:v>10</x:v>
      </x:c>
      <x:c r="L460" s="75" t="str">
        <x:v>R2_5of50_2of10</x:v>
      </x:c>
      <x:c r="M460" s="213" t="str">
        <x:v>S1_pre_2024_studio_change_sensitivity_only</x:v>
      </x:c>
      <x:c r="N460" s="213" t="str">
        <x:v>Friday</x:v>
      </x:c>
      <x:c r="O460" s="213" t="str">
        <x:v>LottoMetrics full-history export</x:v>
      </x:c>
      <x:c r="P460" s="213" t="str">
        <x:v>Archive-sourced; calendar/range/uniqueness validated</x:v>
      </x:c>
      <x:c r="Q460" s="54" t="str"/>
    </x:row>
    <x:row r="461">
      <x:c r="A461" s="74" t="n">
        <x:v>458</x:v>
      </x:c>
      <x:c r="B461" s="217" t="n">
        <x:v>44190</x:v>
      </x:c>
      <x:c r="C461" s="75" t="n">
        <x:v>7</x:v>
      </x:c>
      <x:c r="D461" s="75" t="n">
        <x:v>10</x:v>
      </x:c>
      <x:c r="E461" s="75" t="n">
        <x:v>19</x:v>
      </x:c>
      <x:c r="F461" s="75" t="n">
        <x:v>26</x:v>
      </x:c>
      <x:c r="G461" s="75" t="n">
        <x:v>42</x:v>
      </x:c>
      <x:c r="H461" s="75" t="n">
        <x:v>1</x:v>
      </x:c>
      <x:c r="I461" s="75" t="n">
        <x:v>9</x:v>
      </x:c>
      <x:c r="J461" s="75" t="n">
        <x:v>50</x:v>
      </x:c>
      <x:c r="K461" s="75" t="n">
        <x:v>10</x:v>
      </x:c>
      <x:c r="L461" s="75" t="str">
        <x:v>R2_5of50_2of10</x:v>
      </x:c>
      <x:c r="M461" s="213" t="str">
        <x:v>S1_pre_2024_studio_change_sensitivity_only</x:v>
      </x:c>
      <x:c r="N461" s="213" t="str">
        <x:v>Friday</x:v>
      </x:c>
      <x:c r="O461" s="213" t="str">
        <x:v>LottoMetrics full-history export</x:v>
      </x:c>
      <x:c r="P461" s="213" t="str">
        <x:v>Archive-sourced; calendar/range/uniqueness validated</x:v>
      </x:c>
      <x:c r="Q461" s="54" t="str"/>
    </x:row>
    <x:row r="462">
      <x:c r="A462" s="74" t="n">
        <x:v>459</x:v>
      </x:c>
      <x:c r="B462" s="217" t="n">
        <x:v>44197</x:v>
      </x:c>
      <x:c r="C462" s="75" t="n">
        <x:v>17</x:v>
      </x:c>
      <x:c r="D462" s="75" t="n">
        <x:v>36</x:v>
      </x:c>
      <x:c r="E462" s="75" t="n">
        <x:v>38</x:v>
      </x:c>
      <x:c r="F462" s="75" t="n">
        <x:v>43</x:v>
      </x:c>
      <x:c r="G462" s="75" t="n">
        <x:v>46</x:v>
      </x:c>
      <x:c r="H462" s="75" t="n">
        <x:v>4</x:v>
      </x:c>
      <x:c r="I462" s="75" t="n">
        <x:v>6</x:v>
      </x:c>
      <x:c r="J462" s="75" t="n">
        <x:v>50</x:v>
      </x:c>
      <x:c r="K462" s="75" t="n">
        <x:v>10</x:v>
      </x:c>
      <x:c r="L462" s="75" t="str">
        <x:v>R2_5of50_2of10</x:v>
      </x:c>
      <x:c r="M462" s="213" t="str">
        <x:v>S1_pre_2024_studio_change_sensitivity_only</x:v>
      </x:c>
      <x:c r="N462" s="213" t="str">
        <x:v>Friday</x:v>
      </x:c>
      <x:c r="O462" s="213" t="str">
        <x:v>LottoMetrics full-history export</x:v>
      </x:c>
      <x:c r="P462" s="213" t="str">
        <x:v>Archive-sourced; calendar/range/uniqueness validated</x:v>
      </x:c>
      <x:c r="Q462" s="54" t="str"/>
    </x:row>
    <x:row r="463">
      <x:c r="A463" s="74" t="n">
        <x:v>460</x:v>
      </x:c>
      <x:c r="B463" s="217" t="n">
        <x:v>44204</x:v>
      </x:c>
      <x:c r="C463" s="75" t="n">
        <x:v>8</x:v>
      </x:c>
      <x:c r="D463" s="75" t="n">
        <x:v>22</x:v>
      </x:c>
      <x:c r="E463" s="75" t="n">
        <x:v>25</x:v>
      </x:c>
      <x:c r="F463" s="75" t="n">
        <x:v>38</x:v>
      </x:c>
      <x:c r="G463" s="75" t="n">
        <x:v>50</x:v>
      </x:c>
      <x:c r="H463" s="75" t="n">
        <x:v>8</x:v>
      </x:c>
      <x:c r="I463" s="75" t="n">
        <x:v>9</x:v>
      </x:c>
      <x:c r="J463" s="75" t="n">
        <x:v>50</x:v>
      </x:c>
      <x:c r="K463" s="75" t="n">
        <x:v>10</x:v>
      </x:c>
      <x:c r="L463" s="75" t="str">
        <x:v>R2_5of50_2of10</x:v>
      </x:c>
      <x:c r="M463" s="213" t="str">
        <x:v>S1_pre_2024_studio_change_sensitivity_only</x:v>
      </x:c>
      <x:c r="N463" s="213" t="str">
        <x:v>Friday</x:v>
      </x:c>
      <x:c r="O463" s="213" t="str">
        <x:v>LottoMetrics full-history export</x:v>
      </x:c>
      <x:c r="P463" s="213" t="str">
        <x:v>Archive-sourced; calendar/range/uniqueness validated</x:v>
      </x:c>
      <x:c r="Q463" s="54" t="str"/>
    </x:row>
    <x:row r="464">
      <x:c r="A464" s="74" t="n">
        <x:v>461</x:v>
      </x:c>
      <x:c r="B464" s="217" t="n">
        <x:v>44211</x:v>
      </x:c>
      <x:c r="C464" s="75" t="n">
        <x:v>10</x:v>
      </x:c>
      <x:c r="D464" s="75" t="n">
        <x:v>19</x:v>
      </x:c>
      <x:c r="E464" s="75" t="n">
        <x:v>32</x:v>
      </x:c>
      <x:c r="F464" s="75" t="n">
        <x:v>36</x:v>
      </x:c>
      <x:c r="G464" s="75" t="n">
        <x:v>46</x:v>
      </x:c>
      <x:c r="H464" s="75" t="n">
        <x:v>4</x:v>
      </x:c>
      <x:c r="I464" s="75" t="n">
        <x:v>6</x:v>
      </x:c>
      <x:c r="J464" s="75" t="n">
        <x:v>50</x:v>
      </x:c>
      <x:c r="K464" s="75" t="n">
        <x:v>10</x:v>
      </x:c>
      <x:c r="L464" s="75" t="str">
        <x:v>R2_5of50_2of10</x:v>
      </x:c>
      <x:c r="M464" s="213" t="str">
        <x:v>S1_pre_2024_studio_change_sensitivity_only</x:v>
      </x:c>
      <x:c r="N464" s="213" t="str">
        <x:v>Friday</x:v>
      </x:c>
      <x:c r="O464" s="213" t="str">
        <x:v>LottoMetrics full-history export</x:v>
      </x:c>
      <x:c r="P464" s="213" t="str">
        <x:v>Archive-sourced; calendar/range/uniqueness validated</x:v>
      </x:c>
      <x:c r="Q464" s="54" t="str"/>
    </x:row>
    <x:row r="465">
      <x:c r="A465" s="74" t="n">
        <x:v>462</x:v>
      </x:c>
      <x:c r="B465" s="217" t="n">
        <x:v>44218</x:v>
      </x:c>
      <x:c r="C465" s="75" t="n">
        <x:v>38</x:v>
      </x:c>
      <x:c r="D465" s="75" t="n">
        <x:v>40</x:v>
      </x:c>
      <x:c r="E465" s="75" t="n">
        <x:v>41</x:v>
      </x:c>
      <x:c r="F465" s="75" t="n">
        <x:v>46</x:v>
      </x:c>
      <x:c r="G465" s="75" t="n">
        <x:v>48</x:v>
      </x:c>
      <x:c r="H465" s="75" t="n">
        <x:v>2</x:v>
      </x:c>
      <x:c r="I465" s="75" t="n">
        <x:v>6</x:v>
      </x:c>
      <x:c r="J465" s="75" t="n">
        <x:v>50</x:v>
      </x:c>
      <x:c r="K465" s="75" t="n">
        <x:v>10</x:v>
      </x:c>
      <x:c r="L465" s="75" t="str">
        <x:v>R2_5of50_2of10</x:v>
      </x:c>
      <x:c r="M465" s="213" t="str">
        <x:v>S1_pre_2024_studio_change_sensitivity_only</x:v>
      </x:c>
      <x:c r="N465" s="213" t="str">
        <x:v>Friday</x:v>
      </x:c>
      <x:c r="O465" s="213" t="str">
        <x:v>LottoMetrics full-history export</x:v>
      </x:c>
      <x:c r="P465" s="213" t="str">
        <x:v>Archive-sourced; calendar/range/uniqueness validated</x:v>
      </x:c>
      <x:c r="Q465" s="54" t="str"/>
    </x:row>
    <x:row r="466">
      <x:c r="A466" s="74" t="n">
        <x:v>463</x:v>
      </x:c>
      <x:c r="B466" s="217" t="n">
        <x:v>44225</x:v>
      </x:c>
      <x:c r="C466" s="75" t="n">
        <x:v>16</x:v>
      </x:c>
      <x:c r="D466" s="75" t="n">
        <x:v>30</x:v>
      </x:c>
      <x:c r="E466" s="75" t="n">
        <x:v>33</x:v>
      </x:c>
      <x:c r="F466" s="75" t="n">
        <x:v>36</x:v>
      </x:c>
      <x:c r="G466" s="75" t="n">
        <x:v>43</x:v>
      </x:c>
      <x:c r="H466" s="75" t="n">
        <x:v>4</x:v>
      </x:c>
      <x:c r="I466" s="75" t="n">
        <x:v>8</x:v>
      </x:c>
      <x:c r="J466" s="75" t="n">
        <x:v>50</x:v>
      </x:c>
      <x:c r="K466" s="75" t="n">
        <x:v>10</x:v>
      </x:c>
      <x:c r="L466" s="75" t="str">
        <x:v>R2_5of50_2of10</x:v>
      </x:c>
      <x:c r="M466" s="213" t="str">
        <x:v>S1_pre_2024_studio_change_sensitivity_only</x:v>
      </x:c>
      <x:c r="N466" s="213" t="str">
        <x:v>Friday</x:v>
      </x:c>
      <x:c r="O466" s="213" t="str">
        <x:v>LottoMetrics full-history export</x:v>
      </x:c>
      <x:c r="P466" s="213" t="str">
        <x:v>Archive-sourced; calendar/range/uniqueness validated</x:v>
      </x:c>
      <x:c r="Q466" s="54" t="str"/>
    </x:row>
    <x:row r="467">
      <x:c r="A467" s="74" t="n">
        <x:v>464</x:v>
      </x:c>
      <x:c r="B467" s="217" t="n">
        <x:v>44232</x:v>
      </x:c>
      <x:c r="C467" s="75" t="n">
        <x:v>2</x:v>
      </x:c>
      <x:c r="D467" s="75" t="n">
        <x:v>3</x:v>
      </x:c>
      <x:c r="E467" s="75" t="n">
        <x:v>16</x:v>
      </x:c>
      <x:c r="F467" s="75" t="n">
        <x:v>33</x:v>
      </x:c>
      <x:c r="G467" s="75" t="n">
        <x:v>46</x:v>
      </x:c>
      <x:c r="H467" s="75" t="n">
        <x:v>2</x:v>
      </x:c>
      <x:c r="I467" s="75" t="n">
        <x:v>10</x:v>
      </x:c>
      <x:c r="J467" s="75" t="n">
        <x:v>50</x:v>
      </x:c>
      <x:c r="K467" s="75" t="n">
        <x:v>10</x:v>
      </x:c>
      <x:c r="L467" s="75" t="str">
        <x:v>R2_5of50_2of10</x:v>
      </x:c>
      <x:c r="M467" s="213" t="str">
        <x:v>S1_pre_2024_studio_change_sensitivity_only</x:v>
      </x:c>
      <x:c r="N467" s="213" t="str">
        <x:v>Friday</x:v>
      </x:c>
      <x:c r="O467" s="213" t="str">
        <x:v>LottoMetrics full-history export</x:v>
      </x:c>
      <x:c r="P467" s="213" t="str">
        <x:v>Archive-sourced; calendar/range/uniqueness validated</x:v>
      </x:c>
      <x:c r="Q467" s="54" t="str"/>
    </x:row>
    <x:row r="468">
      <x:c r="A468" s="74" t="n">
        <x:v>465</x:v>
      </x:c>
      <x:c r="B468" s="217" t="n">
        <x:v>44239</x:v>
      </x:c>
      <x:c r="C468" s="75" t="n">
        <x:v>15</x:v>
      </x:c>
      <x:c r="D468" s="75" t="n">
        <x:v>18</x:v>
      </x:c>
      <x:c r="E468" s="75" t="n">
        <x:v>24</x:v>
      </x:c>
      <x:c r="F468" s="75" t="n">
        <x:v>27</x:v>
      </x:c>
      <x:c r="G468" s="75" t="n">
        <x:v>44</x:v>
      </x:c>
      <x:c r="H468" s="75" t="n">
        <x:v>2</x:v>
      </x:c>
      <x:c r="I468" s="75" t="n">
        <x:v>7</x:v>
      </x:c>
      <x:c r="J468" s="75" t="n">
        <x:v>50</x:v>
      </x:c>
      <x:c r="K468" s="75" t="n">
        <x:v>10</x:v>
      </x:c>
      <x:c r="L468" s="75" t="str">
        <x:v>R2_5of50_2of10</x:v>
      </x:c>
      <x:c r="M468" s="213" t="str">
        <x:v>S1_pre_2024_studio_change_sensitivity_only</x:v>
      </x:c>
      <x:c r="N468" s="213" t="str">
        <x:v>Friday</x:v>
      </x:c>
      <x:c r="O468" s="213" t="str">
        <x:v>LottoMetrics full-history export</x:v>
      </x:c>
      <x:c r="P468" s="213" t="str">
        <x:v>Archive-sourced; calendar/range/uniqueness validated</x:v>
      </x:c>
      <x:c r="Q468" s="54" t="str"/>
    </x:row>
    <x:row r="469">
      <x:c r="A469" s="74" t="n">
        <x:v>466</x:v>
      </x:c>
      <x:c r="B469" s="217" t="n">
        <x:v>44246</x:v>
      </x:c>
      <x:c r="C469" s="75" t="n">
        <x:v>27</x:v>
      </x:c>
      <x:c r="D469" s="75" t="n">
        <x:v>35</x:v>
      </x:c>
      <x:c r="E469" s="75" t="n">
        <x:v>36</x:v>
      </x:c>
      <x:c r="F469" s="75" t="n">
        <x:v>38</x:v>
      </x:c>
      <x:c r="G469" s="75" t="n">
        <x:v>41</x:v>
      </x:c>
      <x:c r="H469" s="75" t="n">
        <x:v>5</x:v>
      </x:c>
      <x:c r="I469" s="75" t="n">
        <x:v>7</x:v>
      </x:c>
      <x:c r="J469" s="75" t="n">
        <x:v>50</x:v>
      </x:c>
      <x:c r="K469" s="75" t="n">
        <x:v>10</x:v>
      </x:c>
      <x:c r="L469" s="75" t="str">
        <x:v>R2_5of50_2of10</x:v>
      </x:c>
      <x:c r="M469" s="213" t="str">
        <x:v>S1_pre_2024_studio_change_sensitivity_only</x:v>
      </x:c>
      <x:c r="N469" s="213" t="str">
        <x:v>Friday</x:v>
      </x:c>
      <x:c r="O469" s="213" t="str">
        <x:v>LottoMetrics full-history export</x:v>
      </x:c>
      <x:c r="P469" s="213" t="str">
        <x:v>Archive-sourced; calendar/range/uniqueness validated</x:v>
      </x:c>
      <x:c r="Q469" s="54" t="str"/>
    </x:row>
    <x:row r="470">
      <x:c r="A470" s="74" t="n">
        <x:v>467</x:v>
      </x:c>
      <x:c r="B470" s="217" t="n">
        <x:v>44253</x:v>
      </x:c>
      <x:c r="C470" s="75" t="n">
        <x:v>3</x:v>
      </x:c>
      <x:c r="D470" s="75" t="n">
        <x:v>13</x:v>
      </x:c>
      <x:c r="E470" s="75" t="n">
        <x:v>24</x:v>
      </x:c>
      <x:c r="F470" s="75" t="n">
        <x:v>29</x:v>
      </x:c>
      <x:c r="G470" s="75" t="n">
        <x:v>32</x:v>
      </x:c>
      <x:c r="H470" s="75" t="n">
        <x:v>1</x:v>
      </x:c>
      <x:c r="I470" s="75" t="n">
        <x:v>7</x:v>
      </x:c>
      <x:c r="J470" s="75" t="n">
        <x:v>50</x:v>
      </x:c>
      <x:c r="K470" s="75" t="n">
        <x:v>10</x:v>
      </x:c>
      <x:c r="L470" s="75" t="str">
        <x:v>R2_5of50_2of10</x:v>
      </x:c>
      <x:c r="M470" s="213" t="str">
        <x:v>S1_pre_2024_studio_change_sensitivity_only</x:v>
      </x:c>
      <x:c r="N470" s="213" t="str">
        <x:v>Friday</x:v>
      </x:c>
      <x:c r="O470" s="213" t="str">
        <x:v>LottoMetrics full-history export</x:v>
      </x:c>
      <x:c r="P470" s="213" t="str">
        <x:v>Archive-sourced; calendar/range/uniqueness validated</x:v>
      </x:c>
      <x:c r="Q470" s="54" t="str"/>
    </x:row>
    <x:row r="471">
      <x:c r="A471" s="74" t="n">
        <x:v>468</x:v>
      </x:c>
      <x:c r="B471" s="217" t="n">
        <x:v>44260</x:v>
      </x:c>
      <x:c r="C471" s="75" t="n">
        <x:v>9</x:v>
      </x:c>
      <x:c r="D471" s="75" t="n">
        <x:v>23</x:v>
      </x:c>
      <x:c r="E471" s="75" t="n">
        <x:v>34</x:v>
      </x:c>
      <x:c r="F471" s="75" t="n">
        <x:v>40</x:v>
      </x:c>
      <x:c r="G471" s="75" t="n">
        <x:v>42</x:v>
      </x:c>
      <x:c r="H471" s="75" t="n">
        <x:v>1</x:v>
      </x:c>
      <x:c r="I471" s="75" t="n">
        <x:v>4</x:v>
      </x:c>
      <x:c r="J471" s="75" t="n">
        <x:v>50</x:v>
      </x:c>
      <x:c r="K471" s="75" t="n">
        <x:v>10</x:v>
      </x:c>
      <x:c r="L471" s="75" t="str">
        <x:v>R2_5of50_2of10</x:v>
      </x:c>
      <x:c r="M471" s="213" t="str">
        <x:v>S1_pre_2024_studio_change_sensitivity_only</x:v>
      </x:c>
      <x:c r="N471" s="213" t="str">
        <x:v>Friday</x:v>
      </x:c>
      <x:c r="O471" s="213" t="str">
        <x:v>LottoMetrics full-history export</x:v>
      </x:c>
      <x:c r="P471" s="213" t="str">
        <x:v>Archive-sourced; calendar/range/uniqueness validated</x:v>
      </x:c>
      <x:c r="Q471" s="54" t="str"/>
    </x:row>
    <x:row r="472">
      <x:c r="A472" s="74" t="n">
        <x:v>469</x:v>
      </x:c>
      <x:c r="B472" s="217" t="n">
        <x:v>44267</x:v>
      </x:c>
      <x:c r="C472" s="75" t="n">
        <x:v>6</x:v>
      </x:c>
      <x:c r="D472" s="75" t="n">
        <x:v>11</x:v>
      </x:c>
      <x:c r="E472" s="75" t="n">
        <x:v>18</x:v>
      </x:c>
      <x:c r="F472" s="75" t="n">
        <x:v>26</x:v>
      </x:c>
      <x:c r="G472" s="75" t="n">
        <x:v>34</x:v>
      </x:c>
      <x:c r="H472" s="75" t="n">
        <x:v>5</x:v>
      </x:c>
      <x:c r="I472" s="75" t="n">
        <x:v>8</x:v>
      </x:c>
      <x:c r="J472" s="75" t="n">
        <x:v>50</x:v>
      </x:c>
      <x:c r="K472" s="75" t="n">
        <x:v>10</x:v>
      </x:c>
      <x:c r="L472" s="75" t="str">
        <x:v>R2_5of50_2of10</x:v>
      </x:c>
      <x:c r="M472" s="213" t="str">
        <x:v>S1_pre_2024_studio_change_sensitivity_only</x:v>
      </x:c>
      <x:c r="N472" s="213" t="str">
        <x:v>Friday</x:v>
      </x:c>
      <x:c r="O472" s="213" t="str">
        <x:v>LottoMetrics full-history export</x:v>
      </x:c>
      <x:c r="P472" s="213" t="str">
        <x:v>Archive-sourced; calendar/range/uniqueness validated</x:v>
      </x:c>
      <x:c r="Q472" s="54" t="str"/>
    </x:row>
    <x:row r="473">
      <x:c r="A473" s="74" t="n">
        <x:v>470</x:v>
      </x:c>
      <x:c r="B473" s="217" t="n">
        <x:v>44274</x:v>
      </x:c>
      <x:c r="C473" s="75" t="n">
        <x:v>3</x:v>
      </x:c>
      <x:c r="D473" s="75" t="n">
        <x:v>11</x:v>
      </x:c>
      <x:c r="E473" s="75" t="n">
        <x:v>19</x:v>
      </x:c>
      <x:c r="F473" s="75" t="n">
        <x:v>34</x:v>
      </x:c>
      <x:c r="G473" s="75" t="n">
        <x:v>37</x:v>
      </x:c>
      <x:c r="H473" s="75" t="n">
        <x:v>8</x:v>
      </x:c>
      <x:c r="I473" s="75" t="n">
        <x:v>9</x:v>
      </x:c>
      <x:c r="J473" s="75" t="n">
        <x:v>50</x:v>
      </x:c>
      <x:c r="K473" s="75" t="n">
        <x:v>10</x:v>
      </x:c>
      <x:c r="L473" s="75" t="str">
        <x:v>R2_5of50_2of10</x:v>
      </x:c>
      <x:c r="M473" s="213" t="str">
        <x:v>S1_pre_2024_studio_change_sensitivity_only</x:v>
      </x:c>
      <x:c r="N473" s="213" t="str">
        <x:v>Friday</x:v>
      </x:c>
      <x:c r="O473" s="213" t="str">
        <x:v>LottoMetrics full-history export</x:v>
      </x:c>
      <x:c r="P473" s="213" t="str">
        <x:v>Archive-sourced; calendar/range/uniqueness validated</x:v>
      </x:c>
      <x:c r="Q473" s="54" t="str"/>
    </x:row>
    <x:row r="474">
      <x:c r="A474" s="74" t="n">
        <x:v>471</x:v>
      </x:c>
      <x:c r="B474" s="217" t="n">
        <x:v>44281</x:v>
      </x:c>
      <x:c r="C474" s="75" t="n">
        <x:v>7</x:v>
      </x:c>
      <x:c r="D474" s="75" t="n">
        <x:v>38</x:v>
      </x:c>
      <x:c r="E474" s="75" t="n">
        <x:v>41</x:v>
      </x:c>
      <x:c r="F474" s="75" t="n">
        <x:v>44</x:v>
      </x:c>
      <x:c r="G474" s="75" t="n">
        <x:v>50</x:v>
      </x:c>
      <x:c r="H474" s="75" t="n">
        <x:v>1</x:v>
      </x:c>
      <x:c r="I474" s="75" t="n">
        <x:v>8</x:v>
      </x:c>
      <x:c r="J474" s="75" t="n">
        <x:v>50</x:v>
      </x:c>
      <x:c r="K474" s="75" t="n">
        <x:v>10</x:v>
      </x:c>
      <x:c r="L474" s="75" t="str">
        <x:v>R2_5of50_2of10</x:v>
      </x:c>
      <x:c r="M474" s="213" t="str">
        <x:v>S1_pre_2024_studio_change_sensitivity_only</x:v>
      </x:c>
      <x:c r="N474" s="213" t="str">
        <x:v>Friday</x:v>
      </x:c>
      <x:c r="O474" s="213" t="str">
        <x:v>LottoMetrics full-history export</x:v>
      </x:c>
      <x:c r="P474" s="213" t="str">
        <x:v>Archive-sourced; calendar/range/uniqueness validated</x:v>
      </x:c>
      <x:c r="Q474" s="54" t="str"/>
    </x:row>
    <x:row r="475">
      <x:c r="A475" s="74" t="n">
        <x:v>472</x:v>
      </x:c>
      <x:c r="B475" s="217" t="n">
        <x:v>44288</x:v>
      </x:c>
      <x:c r="C475" s="75" t="n">
        <x:v>1</x:v>
      </x:c>
      <x:c r="D475" s="75" t="n">
        <x:v>3</x:v>
      </x:c>
      <x:c r="E475" s="75" t="n">
        <x:v>4</x:v>
      </x:c>
      <x:c r="F475" s="75" t="n">
        <x:v>36</x:v>
      </x:c>
      <x:c r="G475" s="75" t="n">
        <x:v>43</x:v>
      </x:c>
      <x:c r="H475" s="75" t="n">
        <x:v>2</x:v>
      </x:c>
      <x:c r="I475" s="75" t="n">
        <x:v>3</x:v>
      </x:c>
      <x:c r="J475" s="75" t="n">
        <x:v>50</x:v>
      </x:c>
      <x:c r="K475" s="75" t="n">
        <x:v>10</x:v>
      </x:c>
      <x:c r="L475" s="75" t="str">
        <x:v>R2_5of50_2of10</x:v>
      </x:c>
      <x:c r="M475" s="213" t="str">
        <x:v>S1_pre_2024_studio_change_sensitivity_only</x:v>
      </x:c>
      <x:c r="N475" s="213" t="str">
        <x:v>Friday</x:v>
      </x:c>
      <x:c r="O475" s="213" t="str">
        <x:v>LottoMetrics full-history export</x:v>
      </x:c>
      <x:c r="P475" s="213" t="str">
        <x:v>Archive-sourced; calendar/range/uniqueness validated</x:v>
      </x:c>
      <x:c r="Q475" s="54" t="str"/>
    </x:row>
    <x:row r="476">
      <x:c r="A476" s="74" t="n">
        <x:v>473</x:v>
      </x:c>
      <x:c r="B476" s="217" t="n">
        <x:v>44295</x:v>
      </x:c>
      <x:c r="C476" s="75" t="n">
        <x:v>11</x:v>
      </x:c>
      <x:c r="D476" s="75" t="n">
        <x:v>18</x:v>
      </x:c>
      <x:c r="E476" s="75" t="n">
        <x:v>23</x:v>
      </x:c>
      <x:c r="F476" s="75" t="n">
        <x:v>29</x:v>
      </x:c>
      <x:c r="G476" s="75" t="n">
        <x:v>32</x:v>
      </x:c>
      <x:c r="H476" s="75" t="n">
        <x:v>3</x:v>
      </x:c>
      <x:c r="I476" s="75" t="n">
        <x:v>7</x:v>
      </x:c>
      <x:c r="J476" s="75" t="n">
        <x:v>50</x:v>
      </x:c>
      <x:c r="K476" s="75" t="n">
        <x:v>10</x:v>
      </x:c>
      <x:c r="L476" s="75" t="str">
        <x:v>R2_5of50_2of10</x:v>
      </x:c>
      <x:c r="M476" s="213" t="str">
        <x:v>S1_pre_2024_studio_change_sensitivity_only</x:v>
      </x:c>
      <x:c r="N476" s="213" t="str">
        <x:v>Friday</x:v>
      </x:c>
      <x:c r="O476" s="213" t="str">
        <x:v>LottoMetrics full-history export</x:v>
      </x:c>
      <x:c r="P476" s="213" t="str">
        <x:v>Archive-sourced; calendar/range/uniqueness validated</x:v>
      </x:c>
      <x:c r="Q476" s="54" t="str"/>
    </x:row>
    <x:row r="477">
      <x:c r="A477" s="74" t="n">
        <x:v>474</x:v>
      </x:c>
      <x:c r="B477" s="217" t="n">
        <x:v>44302</x:v>
      </x:c>
      <x:c r="C477" s="75" t="n">
        <x:v>12</x:v>
      </x:c>
      <x:c r="D477" s="75" t="n">
        <x:v>19</x:v>
      </x:c>
      <x:c r="E477" s="75" t="n">
        <x:v>20</x:v>
      </x:c>
      <x:c r="F477" s="75" t="n">
        <x:v>28</x:v>
      </x:c>
      <x:c r="G477" s="75" t="n">
        <x:v>31</x:v>
      </x:c>
      <x:c r="H477" s="75" t="n">
        <x:v>6</x:v>
      </x:c>
      <x:c r="I477" s="75" t="n">
        <x:v>9</x:v>
      </x:c>
      <x:c r="J477" s="75" t="n">
        <x:v>50</x:v>
      </x:c>
      <x:c r="K477" s="75" t="n">
        <x:v>10</x:v>
      </x:c>
      <x:c r="L477" s="75" t="str">
        <x:v>R2_5of50_2of10</x:v>
      </x:c>
      <x:c r="M477" s="213" t="str">
        <x:v>S1_pre_2024_studio_change_sensitivity_only</x:v>
      </x:c>
      <x:c r="N477" s="213" t="str">
        <x:v>Friday</x:v>
      </x:c>
      <x:c r="O477" s="213" t="str">
        <x:v>LottoMetrics full-history export</x:v>
      </x:c>
      <x:c r="P477" s="213" t="str">
        <x:v>Archive-sourced; calendar/range/uniqueness validated</x:v>
      </x:c>
      <x:c r="Q477" s="54" t="str"/>
    </x:row>
    <x:row r="478">
      <x:c r="A478" s="74" t="n">
        <x:v>475</x:v>
      </x:c>
      <x:c r="B478" s="217" t="n">
        <x:v>44309</x:v>
      </x:c>
      <x:c r="C478" s="75" t="n">
        <x:v>3</x:v>
      </x:c>
      <x:c r="D478" s="75" t="n">
        <x:v>6</x:v>
      </x:c>
      <x:c r="E478" s="75" t="n">
        <x:v>11</x:v>
      </x:c>
      <x:c r="F478" s="75" t="n">
        <x:v>14</x:v>
      </x:c>
      <x:c r="G478" s="75" t="n">
        <x:v>49</x:v>
      </x:c>
      <x:c r="H478" s="75" t="n">
        <x:v>1</x:v>
      </x:c>
      <x:c r="I478" s="75" t="n">
        <x:v>5</x:v>
      </x:c>
      <x:c r="J478" s="75" t="n">
        <x:v>50</x:v>
      </x:c>
      <x:c r="K478" s="75" t="n">
        <x:v>10</x:v>
      </x:c>
      <x:c r="L478" s="75" t="str">
        <x:v>R2_5of50_2of10</x:v>
      </x:c>
      <x:c r="M478" s="213" t="str">
        <x:v>S1_pre_2024_studio_change_sensitivity_only</x:v>
      </x:c>
      <x:c r="N478" s="213" t="str">
        <x:v>Friday</x:v>
      </x:c>
      <x:c r="O478" s="213" t="str">
        <x:v>LottoMetrics full-history export</x:v>
      </x:c>
      <x:c r="P478" s="213" t="str">
        <x:v>Archive-sourced; calendar/range/uniqueness validated</x:v>
      </x:c>
      <x:c r="Q478" s="54" t="str"/>
    </x:row>
    <x:row r="479">
      <x:c r="A479" s="74" t="n">
        <x:v>476</x:v>
      </x:c>
      <x:c r="B479" s="217" t="n">
        <x:v>44316</x:v>
      </x:c>
      <x:c r="C479" s="75" t="n">
        <x:v>23</x:v>
      </x:c>
      <x:c r="D479" s="75" t="n">
        <x:v>27</x:v>
      </x:c>
      <x:c r="E479" s="75" t="n">
        <x:v>34</x:v>
      </x:c>
      <x:c r="F479" s="75" t="n">
        <x:v>40</x:v>
      </x:c>
      <x:c r="G479" s="75" t="n">
        <x:v>43</x:v>
      </x:c>
      <x:c r="H479" s="75" t="n">
        <x:v>5</x:v>
      </x:c>
      <x:c r="I479" s="75" t="n">
        <x:v>7</x:v>
      </x:c>
      <x:c r="J479" s="75" t="n">
        <x:v>50</x:v>
      </x:c>
      <x:c r="K479" s="75" t="n">
        <x:v>10</x:v>
      </x:c>
      <x:c r="L479" s="75" t="str">
        <x:v>R2_5of50_2of10</x:v>
      </x:c>
      <x:c r="M479" s="213" t="str">
        <x:v>S1_pre_2024_studio_change_sensitivity_only</x:v>
      </x:c>
      <x:c r="N479" s="213" t="str">
        <x:v>Friday</x:v>
      </x:c>
      <x:c r="O479" s="213" t="str">
        <x:v>LottoMetrics full-history export</x:v>
      </x:c>
      <x:c r="P479" s="213" t="str">
        <x:v>Archive-sourced; calendar/range/uniqueness validated</x:v>
      </x:c>
      <x:c r="Q479" s="54" t="str"/>
    </x:row>
    <x:row r="480">
      <x:c r="A480" s="74" t="n">
        <x:v>477</x:v>
      </x:c>
      <x:c r="B480" s="217" t="n">
        <x:v>44323</x:v>
      </x:c>
      <x:c r="C480" s="75" t="n">
        <x:v>3</x:v>
      </x:c>
      <x:c r="D480" s="75" t="n">
        <x:v>7</x:v>
      </x:c>
      <x:c r="E480" s="75" t="n">
        <x:v>19</x:v>
      </x:c>
      <x:c r="F480" s="75" t="n">
        <x:v>27</x:v>
      </x:c>
      <x:c r="G480" s="75" t="n">
        <x:v>29</x:v>
      </x:c>
      <x:c r="H480" s="75" t="n">
        <x:v>7</x:v>
      </x:c>
      <x:c r="I480" s="75" t="n">
        <x:v>10</x:v>
      </x:c>
      <x:c r="J480" s="75" t="n">
        <x:v>50</x:v>
      </x:c>
      <x:c r="K480" s="75" t="n">
        <x:v>10</x:v>
      </x:c>
      <x:c r="L480" s="75" t="str">
        <x:v>R2_5of50_2of10</x:v>
      </x:c>
      <x:c r="M480" s="213" t="str">
        <x:v>S1_pre_2024_studio_change_sensitivity_only</x:v>
      </x:c>
      <x:c r="N480" s="213" t="str">
        <x:v>Friday</x:v>
      </x:c>
      <x:c r="O480" s="213" t="str">
        <x:v>LottoMetrics full-history export</x:v>
      </x:c>
      <x:c r="P480" s="213" t="str">
        <x:v>Archive-sourced; calendar/range/uniqueness validated</x:v>
      </x:c>
      <x:c r="Q480" s="54" t="str"/>
    </x:row>
    <x:row r="481">
      <x:c r="A481" s="74" t="n">
        <x:v>478</x:v>
      </x:c>
      <x:c r="B481" s="217" t="n">
        <x:v>44330</x:v>
      </x:c>
      <x:c r="C481" s="75" t="n">
        <x:v>1</x:v>
      </x:c>
      <x:c r="D481" s="75" t="n">
        <x:v>15</x:v>
      </x:c>
      <x:c r="E481" s="75" t="n">
        <x:v>29</x:v>
      </x:c>
      <x:c r="F481" s="75" t="n">
        <x:v>42</x:v>
      </x:c>
      <x:c r="G481" s="75" t="n">
        <x:v>50</x:v>
      </x:c>
      <x:c r="H481" s="75" t="n">
        <x:v>3</x:v>
      </x:c>
      <x:c r="I481" s="75" t="n">
        <x:v>6</x:v>
      </x:c>
      <x:c r="J481" s="75" t="n">
        <x:v>50</x:v>
      </x:c>
      <x:c r="K481" s="75" t="n">
        <x:v>10</x:v>
      </x:c>
      <x:c r="L481" s="75" t="str">
        <x:v>R2_5of50_2of10</x:v>
      </x:c>
      <x:c r="M481" s="213" t="str">
        <x:v>S1_pre_2024_studio_change_sensitivity_only</x:v>
      </x:c>
      <x:c r="N481" s="213" t="str">
        <x:v>Friday</x:v>
      </x:c>
      <x:c r="O481" s="213" t="str">
        <x:v>LottoMetrics full-history export</x:v>
      </x:c>
      <x:c r="P481" s="213" t="str">
        <x:v>Archive-sourced; calendar/range/uniqueness validated</x:v>
      </x:c>
      <x:c r="Q481" s="54" t="str"/>
    </x:row>
    <x:row r="482">
      <x:c r="A482" s="74" t="n">
        <x:v>479</x:v>
      </x:c>
      <x:c r="B482" s="217" t="n">
        <x:v>44337</x:v>
      </x:c>
      <x:c r="C482" s="75" t="n">
        <x:v>2</x:v>
      </x:c>
      <x:c r="D482" s="75" t="n">
        <x:v>12</x:v>
      </x:c>
      <x:c r="E482" s="75" t="n">
        <x:v>15</x:v>
      </x:c>
      <x:c r="F482" s="75" t="n">
        <x:v>33</x:v>
      </x:c>
      <x:c r="G482" s="75" t="n">
        <x:v>39</x:v>
      </x:c>
      <x:c r="H482" s="75" t="n">
        <x:v>4</x:v>
      </x:c>
      <x:c r="I482" s="75" t="n">
        <x:v>9</x:v>
      </x:c>
      <x:c r="J482" s="75" t="n">
        <x:v>50</x:v>
      </x:c>
      <x:c r="K482" s="75" t="n">
        <x:v>10</x:v>
      </x:c>
      <x:c r="L482" s="75" t="str">
        <x:v>R2_5of50_2of10</x:v>
      </x:c>
      <x:c r="M482" s="213" t="str">
        <x:v>S1_pre_2024_studio_change_sensitivity_only</x:v>
      </x:c>
      <x:c r="N482" s="213" t="str">
        <x:v>Friday</x:v>
      </x:c>
      <x:c r="O482" s="213" t="str">
        <x:v>LottoMetrics full-history export</x:v>
      </x:c>
      <x:c r="P482" s="213" t="str">
        <x:v>Archive-sourced; calendar/range/uniqueness validated</x:v>
      </x:c>
      <x:c r="Q482" s="54" t="str"/>
    </x:row>
    <x:row r="483">
      <x:c r="A483" s="74" t="n">
        <x:v>480</x:v>
      </x:c>
      <x:c r="B483" s="217" t="n">
        <x:v>44344</x:v>
      </x:c>
      <x:c r="C483" s="75" t="n">
        <x:v>15</x:v>
      </x:c>
      <x:c r="D483" s="75" t="n">
        <x:v>26</x:v>
      </x:c>
      <x:c r="E483" s="75" t="n">
        <x:v>35</x:v>
      </x:c>
      <x:c r="F483" s="75" t="n">
        <x:v>37</x:v>
      </x:c>
      <x:c r="G483" s="75" t="n">
        <x:v>43</x:v>
      </x:c>
      <x:c r="H483" s="75" t="n">
        <x:v>3</x:v>
      </x:c>
      <x:c r="I483" s="75" t="n">
        <x:v>8</x:v>
      </x:c>
      <x:c r="J483" s="75" t="n">
        <x:v>50</x:v>
      </x:c>
      <x:c r="K483" s="75" t="n">
        <x:v>10</x:v>
      </x:c>
      <x:c r="L483" s="75" t="str">
        <x:v>R2_5of50_2of10</x:v>
      </x:c>
      <x:c r="M483" s="213" t="str">
        <x:v>S1_pre_2024_studio_change_sensitivity_only</x:v>
      </x:c>
      <x:c r="N483" s="213" t="str">
        <x:v>Friday</x:v>
      </x:c>
      <x:c r="O483" s="213" t="str">
        <x:v>LottoMetrics full-history export</x:v>
      </x:c>
      <x:c r="P483" s="213" t="str">
        <x:v>Archive-sourced; calendar/range/uniqueness validated</x:v>
      </x:c>
      <x:c r="Q483" s="54" t="str"/>
    </x:row>
    <x:row r="484">
      <x:c r="A484" s="74" t="n">
        <x:v>481</x:v>
      </x:c>
      <x:c r="B484" s="217" t="n">
        <x:v>44351</x:v>
      </x:c>
      <x:c r="C484" s="75" t="n">
        <x:v>13</x:v>
      </x:c>
      <x:c r="D484" s="75" t="n">
        <x:v>17</x:v>
      </x:c>
      <x:c r="E484" s="75" t="n">
        <x:v>26</x:v>
      </x:c>
      <x:c r="F484" s="75" t="n">
        <x:v>49</x:v>
      </x:c>
      <x:c r="G484" s="75" t="n">
        <x:v>50</x:v>
      </x:c>
      <x:c r="H484" s="75" t="n">
        <x:v>1</x:v>
      </x:c>
      <x:c r="I484" s="75" t="n">
        <x:v>7</x:v>
      </x:c>
      <x:c r="J484" s="75" t="n">
        <x:v>50</x:v>
      </x:c>
      <x:c r="K484" s="75" t="n">
        <x:v>10</x:v>
      </x:c>
      <x:c r="L484" s="75" t="str">
        <x:v>R2_5of50_2of10</x:v>
      </x:c>
      <x:c r="M484" s="213" t="str">
        <x:v>S1_pre_2024_studio_change_sensitivity_only</x:v>
      </x:c>
      <x:c r="N484" s="213" t="str">
        <x:v>Friday</x:v>
      </x:c>
      <x:c r="O484" s="213" t="str">
        <x:v>LottoMetrics full-history export</x:v>
      </x:c>
      <x:c r="P484" s="213" t="str">
        <x:v>Archive-sourced; calendar/range/uniqueness validated</x:v>
      </x:c>
      <x:c r="Q484" s="54" t="str"/>
    </x:row>
    <x:row r="485">
      <x:c r="A485" s="74" t="n">
        <x:v>482</x:v>
      </x:c>
      <x:c r="B485" s="217" t="n">
        <x:v>44358</x:v>
      </x:c>
      <x:c r="C485" s="75" t="n">
        <x:v>8</x:v>
      </x:c>
      <x:c r="D485" s="75" t="n">
        <x:v>20</x:v>
      </x:c>
      <x:c r="E485" s="75" t="n">
        <x:v>23</x:v>
      </x:c>
      <x:c r="F485" s="75" t="n">
        <x:v>48</x:v>
      </x:c>
      <x:c r="G485" s="75" t="n">
        <x:v>50</x:v>
      </x:c>
      <x:c r="H485" s="75" t="n">
        <x:v>8</x:v>
      </x:c>
      <x:c r="I485" s="75" t="n">
        <x:v>9</x:v>
      </x:c>
      <x:c r="J485" s="75" t="n">
        <x:v>50</x:v>
      </x:c>
      <x:c r="K485" s="75" t="n">
        <x:v>10</x:v>
      </x:c>
      <x:c r="L485" s="75" t="str">
        <x:v>R2_5of50_2of10</x:v>
      </x:c>
      <x:c r="M485" s="213" t="str">
        <x:v>S1_pre_2024_studio_change_sensitivity_only</x:v>
      </x:c>
      <x:c r="N485" s="213" t="str">
        <x:v>Friday</x:v>
      </x:c>
      <x:c r="O485" s="213" t="str">
        <x:v>LottoMetrics full-history export</x:v>
      </x:c>
      <x:c r="P485" s="213" t="str">
        <x:v>Archive-sourced; calendar/range/uniqueness validated</x:v>
      </x:c>
      <x:c r="Q485" s="54" t="str"/>
    </x:row>
    <x:row r="486">
      <x:c r="A486" s="74" t="n">
        <x:v>483</x:v>
      </x:c>
      <x:c r="B486" s="217" t="n">
        <x:v>44365</x:v>
      </x:c>
      <x:c r="C486" s="75" t="n">
        <x:v>11</x:v>
      </x:c>
      <x:c r="D486" s="75" t="n">
        <x:v>14</x:v>
      </x:c>
      <x:c r="E486" s="75" t="n">
        <x:v>44</x:v>
      </x:c>
      <x:c r="F486" s="75" t="n">
        <x:v>46</x:v>
      </x:c>
      <x:c r="G486" s="75" t="n">
        <x:v>49</x:v>
      </x:c>
      <x:c r="H486" s="75" t="n">
        <x:v>7</x:v>
      </x:c>
      <x:c r="I486" s="75" t="n">
        <x:v>10</x:v>
      </x:c>
      <x:c r="J486" s="75" t="n">
        <x:v>50</x:v>
      </x:c>
      <x:c r="K486" s="75" t="n">
        <x:v>10</x:v>
      </x:c>
      <x:c r="L486" s="75" t="str">
        <x:v>R2_5of50_2of10</x:v>
      </x:c>
      <x:c r="M486" s="213" t="str">
        <x:v>S1_pre_2024_studio_change_sensitivity_only</x:v>
      </x:c>
      <x:c r="N486" s="213" t="str">
        <x:v>Friday</x:v>
      </x:c>
      <x:c r="O486" s="213" t="str">
        <x:v>LottoMetrics full-history export</x:v>
      </x:c>
      <x:c r="P486" s="213" t="str">
        <x:v>Archive-sourced; calendar/range/uniqueness validated</x:v>
      </x:c>
      <x:c r="Q486" s="54" t="str"/>
    </x:row>
    <x:row r="487">
      <x:c r="A487" s="74" t="n">
        <x:v>484</x:v>
      </x:c>
      <x:c r="B487" s="217" t="n">
        <x:v>44372</x:v>
      </x:c>
      <x:c r="C487" s="75" t="n">
        <x:v>4</x:v>
      </x:c>
      <x:c r="D487" s="75" t="n">
        <x:v>17</x:v>
      </x:c>
      <x:c r="E487" s="75" t="n">
        <x:v>22</x:v>
      </x:c>
      <x:c r="F487" s="75" t="n">
        <x:v>30</x:v>
      </x:c>
      <x:c r="G487" s="75" t="n">
        <x:v>47</x:v>
      </x:c>
      <x:c r="H487" s="75" t="n">
        <x:v>1</x:v>
      </x:c>
      <x:c r="I487" s="75" t="n">
        <x:v>8</x:v>
      </x:c>
      <x:c r="J487" s="75" t="n">
        <x:v>50</x:v>
      </x:c>
      <x:c r="K487" s="75" t="n">
        <x:v>10</x:v>
      </x:c>
      <x:c r="L487" s="75" t="str">
        <x:v>R2_5of50_2of10</x:v>
      </x:c>
      <x:c r="M487" s="213" t="str">
        <x:v>S1_pre_2024_studio_change_sensitivity_only</x:v>
      </x:c>
      <x:c r="N487" s="213" t="str">
        <x:v>Friday</x:v>
      </x:c>
      <x:c r="O487" s="213" t="str">
        <x:v>LottoMetrics full-history export</x:v>
      </x:c>
      <x:c r="P487" s="213" t="str">
        <x:v>Archive-sourced; calendar/range/uniqueness validated</x:v>
      </x:c>
      <x:c r="Q487" s="54" t="str"/>
    </x:row>
    <x:row r="488">
      <x:c r="A488" s="74" t="n">
        <x:v>485</x:v>
      </x:c>
      <x:c r="B488" s="217" t="n">
        <x:v>44379</x:v>
      </x:c>
      <x:c r="C488" s="75" t="n">
        <x:v>4</x:v>
      </x:c>
      <x:c r="D488" s="75" t="n">
        <x:v>5</x:v>
      </x:c>
      <x:c r="E488" s="75" t="n">
        <x:v>10</x:v>
      </x:c>
      <x:c r="F488" s="75" t="n">
        <x:v>25</x:v>
      </x:c>
      <x:c r="G488" s="75" t="n">
        <x:v>31</x:v>
      </x:c>
      <x:c r="H488" s="75" t="n">
        <x:v>4</x:v>
      </x:c>
      <x:c r="I488" s="75" t="n">
        <x:v>6</x:v>
      </x:c>
      <x:c r="J488" s="75" t="n">
        <x:v>50</x:v>
      </x:c>
      <x:c r="K488" s="75" t="n">
        <x:v>10</x:v>
      </x:c>
      <x:c r="L488" s="75" t="str">
        <x:v>R2_5of50_2of10</x:v>
      </x:c>
      <x:c r="M488" s="213" t="str">
        <x:v>S1_pre_2024_studio_change_sensitivity_only</x:v>
      </x:c>
      <x:c r="N488" s="213" t="str">
        <x:v>Friday</x:v>
      </x:c>
      <x:c r="O488" s="213" t="str">
        <x:v>LottoMetrics full-history export</x:v>
      </x:c>
      <x:c r="P488" s="213" t="str">
        <x:v>Archive-sourced; calendar/range/uniqueness validated</x:v>
      </x:c>
      <x:c r="Q488" s="54" t="str"/>
    </x:row>
    <x:row r="489">
      <x:c r="A489" s="74" t="n">
        <x:v>486</x:v>
      </x:c>
      <x:c r="B489" s="217" t="n">
        <x:v>44386</x:v>
      </x:c>
      <x:c r="C489" s="75" t="n">
        <x:v>8</x:v>
      </x:c>
      <x:c r="D489" s="75" t="n">
        <x:v>14</x:v>
      </x:c>
      <x:c r="E489" s="75" t="n">
        <x:v>15</x:v>
      </x:c>
      <x:c r="F489" s="75" t="n">
        <x:v>20</x:v>
      </x:c>
      <x:c r="G489" s="75" t="n">
        <x:v>31</x:v>
      </x:c>
      <x:c r="H489" s="75" t="n">
        <x:v>8</x:v>
      </x:c>
      <x:c r="I489" s="75" t="n">
        <x:v>9</x:v>
      </x:c>
      <x:c r="J489" s="75" t="n">
        <x:v>50</x:v>
      </x:c>
      <x:c r="K489" s="75" t="n">
        <x:v>10</x:v>
      </x:c>
      <x:c r="L489" s="75" t="str">
        <x:v>R2_5of50_2of10</x:v>
      </x:c>
      <x:c r="M489" s="213" t="str">
        <x:v>S1_pre_2024_studio_change_sensitivity_only</x:v>
      </x:c>
      <x:c r="N489" s="213" t="str">
        <x:v>Friday</x:v>
      </x:c>
      <x:c r="O489" s="213" t="str">
        <x:v>LottoMetrics full-history export</x:v>
      </x:c>
      <x:c r="P489" s="213" t="str">
        <x:v>Archive-sourced; calendar/range/uniqueness validated</x:v>
      </x:c>
      <x:c r="Q489" s="54" t="str"/>
    </x:row>
    <x:row r="490">
      <x:c r="A490" s="74" t="n">
        <x:v>487</x:v>
      </x:c>
      <x:c r="B490" s="217" t="n">
        <x:v>44393</x:v>
      </x:c>
      <x:c r="C490" s="75" t="n">
        <x:v>9</x:v>
      </x:c>
      <x:c r="D490" s="75" t="n">
        <x:v>14</x:v>
      </x:c>
      <x:c r="E490" s="75" t="n">
        <x:v>24</x:v>
      </x:c>
      <x:c r="F490" s="75" t="n">
        <x:v>37</x:v>
      </x:c>
      <x:c r="G490" s="75" t="n">
        <x:v>39</x:v>
      </x:c>
      <x:c r="H490" s="75" t="n">
        <x:v>4</x:v>
      </x:c>
      <x:c r="I490" s="75" t="n">
        <x:v>9</x:v>
      </x:c>
      <x:c r="J490" s="75" t="n">
        <x:v>50</x:v>
      </x:c>
      <x:c r="K490" s="75" t="n">
        <x:v>10</x:v>
      </x:c>
      <x:c r="L490" s="75" t="str">
        <x:v>R2_5of50_2of10</x:v>
      </x:c>
      <x:c r="M490" s="213" t="str">
        <x:v>S1_pre_2024_studio_change_sensitivity_only</x:v>
      </x:c>
      <x:c r="N490" s="213" t="str">
        <x:v>Friday</x:v>
      </x:c>
      <x:c r="O490" s="213" t="str">
        <x:v>LottoMetrics full-history export</x:v>
      </x:c>
      <x:c r="P490" s="213" t="str">
        <x:v>Archive-sourced; calendar/range/uniqueness validated</x:v>
      </x:c>
      <x:c r="Q490" s="54" t="str"/>
    </x:row>
    <x:row r="491">
      <x:c r="A491" s="74" t="n">
        <x:v>488</x:v>
      </x:c>
      <x:c r="B491" s="217" t="n">
        <x:v>44400</x:v>
      </x:c>
      <x:c r="C491" s="75" t="n">
        <x:v>13</x:v>
      </x:c>
      <x:c r="D491" s="75" t="n">
        <x:v>33</x:v>
      </x:c>
      <x:c r="E491" s="75" t="n">
        <x:v>42</x:v>
      </x:c>
      <x:c r="F491" s="75" t="n">
        <x:v>48</x:v>
      </x:c>
      <x:c r="G491" s="75" t="n">
        <x:v>50</x:v>
      </x:c>
      <x:c r="H491" s="75" t="n">
        <x:v>3</x:v>
      </x:c>
      <x:c r="I491" s="75" t="n">
        <x:v>9</x:v>
      </x:c>
      <x:c r="J491" s="75" t="n">
        <x:v>50</x:v>
      </x:c>
      <x:c r="K491" s="75" t="n">
        <x:v>10</x:v>
      </x:c>
      <x:c r="L491" s="75" t="str">
        <x:v>R2_5of50_2of10</x:v>
      </x:c>
      <x:c r="M491" s="213" t="str">
        <x:v>S1_pre_2024_studio_change_sensitivity_only</x:v>
      </x:c>
      <x:c r="N491" s="213" t="str">
        <x:v>Friday</x:v>
      </x:c>
      <x:c r="O491" s="213" t="str">
        <x:v>LottoMetrics full-history export</x:v>
      </x:c>
      <x:c r="P491" s="213" t="str">
        <x:v>Archive-sourced; calendar/range/uniqueness validated</x:v>
      </x:c>
      <x:c r="Q491" s="54" t="str"/>
    </x:row>
    <x:row r="492">
      <x:c r="A492" s="74" t="n">
        <x:v>489</x:v>
      </x:c>
      <x:c r="B492" s="217" t="n">
        <x:v>44407</x:v>
      </x:c>
      <x:c r="C492" s="75" t="n">
        <x:v>5</x:v>
      </x:c>
      <x:c r="D492" s="75" t="n">
        <x:v>14</x:v>
      </x:c>
      <x:c r="E492" s="75" t="n">
        <x:v>39</x:v>
      </x:c>
      <x:c r="F492" s="75" t="n">
        <x:v>43</x:v>
      </x:c>
      <x:c r="G492" s="75" t="n">
        <x:v>44</x:v>
      </x:c>
      <x:c r="H492" s="75" t="n">
        <x:v>1</x:v>
      </x:c>
      <x:c r="I492" s="75" t="n">
        <x:v>6</x:v>
      </x:c>
      <x:c r="J492" s="75" t="n">
        <x:v>50</x:v>
      </x:c>
      <x:c r="K492" s="75" t="n">
        <x:v>10</x:v>
      </x:c>
      <x:c r="L492" s="75" t="str">
        <x:v>R2_5of50_2of10</x:v>
      </x:c>
      <x:c r="M492" s="213" t="str">
        <x:v>S1_pre_2024_studio_change_sensitivity_only</x:v>
      </x:c>
      <x:c r="N492" s="213" t="str">
        <x:v>Friday</x:v>
      </x:c>
      <x:c r="O492" s="213" t="str">
        <x:v>LottoMetrics full-history export</x:v>
      </x:c>
      <x:c r="P492" s="213" t="str">
        <x:v>Archive-sourced; calendar/range/uniqueness validated</x:v>
      </x:c>
      <x:c r="Q492" s="54" t="str"/>
    </x:row>
    <x:row r="493">
      <x:c r="A493" s="74" t="n">
        <x:v>490</x:v>
      </x:c>
      <x:c r="B493" s="217" t="n">
        <x:v>44414</x:v>
      </x:c>
      <x:c r="C493" s="75" t="n">
        <x:v>16</x:v>
      </x:c>
      <x:c r="D493" s="75" t="n">
        <x:v>19</x:v>
      </x:c>
      <x:c r="E493" s="75" t="n">
        <x:v>21</x:v>
      </x:c>
      <x:c r="F493" s="75" t="n">
        <x:v>29</x:v>
      </x:c>
      <x:c r="G493" s="75" t="n">
        <x:v>36</x:v>
      </x:c>
      <x:c r="H493" s="75" t="n">
        <x:v>1</x:v>
      </x:c>
      <x:c r="I493" s="75" t="n">
        <x:v>7</x:v>
      </x:c>
      <x:c r="J493" s="75" t="n">
        <x:v>50</x:v>
      </x:c>
      <x:c r="K493" s="75" t="n">
        <x:v>10</x:v>
      </x:c>
      <x:c r="L493" s="75" t="str">
        <x:v>R2_5of50_2of10</x:v>
      </x:c>
      <x:c r="M493" s="213" t="str">
        <x:v>S1_pre_2024_studio_change_sensitivity_only</x:v>
      </x:c>
      <x:c r="N493" s="213" t="str">
        <x:v>Friday</x:v>
      </x:c>
      <x:c r="O493" s="213" t="str">
        <x:v>LottoMetrics full-history export</x:v>
      </x:c>
      <x:c r="P493" s="213" t="str">
        <x:v>Archive-sourced; calendar/range/uniqueness validated</x:v>
      </x:c>
      <x:c r="Q493" s="54" t="str"/>
    </x:row>
    <x:row r="494">
      <x:c r="A494" s="74" t="n">
        <x:v>491</x:v>
      </x:c>
      <x:c r="B494" s="217" t="n">
        <x:v>44421</x:v>
      </x:c>
      <x:c r="C494" s="75" t="n">
        <x:v>4</x:v>
      </x:c>
      <x:c r="D494" s="75" t="n">
        <x:v>31</x:v>
      </x:c>
      <x:c r="E494" s="75" t="n">
        <x:v>39</x:v>
      </x:c>
      <x:c r="F494" s="75" t="n">
        <x:v>43</x:v>
      </x:c>
      <x:c r="G494" s="75" t="n">
        <x:v>46</x:v>
      </x:c>
      <x:c r="H494" s="75" t="n">
        <x:v>1</x:v>
      </x:c>
      <x:c r="I494" s="75" t="n">
        <x:v>4</x:v>
      </x:c>
      <x:c r="J494" s="75" t="n">
        <x:v>50</x:v>
      </x:c>
      <x:c r="K494" s="75" t="n">
        <x:v>10</x:v>
      </x:c>
      <x:c r="L494" s="75" t="str">
        <x:v>R2_5of50_2of10</x:v>
      </x:c>
      <x:c r="M494" s="213" t="str">
        <x:v>S1_pre_2024_studio_change_sensitivity_only</x:v>
      </x:c>
      <x:c r="N494" s="213" t="str">
        <x:v>Friday</x:v>
      </x:c>
      <x:c r="O494" s="213" t="str">
        <x:v>LottoMetrics full-history export</x:v>
      </x:c>
      <x:c r="P494" s="213" t="str">
        <x:v>Archive-sourced; calendar/range/uniqueness validated</x:v>
      </x:c>
      <x:c r="Q494" s="54" t="str"/>
    </x:row>
    <x:row r="495">
      <x:c r="A495" s="74" t="n">
        <x:v>492</x:v>
      </x:c>
      <x:c r="B495" s="217" t="n">
        <x:v>44428</x:v>
      </x:c>
      <x:c r="C495" s="75" t="n">
        <x:v>8</x:v>
      </x:c>
      <x:c r="D495" s="75" t="n">
        <x:v>31</x:v>
      </x:c>
      <x:c r="E495" s="75" t="n">
        <x:v>34</x:v>
      </x:c>
      <x:c r="F495" s="75" t="n">
        <x:v>36</x:v>
      </x:c>
      <x:c r="G495" s="75" t="n">
        <x:v>45</x:v>
      </x:c>
      <x:c r="H495" s="75" t="n">
        <x:v>8</x:v>
      </x:c>
      <x:c r="I495" s="75" t="n">
        <x:v>10</x:v>
      </x:c>
      <x:c r="J495" s="75" t="n">
        <x:v>50</x:v>
      </x:c>
      <x:c r="K495" s="75" t="n">
        <x:v>10</x:v>
      </x:c>
      <x:c r="L495" s="75" t="str">
        <x:v>R2_5of50_2of10</x:v>
      </x:c>
      <x:c r="M495" s="213" t="str">
        <x:v>S1_pre_2024_studio_change_sensitivity_only</x:v>
      </x:c>
      <x:c r="N495" s="213" t="str">
        <x:v>Friday</x:v>
      </x:c>
      <x:c r="O495" s="213" t="str">
        <x:v>LottoMetrics full-history export</x:v>
      </x:c>
      <x:c r="P495" s="213" t="str">
        <x:v>Archive-sourced; calendar/range/uniqueness validated</x:v>
      </x:c>
      <x:c r="Q495" s="54" t="str"/>
    </x:row>
    <x:row r="496">
      <x:c r="A496" s="74" t="n">
        <x:v>493</x:v>
      </x:c>
      <x:c r="B496" s="217" t="n">
        <x:v>44435</x:v>
      </x:c>
      <x:c r="C496" s="75" t="n">
        <x:v>19</x:v>
      </x:c>
      <x:c r="D496" s="75" t="n">
        <x:v>20</x:v>
      </x:c>
      <x:c r="E496" s="75" t="n">
        <x:v>22</x:v>
      </x:c>
      <x:c r="F496" s="75" t="n">
        <x:v>25</x:v>
      </x:c>
      <x:c r="G496" s="75" t="n">
        <x:v>42</x:v>
      </x:c>
      <x:c r="H496" s="75" t="n">
        <x:v>4</x:v>
      </x:c>
      <x:c r="I496" s="75" t="n">
        <x:v>6</x:v>
      </x:c>
      <x:c r="J496" s="75" t="n">
        <x:v>50</x:v>
      </x:c>
      <x:c r="K496" s="75" t="n">
        <x:v>10</x:v>
      </x:c>
      <x:c r="L496" s="75" t="str">
        <x:v>R2_5of50_2of10</x:v>
      </x:c>
      <x:c r="M496" s="213" t="str">
        <x:v>S1_pre_2024_studio_change_sensitivity_only</x:v>
      </x:c>
      <x:c r="N496" s="213" t="str">
        <x:v>Friday</x:v>
      </x:c>
      <x:c r="O496" s="213" t="str">
        <x:v>LottoMetrics full-history export</x:v>
      </x:c>
      <x:c r="P496" s="213" t="str">
        <x:v>Archive-sourced; calendar/range/uniqueness validated</x:v>
      </x:c>
      <x:c r="Q496" s="54" t="str"/>
    </x:row>
    <x:row r="497">
      <x:c r="A497" s="74" t="n">
        <x:v>494</x:v>
      </x:c>
      <x:c r="B497" s="217" t="n">
        <x:v>44442</x:v>
      </x:c>
      <x:c r="C497" s="75" t="n">
        <x:v>5</x:v>
      </x:c>
      <x:c r="D497" s="75" t="n">
        <x:v>9</x:v>
      </x:c>
      <x:c r="E497" s="75" t="n">
        <x:v>20</x:v>
      </x:c>
      <x:c r="F497" s="75" t="n">
        <x:v>44</x:v>
      </x:c>
      <x:c r="G497" s="75" t="n">
        <x:v>48</x:v>
      </x:c>
      <x:c r="H497" s="75" t="n">
        <x:v>4</x:v>
      </x:c>
      <x:c r="I497" s="75" t="n">
        <x:v>10</x:v>
      </x:c>
      <x:c r="J497" s="75" t="n">
        <x:v>50</x:v>
      </x:c>
      <x:c r="K497" s="75" t="n">
        <x:v>10</x:v>
      </x:c>
      <x:c r="L497" s="75" t="str">
        <x:v>R2_5of50_2of10</x:v>
      </x:c>
      <x:c r="M497" s="213" t="str">
        <x:v>S1_pre_2024_studio_change_sensitivity_only</x:v>
      </x:c>
      <x:c r="N497" s="213" t="str">
        <x:v>Friday</x:v>
      </x:c>
      <x:c r="O497" s="213" t="str">
        <x:v>LottoMetrics full-history export</x:v>
      </x:c>
      <x:c r="P497" s="213" t="str">
        <x:v>Archive-sourced; calendar/range/uniqueness validated</x:v>
      </x:c>
      <x:c r="Q497" s="54" t="str"/>
    </x:row>
    <x:row r="498">
      <x:c r="A498" s="74" t="n">
        <x:v>495</x:v>
      </x:c>
      <x:c r="B498" s="217" t="n">
        <x:v>44449</x:v>
      </x:c>
      <x:c r="C498" s="75" t="n">
        <x:v>2</x:v>
      </x:c>
      <x:c r="D498" s="75" t="n">
        <x:v>14</x:v>
      </x:c>
      <x:c r="E498" s="75" t="n">
        <x:v>18</x:v>
      </x:c>
      <x:c r="F498" s="75" t="n">
        <x:v>23</x:v>
      </x:c>
      <x:c r="G498" s="75" t="n">
        <x:v>42</x:v>
      </x:c>
      <x:c r="H498" s="75" t="n">
        <x:v>5</x:v>
      </x:c>
      <x:c r="I498" s="75" t="n">
        <x:v>10</x:v>
      </x:c>
      <x:c r="J498" s="75" t="n">
        <x:v>50</x:v>
      </x:c>
      <x:c r="K498" s="75" t="n">
        <x:v>10</x:v>
      </x:c>
      <x:c r="L498" s="75" t="str">
        <x:v>R2_5of50_2of10</x:v>
      </x:c>
      <x:c r="M498" s="213" t="str">
        <x:v>S1_pre_2024_studio_change_sensitivity_only</x:v>
      </x:c>
      <x:c r="N498" s="213" t="str">
        <x:v>Friday</x:v>
      </x:c>
      <x:c r="O498" s="213" t="str">
        <x:v>LottoMetrics full-history export</x:v>
      </x:c>
      <x:c r="P498" s="213" t="str">
        <x:v>Archive-sourced; calendar/range/uniqueness validated</x:v>
      </x:c>
      <x:c r="Q498" s="54" t="str"/>
    </x:row>
    <x:row r="499">
      <x:c r="A499" s="74" t="n">
        <x:v>496</x:v>
      </x:c>
      <x:c r="B499" s="217" t="n">
        <x:v>44456</x:v>
      </x:c>
      <x:c r="C499" s="75" t="n">
        <x:v>14</x:v>
      </x:c>
      <x:c r="D499" s="75" t="n">
        <x:v>17</x:v>
      </x:c>
      <x:c r="E499" s="75" t="n">
        <x:v>20</x:v>
      </x:c>
      <x:c r="F499" s="75" t="n">
        <x:v>27</x:v>
      </x:c>
      <x:c r="G499" s="75" t="n">
        <x:v>32</x:v>
      </x:c>
      <x:c r="H499" s="75" t="n">
        <x:v>3</x:v>
      </x:c>
      <x:c r="I499" s="75" t="n">
        <x:v>7</x:v>
      </x:c>
      <x:c r="J499" s="75" t="n">
        <x:v>50</x:v>
      </x:c>
      <x:c r="K499" s="75" t="n">
        <x:v>10</x:v>
      </x:c>
      <x:c r="L499" s="75" t="str">
        <x:v>R2_5of50_2of10</x:v>
      </x:c>
      <x:c r="M499" s="213" t="str">
        <x:v>S1_pre_2024_studio_change_sensitivity_only</x:v>
      </x:c>
      <x:c r="N499" s="213" t="str">
        <x:v>Friday</x:v>
      </x:c>
      <x:c r="O499" s="213" t="str">
        <x:v>LottoMetrics full-history export</x:v>
      </x:c>
      <x:c r="P499" s="213" t="str">
        <x:v>Archive-sourced; calendar/range/uniqueness validated</x:v>
      </x:c>
      <x:c r="Q499" s="54" t="str"/>
    </x:row>
    <x:row r="500">
      <x:c r="A500" s="74" t="n">
        <x:v>497</x:v>
      </x:c>
      <x:c r="B500" s="217" t="n">
        <x:v>44463</x:v>
      </x:c>
      <x:c r="C500" s="75" t="n">
        <x:v>12</x:v>
      </x:c>
      <x:c r="D500" s="75" t="n">
        <x:v>22</x:v>
      </x:c>
      <x:c r="E500" s="75" t="n">
        <x:v>35</x:v>
      </x:c>
      <x:c r="F500" s="75" t="n">
        <x:v>38</x:v>
      </x:c>
      <x:c r="G500" s="75" t="n">
        <x:v>49</x:v>
      </x:c>
      <x:c r="H500" s="75" t="n">
        <x:v>5</x:v>
      </x:c>
      <x:c r="I500" s="75" t="n">
        <x:v>10</x:v>
      </x:c>
      <x:c r="J500" s="75" t="n">
        <x:v>50</x:v>
      </x:c>
      <x:c r="K500" s="75" t="n">
        <x:v>10</x:v>
      </x:c>
      <x:c r="L500" s="75" t="str">
        <x:v>R2_5of50_2of10</x:v>
      </x:c>
      <x:c r="M500" s="213" t="str">
        <x:v>S1_pre_2024_studio_change_sensitivity_only</x:v>
      </x:c>
      <x:c r="N500" s="213" t="str">
        <x:v>Friday</x:v>
      </x:c>
      <x:c r="O500" s="213" t="str">
        <x:v>LottoMetrics full-history export</x:v>
      </x:c>
      <x:c r="P500" s="213" t="str">
        <x:v>Archive-sourced; calendar/range/uniqueness validated</x:v>
      </x:c>
      <x:c r="Q500" s="54" t="str"/>
    </x:row>
    <x:row r="501">
      <x:c r="A501" s="74" t="n">
        <x:v>498</x:v>
      </x:c>
      <x:c r="B501" s="217" t="n">
        <x:v>44470</x:v>
      </x:c>
      <x:c r="C501" s="75" t="n">
        <x:v>20</x:v>
      </x:c>
      <x:c r="D501" s="75" t="n">
        <x:v>33</x:v>
      </x:c>
      <x:c r="E501" s="75" t="n">
        <x:v>34</x:v>
      </x:c>
      <x:c r="F501" s="75" t="n">
        <x:v>37</x:v>
      </x:c>
      <x:c r="G501" s="75" t="n">
        <x:v>39</x:v>
      </x:c>
      <x:c r="H501" s="75" t="n">
        <x:v>4</x:v>
      </x:c>
      <x:c r="I501" s="75" t="n">
        <x:v>8</x:v>
      </x:c>
      <x:c r="J501" s="75" t="n">
        <x:v>50</x:v>
      </x:c>
      <x:c r="K501" s="75" t="n">
        <x:v>10</x:v>
      </x:c>
      <x:c r="L501" s="75" t="str">
        <x:v>R2_5of50_2of10</x:v>
      </x:c>
      <x:c r="M501" s="213" t="str">
        <x:v>S1_pre_2024_studio_change_sensitivity_only</x:v>
      </x:c>
      <x:c r="N501" s="213" t="str">
        <x:v>Friday</x:v>
      </x:c>
      <x:c r="O501" s="213" t="str">
        <x:v>LottoMetrics full-history export</x:v>
      </x:c>
      <x:c r="P501" s="213" t="str">
        <x:v>Archive-sourced; calendar/range/uniqueness validated</x:v>
      </x:c>
      <x:c r="Q501" s="54" t="str"/>
    </x:row>
    <x:row r="502">
      <x:c r="A502" s="74" t="n">
        <x:v>499</x:v>
      </x:c>
      <x:c r="B502" s="217" t="n">
        <x:v>44477</x:v>
      </x:c>
      <x:c r="C502" s="75" t="n">
        <x:v>20</x:v>
      </x:c>
      <x:c r="D502" s="75" t="n">
        <x:v>28</x:v>
      </x:c>
      <x:c r="E502" s="75" t="n">
        <x:v>32</x:v>
      </x:c>
      <x:c r="F502" s="75" t="n">
        <x:v>38</x:v>
      </x:c>
      <x:c r="G502" s="75" t="n">
        <x:v>46</x:v>
      </x:c>
      <x:c r="H502" s="75" t="n">
        <x:v>6</x:v>
      </x:c>
      <x:c r="I502" s="75" t="n">
        <x:v>8</x:v>
      </x:c>
      <x:c r="J502" s="75" t="n">
        <x:v>50</x:v>
      </x:c>
      <x:c r="K502" s="75" t="n">
        <x:v>10</x:v>
      </x:c>
      <x:c r="L502" s="75" t="str">
        <x:v>R2_5of50_2of10</x:v>
      </x:c>
      <x:c r="M502" s="213" t="str">
        <x:v>S1_pre_2024_studio_change_sensitivity_only</x:v>
      </x:c>
      <x:c r="N502" s="213" t="str">
        <x:v>Friday</x:v>
      </x:c>
      <x:c r="O502" s="213" t="str">
        <x:v>LottoMetrics full-history export</x:v>
      </x:c>
      <x:c r="P502" s="213" t="str">
        <x:v>Archive-sourced; calendar/range/uniqueness validated</x:v>
      </x:c>
      <x:c r="Q502" s="54" t="str"/>
    </x:row>
    <x:row r="503">
      <x:c r="A503" s="74" t="n">
        <x:v>500</x:v>
      </x:c>
      <x:c r="B503" s="217" t="n">
        <x:v>44484</x:v>
      </x:c>
      <x:c r="C503" s="75" t="n">
        <x:v>2</x:v>
      </x:c>
      <x:c r="D503" s="75" t="n">
        <x:v>6</x:v>
      </x:c>
      <x:c r="E503" s="75" t="n">
        <x:v>8</x:v>
      </x:c>
      <x:c r="F503" s="75" t="n">
        <x:v>21</x:v>
      </x:c>
      <x:c r="G503" s="75" t="n">
        <x:v>25</x:v>
      </x:c>
      <x:c r="H503" s="75" t="n">
        <x:v>6</x:v>
      </x:c>
      <x:c r="I503" s="75" t="n">
        <x:v>9</x:v>
      </x:c>
      <x:c r="J503" s="75" t="n">
        <x:v>50</x:v>
      </x:c>
      <x:c r="K503" s="75" t="n">
        <x:v>10</x:v>
      </x:c>
      <x:c r="L503" s="75" t="str">
        <x:v>R2_5of50_2of10</x:v>
      </x:c>
      <x:c r="M503" s="213" t="str">
        <x:v>S1_pre_2024_studio_change_sensitivity_only</x:v>
      </x:c>
      <x:c r="N503" s="213" t="str">
        <x:v>Friday</x:v>
      </x:c>
      <x:c r="O503" s="213" t="str">
        <x:v>LottoMetrics full-history export</x:v>
      </x:c>
      <x:c r="P503" s="213" t="str">
        <x:v>Archive-sourced; calendar/range/uniqueness validated</x:v>
      </x:c>
      <x:c r="Q503" s="54" t="str"/>
    </x:row>
    <x:row r="504">
      <x:c r="A504" s="74" t="n">
        <x:v>501</x:v>
      </x:c>
      <x:c r="B504" s="217" t="n">
        <x:v>44491</x:v>
      </x:c>
      <x:c r="C504" s="75" t="n">
        <x:v>15</x:v>
      </x:c>
      <x:c r="D504" s="75" t="n">
        <x:v>33</x:v>
      </x:c>
      <x:c r="E504" s="75" t="n">
        <x:v>34</x:v>
      </x:c>
      <x:c r="F504" s="75" t="n">
        <x:v>38</x:v>
      </x:c>
      <x:c r="G504" s="75" t="n">
        <x:v>43</x:v>
      </x:c>
      <x:c r="H504" s="75" t="n">
        <x:v>3</x:v>
      </x:c>
      <x:c r="I504" s="75" t="n">
        <x:v>7</x:v>
      </x:c>
      <x:c r="J504" s="75" t="n">
        <x:v>50</x:v>
      </x:c>
      <x:c r="K504" s="75" t="n">
        <x:v>10</x:v>
      </x:c>
      <x:c r="L504" s="75" t="str">
        <x:v>R2_5of50_2of10</x:v>
      </x:c>
      <x:c r="M504" s="213" t="str">
        <x:v>S1_pre_2024_studio_change_sensitivity_only</x:v>
      </x:c>
      <x:c r="N504" s="213" t="str">
        <x:v>Friday</x:v>
      </x:c>
      <x:c r="O504" s="213" t="str">
        <x:v>LottoMetrics full-history export</x:v>
      </x:c>
      <x:c r="P504" s="213" t="str">
        <x:v>Archive-sourced; calendar/range/uniqueness validated</x:v>
      </x:c>
      <x:c r="Q504" s="54" t="str"/>
    </x:row>
    <x:row r="505">
      <x:c r="A505" s="74" t="n">
        <x:v>502</x:v>
      </x:c>
      <x:c r="B505" s="217" t="n">
        <x:v>44498</x:v>
      </x:c>
      <x:c r="C505" s="75" t="n">
        <x:v>11</x:v>
      </x:c>
      <x:c r="D505" s="75" t="n">
        <x:v>23</x:v>
      </x:c>
      <x:c r="E505" s="75" t="n">
        <x:v>37</x:v>
      </x:c>
      <x:c r="F505" s="75" t="n">
        <x:v>38</x:v>
      </x:c>
      <x:c r="G505" s="75" t="n">
        <x:v>44</x:v>
      </x:c>
      <x:c r="H505" s="75" t="n">
        <x:v>4</x:v>
      </x:c>
      <x:c r="I505" s="75" t="n">
        <x:v>8</x:v>
      </x:c>
      <x:c r="J505" s="75" t="n">
        <x:v>50</x:v>
      </x:c>
      <x:c r="K505" s="75" t="n">
        <x:v>10</x:v>
      </x:c>
      <x:c r="L505" s="75" t="str">
        <x:v>R2_5of50_2of10</x:v>
      </x:c>
      <x:c r="M505" s="213" t="str">
        <x:v>S1_pre_2024_studio_change_sensitivity_only</x:v>
      </x:c>
      <x:c r="N505" s="213" t="str">
        <x:v>Friday</x:v>
      </x:c>
      <x:c r="O505" s="213" t="str">
        <x:v>LottoMetrics full-history export</x:v>
      </x:c>
      <x:c r="P505" s="213" t="str">
        <x:v>Archive-sourced; calendar/range/uniqueness validated</x:v>
      </x:c>
      <x:c r="Q505" s="54" t="str"/>
    </x:row>
    <x:row r="506">
      <x:c r="A506" s="74" t="n">
        <x:v>503</x:v>
      </x:c>
      <x:c r="B506" s="217" t="n">
        <x:v>44505</x:v>
      </x:c>
      <x:c r="C506" s="75" t="n">
        <x:v>6</x:v>
      </x:c>
      <x:c r="D506" s="75" t="n">
        <x:v>13</x:v>
      </x:c>
      <x:c r="E506" s="75" t="n">
        <x:v>25</x:v>
      </x:c>
      <x:c r="F506" s="75" t="n">
        <x:v>31</x:v>
      </x:c>
      <x:c r="G506" s="75" t="n">
        <x:v>49</x:v>
      </x:c>
      <x:c r="H506" s="75" t="n">
        <x:v>2</x:v>
      </x:c>
      <x:c r="I506" s="75" t="n">
        <x:v>7</x:v>
      </x:c>
      <x:c r="J506" s="75" t="n">
        <x:v>50</x:v>
      </x:c>
      <x:c r="K506" s="75" t="n">
        <x:v>10</x:v>
      </x:c>
      <x:c r="L506" s="75" t="str">
        <x:v>R2_5of50_2of10</x:v>
      </x:c>
      <x:c r="M506" s="213" t="str">
        <x:v>S1_pre_2024_studio_change_sensitivity_only</x:v>
      </x:c>
      <x:c r="N506" s="213" t="str">
        <x:v>Friday</x:v>
      </x:c>
      <x:c r="O506" s="213" t="str">
        <x:v>LottoMetrics full-history export</x:v>
      </x:c>
      <x:c r="P506" s="213" t="str">
        <x:v>Archive-sourced; calendar/range/uniqueness validated</x:v>
      </x:c>
      <x:c r="Q506" s="54" t="str"/>
    </x:row>
    <x:row r="507">
      <x:c r="A507" s="74" t="n">
        <x:v>504</x:v>
      </x:c>
      <x:c r="B507" s="217" t="n">
        <x:v>44512</x:v>
      </x:c>
      <x:c r="C507" s="75" t="n">
        <x:v>4</x:v>
      </x:c>
      <x:c r="D507" s="75" t="n">
        <x:v>30</x:v>
      </x:c>
      <x:c r="E507" s="75" t="n">
        <x:v>43</x:v>
      </x:c>
      <x:c r="F507" s="75" t="n">
        <x:v>44</x:v>
      </x:c>
      <x:c r="G507" s="75" t="n">
        <x:v>46</x:v>
      </x:c>
      <x:c r="H507" s="75" t="n">
        <x:v>1</x:v>
      </x:c>
      <x:c r="I507" s="75" t="n">
        <x:v>3</x:v>
      </x:c>
      <x:c r="J507" s="75" t="n">
        <x:v>50</x:v>
      </x:c>
      <x:c r="K507" s="75" t="n">
        <x:v>10</x:v>
      </x:c>
      <x:c r="L507" s="75" t="str">
        <x:v>R2_5of50_2of10</x:v>
      </x:c>
      <x:c r="M507" s="213" t="str">
        <x:v>S1_pre_2024_studio_change_sensitivity_only</x:v>
      </x:c>
      <x:c r="N507" s="213" t="str">
        <x:v>Friday</x:v>
      </x:c>
      <x:c r="O507" s="213" t="str">
        <x:v>LottoMetrics full-history export</x:v>
      </x:c>
      <x:c r="P507" s="213" t="str">
        <x:v>Archive-sourced; calendar/range/uniqueness validated</x:v>
      </x:c>
      <x:c r="Q507" s="54" t="str"/>
    </x:row>
    <x:row r="508">
      <x:c r="A508" s="74" t="n">
        <x:v>505</x:v>
      </x:c>
      <x:c r="B508" s="217" t="n">
        <x:v>44519</x:v>
      </x:c>
      <x:c r="C508" s="75" t="n">
        <x:v>6</x:v>
      </x:c>
      <x:c r="D508" s="75" t="n">
        <x:v>12</x:v>
      </x:c>
      <x:c r="E508" s="75" t="n">
        <x:v>20</x:v>
      </x:c>
      <x:c r="F508" s="75" t="n">
        <x:v>21</x:v>
      </x:c>
      <x:c r="G508" s="75" t="n">
        <x:v>34</x:v>
      </x:c>
      <x:c r="H508" s="75" t="n">
        <x:v>4</x:v>
      </x:c>
      <x:c r="I508" s="75" t="n">
        <x:v>5</x:v>
      </x:c>
      <x:c r="J508" s="75" t="n">
        <x:v>50</x:v>
      </x:c>
      <x:c r="K508" s="75" t="n">
        <x:v>10</x:v>
      </x:c>
      <x:c r="L508" s="75" t="str">
        <x:v>R2_5of50_2of10</x:v>
      </x:c>
      <x:c r="M508" s="213" t="str">
        <x:v>S1_pre_2024_studio_change_sensitivity_only</x:v>
      </x:c>
      <x:c r="N508" s="213" t="str">
        <x:v>Friday</x:v>
      </x:c>
      <x:c r="O508" s="213" t="str">
        <x:v>LottoMetrics full-history export</x:v>
      </x:c>
      <x:c r="P508" s="213" t="str">
        <x:v>Archive-sourced; calendar/range/uniqueness validated</x:v>
      </x:c>
      <x:c r="Q508" s="54" t="str"/>
    </x:row>
    <x:row r="509">
      <x:c r="A509" s="74" t="n">
        <x:v>506</x:v>
      </x:c>
      <x:c r="B509" s="217" t="n">
        <x:v>44526</x:v>
      </x:c>
      <x:c r="C509" s="75" t="n">
        <x:v>7</x:v>
      </x:c>
      <x:c r="D509" s="75" t="n">
        <x:v>17</x:v>
      </x:c>
      <x:c r="E509" s="75" t="n">
        <x:v>21</x:v>
      </x:c>
      <x:c r="F509" s="75" t="n">
        <x:v>37</x:v>
      </x:c>
      <x:c r="G509" s="75" t="n">
        <x:v>39</x:v>
      </x:c>
      <x:c r="H509" s="75" t="n">
        <x:v>3</x:v>
      </x:c>
      <x:c r="I509" s="75" t="n">
        <x:v>5</x:v>
      </x:c>
      <x:c r="J509" s="75" t="n">
        <x:v>50</x:v>
      </x:c>
      <x:c r="K509" s="75" t="n">
        <x:v>10</x:v>
      </x:c>
      <x:c r="L509" s="75" t="str">
        <x:v>R2_5of50_2of10</x:v>
      </x:c>
      <x:c r="M509" s="213" t="str">
        <x:v>S1_pre_2024_studio_change_sensitivity_only</x:v>
      </x:c>
      <x:c r="N509" s="213" t="str">
        <x:v>Friday</x:v>
      </x:c>
      <x:c r="O509" s="213" t="str">
        <x:v>LottoMetrics full-history export</x:v>
      </x:c>
      <x:c r="P509" s="213" t="str">
        <x:v>Archive-sourced; calendar/range/uniqueness validated</x:v>
      </x:c>
      <x:c r="Q509" s="54" t="str"/>
    </x:row>
    <x:row r="510">
      <x:c r="A510" s="74" t="n">
        <x:v>507</x:v>
      </x:c>
      <x:c r="B510" s="217" t="n">
        <x:v>44533</x:v>
      </x:c>
      <x:c r="C510" s="75" t="n">
        <x:v>2</x:v>
      </x:c>
      <x:c r="D510" s="75" t="n">
        <x:v>5</x:v>
      </x:c>
      <x:c r="E510" s="75" t="n">
        <x:v>13</x:v>
      </x:c>
      <x:c r="F510" s="75" t="n">
        <x:v>15</x:v>
      </x:c>
      <x:c r="G510" s="75" t="n">
        <x:v>23</x:v>
      </x:c>
      <x:c r="H510" s="75" t="n">
        <x:v>6</x:v>
      </x:c>
      <x:c r="I510" s="75" t="n">
        <x:v>8</x:v>
      </x:c>
      <x:c r="J510" s="75" t="n">
        <x:v>50</x:v>
      </x:c>
      <x:c r="K510" s="75" t="n">
        <x:v>10</x:v>
      </x:c>
      <x:c r="L510" s="75" t="str">
        <x:v>R2_5of50_2of10</x:v>
      </x:c>
      <x:c r="M510" s="213" t="str">
        <x:v>S1_pre_2024_studio_change_sensitivity_only</x:v>
      </x:c>
      <x:c r="N510" s="213" t="str">
        <x:v>Friday</x:v>
      </x:c>
      <x:c r="O510" s="213" t="str">
        <x:v>LottoMetrics full-history export</x:v>
      </x:c>
      <x:c r="P510" s="213" t="str">
        <x:v>Archive-sourced; calendar/range/uniqueness validated</x:v>
      </x:c>
      <x:c r="Q510" s="54" t="str"/>
    </x:row>
    <x:row r="511">
      <x:c r="A511" s="74" t="n">
        <x:v>508</x:v>
      </x:c>
      <x:c r="B511" s="217" t="n">
        <x:v>44540</x:v>
      </x:c>
      <x:c r="C511" s="75" t="n">
        <x:v>8</x:v>
      </x:c>
      <x:c r="D511" s="75" t="n">
        <x:v>9</x:v>
      </x:c>
      <x:c r="E511" s="75" t="n">
        <x:v>30</x:v>
      </x:c>
      <x:c r="F511" s="75" t="n">
        <x:v>34</x:v>
      </x:c>
      <x:c r="G511" s="75" t="n">
        <x:v>48</x:v>
      </x:c>
      <x:c r="H511" s="75" t="n">
        <x:v>5</x:v>
      </x:c>
      <x:c r="I511" s="75" t="n">
        <x:v>8</x:v>
      </x:c>
      <x:c r="J511" s="75" t="n">
        <x:v>50</x:v>
      </x:c>
      <x:c r="K511" s="75" t="n">
        <x:v>10</x:v>
      </x:c>
      <x:c r="L511" s="75" t="str">
        <x:v>R2_5of50_2of10</x:v>
      </x:c>
      <x:c r="M511" s="213" t="str">
        <x:v>S1_pre_2024_studio_change_sensitivity_only</x:v>
      </x:c>
      <x:c r="N511" s="213" t="str">
        <x:v>Friday</x:v>
      </x:c>
      <x:c r="O511" s="213" t="str">
        <x:v>LottoMetrics full-history export</x:v>
      </x:c>
      <x:c r="P511" s="213" t="str">
        <x:v>Archive-sourced; calendar/range/uniqueness validated</x:v>
      </x:c>
      <x:c r="Q511" s="54" t="str"/>
    </x:row>
    <x:row r="512">
      <x:c r="A512" s="74" t="n">
        <x:v>509</x:v>
      </x:c>
      <x:c r="B512" s="217" t="n">
        <x:v>44547</x:v>
      </x:c>
      <x:c r="C512" s="75" t="n">
        <x:v>6</x:v>
      </x:c>
      <x:c r="D512" s="75" t="n">
        <x:v>8</x:v>
      </x:c>
      <x:c r="E512" s="75" t="n">
        <x:v>16</x:v>
      </x:c>
      <x:c r="F512" s="75" t="n">
        <x:v>44</x:v>
      </x:c>
      <x:c r="G512" s="75" t="n">
        <x:v>50</x:v>
      </x:c>
      <x:c r="H512" s="75" t="n">
        <x:v>1</x:v>
      </x:c>
      <x:c r="I512" s="75" t="n">
        <x:v>10</x:v>
      </x:c>
      <x:c r="J512" s="75" t="n">
        <x:v>50</x:v>
      </x:c>
      <x:c r="K512" s="75" t="n">
        <x:v>10</x:v>
      </x:c>
      <x:c r="L512" s="75" t="str">
        <x:v>R2_5of50_2of10</x:v>
      </x:c>
      <x:c r="M512" s="213" t="str">
        <x:v>S1_pre_2024_studio_change_sensitivity_only</x:v>
      </x:c>
      <x:c r="N512" s="213" t="str">
        <x:v>Friday</x:v>
      </x:c>
      <x:c r="O512" s="213" t="str">
        <x:v>LottoMetrics full-history export</x:v>
      </x:c>
      <x:c r="P512" s="213" t="str">
        <x:v>Archive-sourced; calendar/range/uniqueness validated</x:v>
      </x:c>
      <x:c r="Q512" s="54" t="str"/>
    </x:row>
    <x:row r="513">
      <x:c r="A513" s="74" t="n">
        <x:v>510</x:v>
      </x:c>
      <x:c r="B513" s="217" t="n">
        <x:v>44554</x:v>
      </x:c>
      <x:c r="C513" s="75" t="n">
        <x:v>3</x:v>
      </x:c>
      <x:c r="D513" s="75" t="n">
        <x:v>17</x:v>
      </x:c>
      <x:c r="E513" s="75" t="n">
        <x:v>21</x:v>
      </x:c>
      <x:c r="F513" s="75" t="n">
        <x:v>35</x:v>
      </x:c>
      <x:c r="G513" s="75" t="n">
        <x:v>42</x:v>
      </x:c>
      <x:c r="H513" s="75" t="n">
        <x:v>8</x:v>
      </x:c>
      <x:c r="I513" s="75" t="n">
        <x:v>9</x:v>
      </x:c>
      <x:c r="J513" s="75" t="n">
        <x:v>50</x:v>
      </x:c>
      <x:c r="K513" s="75" t="n">
        <x:v>10</x:v>
      </x:c>
      <x:c r="L513" s="75" t="str">
        <x:v>R2_5of50_2of10</x:v>
      </x:c>
      <x:c r="M513" s="213" t="str">
        <x:v>S1_pre_2024_studio_change_sensitivity_only</x:v>
      </x:c>
      <x:c r="N513" s="213" t="str">
        <x:v>Friday</x:v>
      </x:c>
      <x:c r="O513" s="213" t="str">
        <x:v>LottoMetrics full-history export</x:v>
      </x:c>
      <x:c r="P513" s="213" t="str">
        <x:v>Archive-sourced; calendar/range/uniqueness validated</x:v>
      </x:c>
      <x:c r="Q513" s="54" t="str"/>
    </x:row>
    <x:row r="514">
      <x:c r="A514" s="74" t="n">
        <x:v>511</x:v>
      </x:c>
      <x:c r="B514" s="217" t="n">
        <x:v>44561</x:v>
      </x:c>
      <x:c r="C514" s="75" t="n">
        <x:v>7</x:v>
      </x:c>
      <x:c r="D514" s="75" t="n">
        <x:v>16</x:v>
      </x:c>
      <x:c r="E514" s="75" t="n">
        <x:v>36</x:v>
      </x:c>
      <x:c r="F514" s="75" t="n">
        <x:v>42</x:v>
      </x:c>
      <x:c r="G514" s="75" t="n">
        <x:v>43</x:v>
      </x:c>
      <x:c r="H514" s="75" t="n">
        <x:v>6</x:v>
      </x:c>
      <x:c r="I514" s="75" t="n">
        <x:v>8</x:v>
      </x:c>
      <x:c r="J514" s="75" t="n">
        <x:v>50</x:v>
      </x:c>
      <x:c r="K514" s="75" t="n">
        <x:v>10</x:v>
      </x:c>
      <x:c r="L514" s="75" t="str">
        <x:v>R2_5of50_2of10</x:v>
      </x:c>
      <x:c r="M514" s="213" t="str">
        <x:v>S1_pre_2024_studio_change_sensitivity_only</x:v>
      </x:c>
      <x:c r="N514" s="213" t="str">
        <x:v>Friday</x:v>
      </x:c>
      <x:c r="O514" s="213" t="str">
        <x:v>LottoMetrics full-history export</x:v>
      </x:c>
      <x:c r="P514" s="213" t="str">
        <x:v>Archive-sourced; calendar/range/uniqueness validated</x:v>
      </x:c>
      <x:c r="Q514" s="54" t="str"/>
    </x:row>
    <x:row r="515">
      <x:c r="A515" s="74" t="n">
        <x:v>512</x:v>
      </x:c>
      <x:c r="B515" s="217" t="n">
        <x:v>44568</x:v>
      </x:c>
      <x:c r="C515" s="75" t="n">
        <x:v>8</x:v>
      </x:c>
      <x:c r="D515" s="75" t="n">
        <x:v>17</x:v>
      </x:c>
      <x:c r="E515" s="75" t="n">
        <x:v>21</x:v>
      </x:c>
      <x:c r="F515" s="75" t="n">
        <x:v>23</x:v>
      </x:c>
      <x:c r="G515" s="75" t="n">
        <x:v>47</x:v>
      </x:c>
      <x:c r="H515" s="75" t="n">
        <x:v>2</x:v>
      </x:c>
      <x:c r="I515" s="75" t="n">
        <x:v>6</x:v>
      </x:c>
      <x:c r="J515" s="75" t="n">
        <x:v>50</x:v>
      </x:c>
      <x:c r="K515" s="75" t="n">
        <x:v>10</x:v>
      </x:c>
      <x:c r="L515" s="75" t="str">
        <x:v>R2_5of50_2of10</x:v>
      </x:c>
      <x:c r="M515" s="213" t="str">
        <x:v>S1_pre_2024_studio_change_sensitivity_only</x:v>
      </x:c>
      <x:c r="N515" s="213" t="str">
        <x:v>Friday</x:v>
      </x:c>
      <x:c r="O515" s="213" t="str">
        <x:v>LottoMetrics full-history export</x:v>
      </x:c>
      <x:c r="P515" s="213" t="str">
        <x:v>Archive-sourced; calendar/range/uniqueness validated</x:v>
      </x:c>
      <x:c r="Q515" s="54" t="str"/>
    </x:row>
    <x:row r="516">
      <x:c r="A516" s="74" t="n">
        <x:v>513</x:v>
      </x:c>
      <x:c r="B516" s="217" t="n">
        <x:v>44575</x:v>
      </x:c>
      <x:c r="C516" s="75" t="n">
        <x:v>9</x:v>
      </x:c>
      <x:c r="D516" s="75" t="n">
        <x:v>15</x:v>
      </x:c>
      <x:c r="E516" s="75" t="n">
        <x:v>27</x:v>
      </x:c>
      <x:c r="F516" s="75" t="n">
        <x:v>41</x:v>
      </x:c>
      <x:c r="G516" s="75" t="n">
        <x:v>44</x:v>
      </x:c>
      <x:c r="H516" s="75" t="n">
        <x:v>2</x:v>
      </x:c>
      <x:c r="I516" s="75" t="n">
        <x:v>4</x:v>
      </x:c>
      <x:c r="J516" s="75" t="n">
        <x:v>50</x:v>
      </x:c>
      <x:c r="K516" s="75" t="n">
        <x:v>10</x:v>
      </x:c>
      <x:c r="L516" s="75" t="str">
        <x:v>R2_5of50_2of10</x:v>
      </x:c>
      <x:c r="M516" s="213" t="str">
        <x:v>S1_pre_2024_studio_change_sensitivity_only</x:v>
      </x:c>
      <x:c r="N516" s="213" t="str">
        <x:v>Friday</x:v>
      </x:c>
      <x:c r="O516" s="213" t="str">
        <x:v>LottoMetrics full-history export</x:v>
      </x:c>
      <x:c r="P516" s="213" t="str">
        <x:v>Archive-sourced; calendar/range/uniqueness validated</x:v>
      </x:c>
      <x:c r="Q516" s="54" t="str"/>
    </x:row>
    <x:row r="517">
      <x:c r="A517" s="74" t="n">
        <x:v>514</x:v>
      </x:c>
      <x:c r="B517" s="217" t="n">
        <x:v>44582</x:v>
      </x:c>
      <x:c r="C517" s="75" t="n">
        <x:v>2</x:v>
      </x:c>
      <x:c r="D517" s="75" t="n">
        <x:v>5</x:v>
      </x:c>
      <x:c r="E517" s="75" t="n">
        <x:v>9</x:v>
      </x:c>
      <x:c r="F517" s="75" t="n">
        <x:v>29</x:v>
      </x:c>
      <x:c r="G517" s="75" t="n">
        <x:v>32</x:v>
      </x:c>
      <x:c r="H517" s="75" t="n">
        <x:v>2</x:v>
      </x:c>
      <x:c r="I517" s="75" t="n">
        <x:v>4</x:v>
      </x:c>
      <x:c r="J517" s="75" t="n">
        <x:v>50</x:v>
      </x:c>
      <x:c r="K517" s="75" t="n">
        <x:v>10</x:v>
      </x:c>
      <x:c r="L517" s="75" t="str">
        <x:v>R2_5of50_2of10</x:v>
      </x:c>
      <x:c r="M517" s="213" t="str">
        <x:v>S1_pre_2024_studio_change_sensitivity_only</x:v>
      </x:c>
      <x:c r="N517" s="213" t="str">
        <x:v>Friday</x:v>
      </x:c>
      <x:c r="O517" s="213" t="str">
        <x:v>LottoMetrics full-history export</x:v>
      </x:c>
      <x:c r="P517" s="213" t="str">
        <x:v>Archive-sourced; calendar/range/uniqueness validated</x:v>
      </x:c>
      <x:c r="Q517" s="54" t="str"/>
    </x:row>
    <x:row r="518">
      <x:c r="A518" s="74" t="n">
        <x:v>515</x:v>
      </x:c>
      <x:c r="B518" s="217" t="n">
        <x:v>44589</x:v>
      </x:c>
      <x:c r="C518" s="75" t="n">
        <x:v>5</x:v>
      </x:c>
      <x:c r="D518" s="75" t="n">
        <x:v>21</x:v>
      </x:c>
      <x:c r="E518" s="75" t="n">
        <x:v>23</x:v>
      </x:c>
      <x:c r="F518" s="75" t="n">
        <x:v>29</x:v>
      </x:c>
      <x:c r="G518" s="75" t="n">
        <x:v>35</x:v>
      </x:c>
      <x:c r="H518" s="75" t="n">
        <x:v>7</x:v>
      </x:c>
      <x:c r="I518" s="75" t="n">
        <x:v>9</x:v>
      </x:c>
      <x:c r="J518" s="75" t="n">
        <x:v>50</x:v>
      </x:c>
      <x:c r="K518" s="75" t="n">
        <x:v>10</x:v>
      </x:c>
      <x:c r="L518" s="75" t="str">
        <x:v>R2_5of50_2of10</x:v>
      </x:c>
      <x:c r="M518" s="213" t="str">
        <x:v>S1_pre_2024_studio_change_sensitivity_only</x:v>
      </x:c>
      <x:c r="N518" s="213" t="str">
        <x:v>Friday</x:v>
      </x:c>
      <x:c r="O518" s="213" t="str">
        <x:v>LottoMetrics full-history export</x:v>
      </x:c>
      <x:c r="P518" s="213" t="str">
        <x:v>Archive-sourced; calendar/range/uniqueness validated</x:v>
      </x:c>
      <x:c r="Q518" s="54" t="str"/>
    </x:row>
    <x:row r="519">
      <x:c r="A519" s="74" t="n">
        <x:v>516</x:v>
      </x:c>
      <x:c r="B519" s="217" t="n">
        <x:v>44596</x:v>
      </x:c>
      <x:c r="C519" s="75" t="n">
        <x:v>12</x:v>
      </x:c>
      <x:c r="D519" s="75" t="n">
        <x:v>18</x:v>
      </x:c>
      <x:c r="E519" s="75" t="n">
        <x:v>27</x:v>
      </x:c>
      <x:c r="F519" s="75" t="n">
        <x:v>33</x:v>
      </x:c>
      <x:c r="G519" s="75" t="n">
        <x:v>41</x:v>
      </x:c>
      <x:c r="H519" s="75" t="n">
        <x:v>9</x:v>
      </x:c>
      <x:c r="I519" s="75" t="n">
        <x:v>10</x:v>
      </x:c>
      <x:c r="J519" s="75" t="n">
        <x:v>50</x:v>
      </x:c>
      <x:c r="K519" s="75" t="n">
        <x:v>10</x:v>
      </x:c>
      <x:c r="L519" s="75" t="str">
        <x:v>R2_5of50_2of10</x:v>
      </x:c>
      <x:c r="M519" s="213" t="str">
        <x:v>S1_pre_2024_studio_change_sensitivity_only</x:v>
      </x:c>
      <x:c r="N519" s="213" t="str">
        <x:v>Friday</x:v>
      </x:c>
      <x:c r="O519" s="213" t="str">
        <x:v>LottoMetrics full-history export</x:v>
      </x:c>
      <x:c r="P519" s="213" t="str">
        <x:v>Archive-sourced; calendar/range/uniqueness validated</x:v>
      </x:c>
      <x:c r="Q519" s="54" t="str"/>
    </x:row>
    <x:row r="520">
      <x:c r="A520" s="74" t="n">
        <x:v>517</x:v>
      </x:c>
      <x:c r="B520" s="217" t="n">
        <x:v>44603</x:v>
      </x:c>
      <x:c r="C520" s="75" t="n">
        <x:v>5</x:v>
      </x:c>
      <x:c r="D520" s="75" t="n">
        <x:v>10</x:v>
      </x:c>
      <x:c r="E520" s="75" t="n">
        <x:v>26</x:v>
      </x:c>
      <x:c r="F520" s="75" t="n">
        <x:v>37</x:v>
      </x:c>
      <x:c r="G520" s="75" t="n">
        <x:v>42</x:v>
      </x:c>
      <x:c r="H520" s="75" t="n">
        <x:v>3</x:v>
      </x:c>
      <x:c r="I520" s="75" t="n">
        <x:v>10</x:v>
      </x:c>
      <x:c r="J520" s="75" t="n">
        <x:v>50</x:v>
      </x:c>
      <x:c r="K520" s="75" t="n">
        <x:v>10</x:v>
      </x:c>
      <x:c r="L520" s="75" t="str">
        <x:v>R2_5of50_2of10</x:v>
      </x:c>
      <x:c r="M520" s="213" t="str">
        <x:v>S1_pre_2024_studio_change_sensitivity_only</x:v>
      </x:c>
      <x:c r="N520" s="213" t="str">
        <x:v>Friday</x:v>
      </x:c>
      <x:c r="O520" s="213" t="str">
        <x:v>LottoMetrics full-history export</x:v>
      </x:c>
      <x:c r="P520" s="213" t="str">
        <x:v>Archive-sourced; calendar/range/uniqueness validated</x:v>
      </x:c>
      <x:c r="Q520" s="54" t="str"/>
    </x:row>
    <x:row r="521">
      <x:c r="A521" s="74" t="n">
        <x:v>518</x:v>
      </x:c>
      <x:c r="B521" s="217" t="n">
        <x:v>44610</x:v>
      </x:c>
      <x:c r="C521" s="75" t="n">
        <x:v>5</x:v>
      </x:c>
      <x:c r="D521" s="75" t="n">
        <x:v>10</x:v>
      </x:c>
      <x:c r="E521" s="75" t="n">
        <x:v>25</x:v>
      </x:c>
      <x:c r="F521" s="75" t="n">
        <x:v>29</x:v>
      </x:c>
      <x:c r="G521" s="75" t="n">
        <x:v>32</x:v>
      </x:c>
      <x:c r="H521" s="75" t="n">
        <x:v>4</x:v>
      </x:c>
      <x:c r="I521" s="75" t="n">
        <x:v>7</x:v>
      </x:c>
      <x:c r="J521" s="75" t="n">
        <x:v>50</x:v>
      </x:c>
      <x:c r="K521" s="75" t="n">
        <x:v>10</x:v>
      </x:c>
      <x:c r="L521" s="75" t="str">
        <x:v>R2_5of50_2of10</x:v>
      </x:c>
      <x:c r="M521" s="213" t="str">
        <x:v>S1_pre_2024_studio_change_sensitivity_only</x:v>
      </x:c>
      <x:c r="N521" s="213" t="str">
        <x:v>Friday</x:v>
      </x:c>
      <x:c r="O521" s="213" t="str">
        <x:v>LottoMetrics full-history export</x:v>
      </x:c>
      <x:c r="P521" s="213" t="str">
        <x:v>Archive-sourced; calendar/range/uniqueness validated</x:v>
      </x:c>
      <x:c r="Q521" s="54" t="str"/>
    </x:row>
    <x:row r="522">
      <x:c r="A522" s="74" t="n">
        <x:v>519</x:v>
      </x:c>
      <x:c r="B522" s="217" t="n">
        <x:v>44617</x:v>
      </x:c>
      <x:c r="C522" s="75" t="n">
        <x:v>4</x:v>
      </x:c>
      <x:c r="D522" s="75" t="n">
        <x:v>19</x:v>
      </x:c>
      <x:c r="E522" s="75" t="n">
        <x:v>34</x:v>
      </x:c>
      <x:c r="F522" s="75" t="n">
        <x:v>41</x:v>
      </x:c>
      <x:c r="G522" s="75" t="n">
        <x:v>43</x:v>
      </x:c>
      <x:c r="H522" s="75" t="n">
        <x:v>1</x:v>
      </x:c>
      <x:c r="I522" s="75" t="n">
        <x:v>5</x:v>
      </x:c>
      <x:c r="J522" s="75" t="n">
        <x:v>50</x:v>
      </x:c>
      <x:c r="K522" s="75" t="n">
        <x:v>10</x:v>
      </x:c>
      <x:c r="L522" s="75" t="str">
        <x:v>R2_5of50_2of10</x:v>
      </x:c>
      <x:c r="M522" s="213" t="str">
        <x:v>S1_pre_2024_studio_change_sensitivity_only</x:v>
      </x:c>
      <x:c r="N522" s="213" t="str">
        <x:v>Friday</x:v>
      </x:c>
      <x:c r="O522" s="213" t="str">
        <x:v>LottoMetrics full-history export</x:v>
      </x:c>
      <x:c r="P522" s="213" t="str">
        <x:v>Archive-sourced; calendar/range/uniqueness validated</x:v>
      </x:c>
      <x:c r="Q522" s="54" t="str"/>
    </x:row>
    <x:row r="523">
      <x:c r="A523" s="74" t="n">
        <x:v>520</x:v>
      </x:c>
      <x:c r="B523" s="217" t="n">
        <x:v>44624</x:v>
      </x:c>
      <x:c r="C523" s="75" t="n">
        <x:v>1</x:v>
      </x:c>
      <x:c r="D523" s="75" t="n">
        <x:v>17</x:v>
      </x:c>
      <x:c r="E523" s="75" t="n">
        <x:v>20</x:v>
      </x:c>
      <x:c r="F523" s="75" t="n">
        <x:v>36</x:v>
      </x:c>
      <x:c r="G523" s="75" t="n">
        <x:v>49</x:v>
      </x:c>
      <x:c r="H523" s="75" t="n">
        <x:v>6</x:v>
      </x:c>
      <x:c r="I523" s="75" t="n">
        <x:v>9</x:v>
      </x:c>
      <x:c r="J523" s="75" t="n">
        <x:v>50</x:v>
      </x:c>
      <x:c r="K523" s="75" t="n">
        <x:v>10</x:v>
      </x:c>
      <x:c r="L523" s="75" t="str">
        <x:v>R2_5of50_2of10</x:v>
      </x:c>
      <x:c r="M523" s="213" t="str">
        <x:v>S1_pre_2024_studio_change_sensitivity_only</x:v>
      </x:c>
      <x:c r="N523" s="213" t="str">
        <x:v>Friday</x:v>
      </x:c>
      <x:c r="O523" s="213" t="str">
        <x:v>LottoMetrics full-history export</x:v>
      </x:c>
      <x:c r="P523" s="213" t="str">
        <x:v>Archive-sourced; calendar/range/uniqueness validated</x:v>
      </x:c>
      <x:c r="Q523" s="54" t="str"/>
    </x:row>
    <x:row r="524">
      <x:c r="A524" s="74" t="n">
        <x:v>521</x:v>
      </x:c>
      <x:c r="B524" s="217" t="n">
        <x:v>44631</x:v>
      </x:c>
      <x:c r="C524" s="75" t="n">
        <x:v>5</x:v>
      </x:c>
      <x:c r="D524" s="75" t="n">
        <x:v>31</x:v>
      </x:c>
      <x:c r="E524" s="75" t="n">
        <x:v>39</x:v>
      </x:c>
      <x:c r="F524" s="75" t="n">
        <x:v>46</x:v>
      </x:c>
      <x:c r="G524" s="75" t="n">
        <x:v>49</x:v>
      </x:c>
      <x:c r="H524" s="75" t="n">
        <x:v>8</x:v>
      </x:c>
      <x:c r="I524" s="75" t="n">
        <x:v>9</x:v>
      </x:c>
      <x:c r="J524" s="75" t="n">
        <x:v>50</x:v>
      </x:c>
      <x:c r="K524" s="75" t="n">
        <x:v>10</x:v>
      </x:c>
      <x:c r="L524" s="75" t="str">
        <x:v>R2_5of50_2of10</x:v>
      </x:c>
      <x:c r="M524" s="213" t="str">
        <x:v>S1_pre_2024_studio_change_sensitivity_only</x:v>
      </x:c>
      <x:c r="N524" s="213" t="str">
        <x:v>Friday</x:v>
      </x:c>
      <x:c r="O524" s="213" t="str">
        <x:v>LottoMetrics full-history export</x:v>
      </x:c>
      <x:c r="P524" s="213" t="str">
        <x:v>Archive-sourced; calendar/range/uniqueness validated</x:v>
      </x:c>
      <x:c r="Q524" s="54" t="str"/>
    </x:row>
    <x:row r="525">
      <x:c r="A525" s="74" t="n">
        <x:v>522</x:v>
      </x:c>
      <x:c r="B525" s="217" t="n">
        <x:v>44638</x:v>
      </x:c>
      <x:c r="C525" s="75" t="n">
        <x:v>1</x:v>
      </x:c>
      <x:c r="D525" s="75" t="n">
        <x:v>8</x:v>
      </x:c>
      <x:c r="E525" s="75" t="n">
        <x:v>33</x:v>
      </x:c>
      <x:c r="F525" s="75" t="n">
        <x:v>38</x:v>
      </x:c>
      <x:c r="G525" s="75" t="n">
        <x:v>43</x:v>
      </x:c>
      <x:c r="H525" s="75" t="n">
        <x:v>2</x:v>
      </x:c>
      <x:c r="I525" s="75" t="n">
        <x:v>6</x:v>
      </x:c>
      <x:c r="J525" s="75" t="n">
        <x:v>50</x:v>
      </x:c>
      <x:c r="K525" s="75" t="n">
        <x:v>10</x:v>
      </x:c>
      <x:c r="L525" s="75" t="str">
        <x:v>R2_5of50_2of10</x:v>
      </x:c>
      <x:c r="M525" s="213" t="str">
        <x:v>S1_pre_2024_studio_change_sensitivity_only</x:v>
      </x:c>
      <x:c r="N525" s="213" t="str">
        <x:v>Friday</x:v>
      </x:c>
      <x:c r="O525" s="213" t="str">
        <x:v>LottoMetrics full-history export</x:v>
      </x:c>
      <x:c r="P525" s="213" t="str">
        <x:v>Archive-sourced; calendar/range/uniqueness validated</x:v>
      </x:c>
      <x:c r="Q525" s="54" t="str"/>
    </x:row>
    <x:row r="526">
      <x:c r="A526" s="74" t="n">
        <x:v>523</x:v>
      </x:c>
      <x:c r="B526" s="217" t="n">
        <x:v>44645</x:v>
      </x:c>
      <x:c r="C526" s="75" t="n">
        <x:v>11</x:v>
      </x:c>
      <x:c r="D526" s="75" t="n">
        <x:v>20</x:v>
      </x:c>
      <x:c r="E526" s="75" t="n">
        <x:v>31</x:v>
      </x:c>
      <x:c r="F526" s="75" t="n">
        <x:v>35</x:v>
      </x:c>
      <x:c r="G526" s="75" t="n">
        <x:v>46</x:v>
      </x:c>
      <x:c r="H526" s="75" t="n">
        <x:v>6</x:v>
      </x:c>
      <x:c r="I526" s="75" t="n">
        <x:v>10</x:v>
      </x:c>
      <x:c r="J526" s="75" t="n">
        <x:v>50</x:v>
      </x:c>
      <x:c r="K526" s="75" t="n">
        <x:v>12</x:v>
      </x:c>
      <x:c r="L526" s="75" t="str">
        <x:v>R3_5of50_2of12</x:v>
      </x:c>
      <x:c r="M526" s="213" t="str">
        <x:v>S1_pre_2024_studio_change_sensitivity_only</x:v>
      </x:c>
      <x:c r="N526" s="213" t="str">
        <x:v>Friday</x:v>
      </x:c>
      <x:c r="O526" s="213" t="str">
        <x:v>LottoMetrics full-history export</x:v>
      </x:c>
      <x:c r="P526" s="213" t="str">
        <x:v>Archive-sourced; calendar/range/uniqueness validated</x:v>
      </x:c>
      <x:c r="Q526" s="54" t="str"/>
    </x:row>
    <x:row r="527">
      <x:c r="A527" s="74" t="n">
        <x:v>524</x:v>
      </x:c>
      <x:c r="B527" s="217" t="n">
        <x:v>44649</x:v>
      </x:c>
      <x:c r="C527" s="75" t="n">
        <x:v>10</x:v>
      </x:c>
      <x:c r="D527" s="75" t="n">
        <x:v>15</x:v>
      </x:c>
      <x:c r="E527" s="75" t="n">
        <x:v>18</x:v>
      </x:c>
      <x:c r="F527" s="75" t="n">
        <x:v>24</x:v>
      </x:c>
      <x:c r="G527" s="75" t="n">
        <x:v>39</x:v>
      </x:c>
      <x:c r="H527" s="75" t="n">
        <x:v>2</x:v>
      </x:c>
      <x:c r="I527" s="75" t="n">
        <x:v>11</x:v>
      </x:c>
      <x:c r="J527" s="75" t="n">
        <x:v>50</x:v>
      </x:c>
      <x:c r="K527" s="75" t="n">
        <x:v>12</x:v>
      </x:c>
      <x:c r="L527" s="75" t="str">
        <x:v>R3_5of50_2of12</x:v>
      </x:c>
      <x:c r="M527" s="213" t="str">
        <x:v>S1_pre_2024_studio_change_sensitivity_only</x:v>
      </x:c>
      <x:c r="N527" s="213" t="str">
        <x:v>Tuesday</x:v>
      </x:c>
      <x:c r="O527" s="213" t="str">
        <x:v>LottoMetrics full-history export</x:v>
      </x:c>
      <x:c r="P527" s="213" t="str">
        <x:v>Archive-sourced; calendar/range/uniqueness validated</x:v>
      </x:c>
      <x:c r="Q527" s="54" t="str"/>
    </x:row>
    <x:row r="528">
      <x:c r="A528" s="74" t="n">
        <x:v>525</x:v>
      </x:c>
      <x:c r="B528" s="217" t="n">
        <x:v>44652</x:v>
      </x:c>
      <x:c r="C528" s="75" t="n">
        <x:v>7</x:v>
      </x:c>
      <x:c r="D528" s="75" t="n">
        <x:v>8</x:v>
      </x:c>
      <x:c r="E528" s="75" t="n">
        <x:v>35</x:v>
      </x:c>
      <x:c r="F528" s="75" t="n">
        <x:v>37</x:v>
      </x:c>
      <x:c r="G528" s="75" t="n">
        <x:v>49</x:v>
      </x:c>
      <x:c r="H528" s="75" t="n">
        <x:v>5</x:v>
      </x:c>
      <x:c r="I528" s="75" t="n">
        <x:v>8</x:v>
      </x:c>
      <x:c r="J528" s="75" t="n">
        <x:v>50</x:v>
      </x:c>
      <x:c r="K528" s="75" t="n">
        <x:v>12</x:v>
      </x:c>
      <x:c r="L528" s="75" t="str">
        <x:v>R3_5of50_2of12</x:v>
      </x:c>
      <x:c r="M528" s="213" t="str">
        <x:v>S1_pre_2024_studio_change_sensitivity_only</x:v>
      </x:c>
      <x:c r="N528" s="213" t="str">
        <x:v>Friday</x:v>
      </x:c>
      <x:c r="O528" s="213" t="str">
        <x:v>LottoMetrics full-history export</x:v>
      </x:c>
      <x:c r="P528" s="213" t="str">
        <x:v>Archive-sourced; calendar/range/uniqueness validated</x:v>
      </x:c>
      <x:c r="Q528" s="54" t="str"/>
    </x:row>
    <x:row r="529">
      <x:c r="A529" s="74" t="n">
        <x:v>526</x:v>
      </x:c>
      <x:c r="B529" s="217" t="n">
        <x:v>44656</x:v>
      </x:c>
      <x:c r="C529" s="75" t="n">
        <x:v>9</x:v>
      </x:c>
      <x:c r="D529" s="75" t="n">
        <x:v>10</x:v>
      </x:c>
      <x:c r="E529" s="75" t="n">
        <x:v>28</x:v>
      </x:c>
      <x:c r="F529" s="75" t="n">
        <x:v>38</x:v>
      </x:c>
      <x:c r="G529" s="75" t="n">
        <x:v>48</x:v>
      </x:c>
      <x:c r="H529" s="75" t="n">
        <x:v>8</x:v>
      </x:c>
      <x:c r="I529" s="75" t="n">
        <x:v>12</x:v>
      </x:c>
      <x:c r="J529" s="75" t="n">
        <x:v>50</x:v>
      </x:c>
      <x:c r="K529" s="75" t="n">
        <x:v>12</x:v>
      </x:c>
      <x:c r="L529" s="75" t="str">
        <x:v>R3_5of50_2of12</x:v>
      </x:c>
      <x:c r="M529" s="213" t="str">
        <x:v>S1_pre_2024_studio_change_sensitivity_only</x:v>
      </x:c>
      <x:c r="N529" s="213" t="str">
        <x:v>Tuesday</x:v>
      </x:c>
      <x:c r="O529" s="213" t="str">
        <x:v>LottoMetrics full-history export</x:v>
      </x:c>
      <x:c r="P529" s="213" t="str">
        <x:v>Archive-sourced; calendar/range/uniqueness validated</x:v>
      </x:c>
      <x:c r="Q529" s="54" t="str"/>
    </x:row>
    <x:row r="530">
      <x:c r="A530" s="74" t="n">
        <x:v>527</x:v>
      </x:c>
      <x:c r="B530" s="217" t="n">
        <x:v>44659</x:v>
      </x:c>
      <x:c r="C530" s="75" t="n">
        <x:v>2</x:v>
      </x:c>
      <x:c r="D530" s="75" t="n">
        <x:v>26</x:v>
      </x:c>
      <x:c r="E530" s="75" t="n">
        <x:v>41</x:v>
      </x:c>
      <x:c r="F530" s="75" t="n">
        <x:v>45</x:v>
      </x:c>
      <x:c r="G530" s="75" t="n">
        <x:v>48</x:v>
      </x:c>
      <x:c r="H530" s="75" t="n">
        <x:v>5</x:v>
      </x:c>
      <x:c r="I530" s="75" t="n">
        <x:v>12</x:v>
      </x:c>
      <x:c r="J530" s="75" t="n">
        <x:v>50</x:v>
      </x:c>
      <x:c r="K530" s="75" t="n">
        <x:v>12</x:v>
      </x:c>
      <x:c r="L530" s="75" t="str">
        <x:v>R3_5of50_2of12</x:v>
      </x:c>
      <x:c r="M530" s="213" t="str">
        <x:v>S1_pre_2024_studio_change_sensitivity_only</x:v>
      </x:c>
      <x:c r="N530" s="213" t="str">
        <x:v>Friday</x:v>
      </x:c>
      <x:c r="O530" s="213" t="str">
        <x:v>LottoMetrics full-history export</x:v>
      </x:c>
      <x:c r="P530" s="213" t="str">
        <x:v>Archive-sourced; calendar/range/uniqueness validated</x:v>
      </x:c>
      <x:c r="Q530" s="54" t="str"/>
    </x:row>
    <x:row r="531">
      <x:c r="A531" s="74" t="n">
        <x:v>528</x:v>
      </x:c>
      <x:c r="B531" s="217" t="n">
        <x:v>44663</x:v>
      </x:c>
      <x:c r="C531" s="75" t="n">
        <x:v>19</x:v>
      </x:c>
      <x:c r="D531" s="75" t="n">
        <x:v>20</x:v>
      </x:c>
      <x:c r="E531" s="75" t="n">
        <x:v>24</x:v>
      </x:c>
      <x:c r="F531" s="75" t="n">
        <x:v>36</x:v>
      </x:c>
      <x:c r="G531" s="75" t="n">
        <x:v>41</x:v>
      </x:c>
      <x:c r="H531" s="75" t="n">
        <x:v>4</x:v>
      </x:c>
      <x:c r="I531" s="75" t="n">
        <x:v>5</x:v>
      </x:c>
      <x:c r="J531" s="75" t="n">
        <x:v>50</x:v>
      </x:c>
      <x:c r="K531" s="75" t="n">
        <x:v>12</x:v>
      </x:c>
      <x:c r="L531" s="75" t="str">
        <x:v>R3_5of50_2of12</x:v>
      </x:c>
      <x:c r="M531" s="213" t="str">
        <x:v>S1_pre_2024_studio_change_sensitivity_only</x:v>
      </x:c>
      <x:c r="N531" s="213" t="str">
        <x:v>Tuesday</x:v>
      </x:c>
      <x:c r="O531" s="213" t="str">
        <x:v>LottoMetrics full-history export</x:v>
      </x:c>
      <x:c r="P531" s="213" t="str">
        <x:v>Archive-sourced; calendar/range/uniqueness validated</x:v>
      </x:c>
      <x:c r="Q531" s="54" t="str"/>
    </x:row>
    <x:row r="532">
      <x:c r="A532" s="74" t="n">
        <x:v>529</x:v>
      </x:c>
      <x:c r="B532" s="217" t="n">
        <x:v>44666</x:v>
      </x:c>
      <x:c r="C532" s="75" t="n">
        <x:v>2</x:v>
      </x:c>
      <x:c r="D532" s="75" t="n">
        <x:v>5</x:v>
      </x:c>
      <x:c r="E532" s="75" t="n">
        <x:v>10</x:v>
      </x:c>
      <x:c r="F532" s="75" t="n">
        <x:v>20</x:v>
      </x:c>
      <x:c r="G532" s="75" t="n">
        <x:v>24</x:v>
      </x:c>
      <x:c r="H532" s="75" t="n">
        <x:v>4</x:v>
      </x:c>
      <x:c r="I532" s="75" t="n">
        <x:v>7</x:v>
      </x:c>
      <x:c r="J532" s="75" t="n">
        <x:v>50</x:v>
      </x:c>
      <x:c r="K532" s="75" t="n">
        <x:v>12</x:v>
      </x:c>
      <x:c r="L532" s="75" t="str">
        <x:v>R3_5of50_2of12</x:v>
      </x:c>
      <x:c r="M532" s="213" t="str">
        <x:v>S1_pre_2024_studio_change_sensitivity_only</x:v>
      </x:c>
      <x:c r="N532" s="213" t="str">
        <x:v>Friday</x:v>
      </x:c>
      <x:c r="O532" s="213" t="str">
        <x:v>LottoMetrics full-history export</x:v>
      </x:c>
      <x:c r="P532" s="213" t="str">
        <x:v>Archive-sourced; calendar/range/uniqueness validated</x:v>
      </x:c>
      <x:c r="Q532" s="54" t="str"/>
    </x:row>
    <x:row r="533">
      <x:c r="A533" s="74" t="n">
        <x:v>530</x:v>
      </x:c>
      <x:c r="B533" s="217" t="n">
        <x:v>44670</x:v>
      </x:c>
      <x:c r="C533" s="75" t="n">
        <x:v>3</x:v>
      </x:c>
      <x:c r="D533" s="75" t="n">
        <x:v>7</x:v>
      </x:c>
      <x:c r="E533" s="75" t="n">
        <x:v>15</x:v>
      </x:c>
      <x:c r="F533" s="75" t="n">
        <x:v>17</x:v>
      </x:c>
      <x:c r="G533" s="75" t="n">
        <x:v>35</x:v>
      </x:c>
      <x:c r="H533" s="75" t="n">
        <x:v>3</x:v>
      </x:c>
      <x:c r="I533" s="75" t="n">
        <x:v>4</x:v>
      </x:c>
      <x:c r="J533" s="75" t="n">
        <x:v>50</x:v>
      </x:c>
      <x:c r="K533" s="75" t="n">
        <x:v>12</x:v>
      </x:c>
      <x:c r="L533" s="75" t="str">
        <x:v>R3_5of50_2of12</x:v>
      </x:c>
      <x:c r="M533" s="213" t="str">
        <x:v>S1_pre_2024_studio_change_sensitivity_only</x:v>
      </x:c>
      <x:c r="N533" s="213" t="str">
        <x:v>Tuesday</x:v>
      </x:c>
      <x:c r="O533" s="213" t="str">
        <x:v>LottoMetrics full-history export</x:v>
      </x:c>
      <x:c r="P533" s="213" t="str">
        <x:v>Archive-sourced; calendar/range/uniqueness validated</x:v>
      </x:c>
      <x:c r="Q533" s="54" t="str"/>
    </x:row>
    <x:row r="534">
      <x:c r="A534" s="74" t="n">
        <x:v>531</x:v>
      </x:c>
      <x:c r="B534" s="217" t="n">
        <x:v>44673</x:v>
      </x:c>
      <x:c r="C534" s="75" t="n">
        <x:v>2</x:v>
      </x:c>
      <x:c r="D534" s="75" t="n">
        <x:v>18</x:v>
      </x:c>
      <x:c r="E534" s="75" t="n">
        <x:v>28</x:v>
      </x:c>
      <x:c r="F534" s="75" t="n">
        <x:v>42</x:v>
      </x:c>
      <x:c r="G534" s="75" t="n">
        <x:v>50</x:v>
      </x:c>
      <x:c r="H534" s="75" t="n">
        <x:v>2</x:v>
      </x:c>
      <x:c r="I534" s="75" t="n">
        <x:v>11</x:v>
      </x:c>
      <x:c r="J534" s="75" t="n">
        <x:v>50</x:v>
      </x:c>
      <x:c r="K534" s="75" t="n">
        <x:v>12</x:v>
      </x:c>
      <x:c r="L534" s="75" t="str">
        <x:v>R3_5of50_2of12</x:v>
      </x:c>
      <x:c r="M534" s="213" t="str">
        <x:v>S1_pre_2024_studio_change_sensitivity_only</x:v>
      </x:c>
      <x:c r="N534" s="213" t="str">
        <x:v>Friday</x:v>
      </x:c>
      <x:c r="O534" s="213" t="str">
        <x:v>LottoMetrics full-history export</x:v>
      </x:c>
      <x:c r="P534" s="213" t="str">
        <x:v>Archive-sourced; calendar/range/uniqueness validated</x:v>
      </x:c>
      <x:c r="Q534" s="54" t="str"/>
    </x:row>
    <x:row r="535">
      <x:c r="A535" s="74" t="n">
        <x:v>532</x:v>
      </x:c>
      <x:c r="B535" s="217" t="n">
        <x:v>44677</x:v>
      </x:c>
      <x:c r="C535" s="75" t="n">
        <x:v>10</x:v>
      </x:c>
      <x:c r="D535" s="75" t="n">
        <x:v>27</x:v>
      </x:c>
      <x:c r="E535" s="75" t="n">
        <x:v>32</x:v>
      </x:c>
      <x:c r="F535" s="75" t="n">
        <x:v>41</x:v>
      </x:c>
      <x:c r="G535" s="75" t="n">
        <x:v>49</x:v>
      </x:c>
      <x:c r="H535" s="75" t="n">
        <x:v>1</x:v>
      </x:c>
      <x:c r="I535" s="75" t="n">
        <x:v>9</x:v>
      </x:c>
      <x:c r="J535" s="75" t="n">
        <x:v>50</x:v>
      </x:c>
      <x:c r="K535" s="75" t="n">
        <x:v>12</x:v>
      </x:c>
      <x:c r="L535" s="75" t="str">
        <x:v>R3_5of50_2of12</x:v>
      </x:c>
      <x:c r="M535" s="213" t="str">
        <x:v>S1_pre_2024_studio_change_sensitivity_only</x:v>
      </x:c>
      <x:c r="N535" s="213" t="str">
        <x:v>Tuesday</x:v>
      </x:c>
      <x:c r="O535" s="213" t="str">
        <x:v>LottoMetrics full-history export</x:v>
      </x:c>
      <x:c r="P535" s="213" t="str">
        <x:v>Archive-sourced; calendar/range/uniqueness validated</x:v>
      </x:c>
      <x:c r="Q535" s="54" t="str"/>
    </x:row>
    <x:row r="536">
      <x:c r="A536" s="74" t="n">
        <x:v>533</x:v>
      </x:c>
      <x:c r="B536" s="217" t="n">
        <x:v>44680</x:v>
      </x:c>
      <x:c r="C536" s="75" t="n">
        <x:v>5</x:v>
      </x:c>
      <x:c r="D536" s="75" t="n">
        <x:v>6</x:v>
      </x:c>
      <x:c r="E536" s="75" t="n">
        <x:v>17</x:v>
      </x:c>
      <x:c r="F536" s="75" t="n">
        <x:v>18</x:v>
      </x:c>
      <x:c r="G536" s="75" t="n">
        <x:v>34</x:v>
      </x:c>
      <x:c r="H536" s="75" t="n">
        <x:v>1</x:v>
      </x:c>
      <x:c r="I536" s="75" t="n">
        <x:v>11</x:v>
      </x:c>
      <x:c r="J536" s="75" t="n">
        <x:v>50</x:v>
      </x:c>
      <x:c r="K536" s="75" t="n">
        <x:v>12</x:v>
      </x:c>
      <x:c r="L536" s="75" t="str">
        <x:v>R3_5of50_2of12</x:v>
      </x:c>
      <x:c r="M536" s="213" t="str">
        <x:v>S1_pre_2024_studio_change_sensitivity_only</x:v>
      </x:c>
      <x:c r="N536" s="213" t="str">
        <x:v>Friday</x:v>
      </x:c>
      <x:c r="O536" s="213" t="str">
        <x:v>LottoMetrics full-history export</x:v>
      </x:c>
      <x:c r="P536" s="213" t="str">
        <x:v>Archive-sourced; calendar/range/uniqueness validated</x:v>
      </x:c>
      <x:c r="Q536" s="54" t="str"/>
    </x:row>
    <x:row r="537">
      <x:c r="A537" s="74" t="n">
        <x:v>534</x:v>
      </x:c>
      <x:c r="B537" s="217" t="n">
        <x:v>44684</x:v>
      </x:c>
      <x:c r="C537" s="75" t="n">
        <x:v>6</x:v>
      </x:c>
      <x:c r="D537" s="75" t="n">
        <x:v>13</x:v>
      </x:c>
      <x:c r="E537" s="75" t="n">
        <x:v>22</x:v>
      </x:c>
      <x:c r="F537" s="75" t="n">
        <x:v>24</x:v>
      </x:c>
      <x:c r="G537" s="75" t="n">
        <x:v>30</x:v>
      </x:c>
      <x:c r="H537" s="75" t="n">
        <x:v>5</x:v>
      </x:c>
      <x:c r="I537" s="75" t="n">
        <x:v>10</x:v>
      </x:c>
      <x:c r="J537" s="75" t="n">
        <x:v>50</x:v>
      </x:c>
      <x:c r="K537" s="75" t="n">
        <x:v>12</x:v>
      </x:c>
      <x:c r="L537" s="75" t="str">
        <x:v>R3_5of50_2of12</x:v>
      </x:c>
      <x:c r="M537" s="213" t="str">
        <x:v>S1_pre_2024_studio_change_sensitivity_only</x:v>
      </x:c>
      <x:c r="N537" s="213" t="str">
        <x:v>Tuesday</x:v>
      </x:c>
      <x:c r="O537" s="213" t="str">
        <x:v>LottoMetrics full-history export</x:v>
      </x:c>
      <x:c r="P537" s="213" t="str">
        <x:v>Archive-sourced; calendar/range/uniqueness validated</x:v>
      </x:c>
      <x:c r="Q537" s="54" t="str"/>
    </x:row>
    <x:row r="538">
      <x:c r="A538" s="74" t="n">
        <x:v>535</x:v>
      </x:c>
      <x:c r="B538" s="217" t="n">
        <x:v>44687</x:v>
      </x:c>
      <x:c r="C538" s="75" t="n">
        <x:v>5</x:v>
      </x:c>
      <x:c r="D538" s="75" t="n">
        <x:v>6</x:v>
      </x:c>
      <x:c r="E538" s="75" t="n">
        <x:v>39</x:v>
      </x:c>
      <x:c r="F538" s="75" t="n">
        <x:v>49</x:v>
      </x:c>
      <x:c r="G538" s="75" t="n">
        <x:v>50</x:v>
      </x:c>
      <x:c r="H538" s="75" t="n">
        <x:v>10</x:v>
      </x:c>
      <x:c r="I538" s="75" t="n">
        <x:v>12</x:v>
      </x:c>
      <x:c r="J538" s="75" t="n">
        <x:v>50</x:v>
      </x:c>
      <x:c r="K538" s="75" t="n">
        <x:v>12</x:v>
      </x:c>
      <x:c r="L538" s="75" t="str">
        <x:v>R3_5of50_2of12</x:v>
      </x:c>
      <x:c r="M538" s="213" t="str">
        <x:v>S1_pre_2024_studio_change_sensitivity_only</x:v>
      </x:c>
      <x:c r="N538" s="213" t="str">
        <x:v>Friday</x:v>
      </x:c>
      <x:c r="O538" s="213" t="str">
        <x:v>LottoMetrics full-history export</x:v>
      </x:c>
      <x:c r="P538" s="213" t="str">
        <x:v>Archive-sourced; calendar/range/uniqueness validated</x:v>
      </x:c>
      <x:c r="Q538" s="54" t="str"/>
    </x:row>
    <x:row r="539">
      <x:c r="A539" s="74" t="n">
        <x:v>536</x:v>
      </x:c>
      <x:c r="B539" s="217" t="n">
        <x:v>44691</x:v>
      </x:c>
      <x:c r="C539" s="75" t="n">
        <x:v>3</x:v>
      </x:c>
      <x:c r="D539" s="75" t="n">
        <x:v>7</x:v>
      </x:c>
      <x:c r="E539" s="75" t="n">
        <x:v>34</x:v>
      </x:c>
      <x:c r="F539" s="75" t="n">
        <x:v>43</x:v>
      </x:c>
      <x:c r="G539" s="75" t="n">
        <x:v>50</x:v>
      </x:c>
      <x:c r="H539" s="75" t="n">
        <x:v>5</x:v>
      </x:c>
      <x:c r="I539" s="75" t="n">
        <x:v>10</x:v>
      </x:c>
      <x:c r="J539" s="75" t="n">
        <x:v>50</x:v>
      </x:c>
      <x:c r="K539" s="75" t="n">
        <x:v>12</x:v>
      </x:c>
      <x:c r="L539" s="75" t="str">
        <x:v>R3_5of50_2of12</x:v>
      </x:c>
      <x:c r="M539" s="213" t="str">
        <x:v>S1_pre_2024_studio_change_sensitivity_only</x:v>
      </x:c>
      <x:c r="N539" s="213" t="str">
        <x:v>Tuesday</x:v>
      </x:c>
      <x:c r="O539" s="213" t="str">
        <x:v>LottoMetrics full-history export</x:v>
      </x:c>
      <x:c r="P539" s="213" t="str">
        <x:v>Archive-sourced; calendar/range/uniqueness validated</x:v>
      </x:c>
      <x:c r="Q539" s="54" t="str"/>
    </x:row>
    <x:row r="540">
      <x:c r="A540" s="74" t="n">
        <x:v>537</x:v>
      </x:c>
      <x:c r="B540" s="217" t="n">
        <x:v>44694</x:v>
      </x:c>
      <x:c r="C540" s="75" t="n">
        <x:v>7</x:v>
      </x:c>
      <x:c r="D540" s="75" t="n">
        <x:v>13</x:v>
      </x:c>
      <x:c r="E540" s="75" t="n">
        <x:v>30</x:v>
      </x:c>
      <x:c r="F540" s="75" t="n">
        <x:v>43</x:v>
      </x:c>
      <x:c r="G540" s="75" t="n">
        <x:v>47</x:v>
      </x:c>
      <x:c r="H540" s="75" t="n">
        <x:v>7</x:v>
      </x:c>
      <x:c r="I540" s="75" t="n">
        <x:v>11</x:v>
      </x:c>
      <x:c r="J540" s="75" t="n">
        <x:v>50</x:v>
      </x:c>
      <x:c r="K540" s="75" t="n">
        <x:v>12</x:v>
      </x:c>
      <x:c r="L540" s="75" t="str">
        <x:v>R3_5of50_2of12</x:v>
      </x:c>
      <x:c r="M540" s="213" t="str">
        <x:v>S1_pre_2024_studio_change_sensitivity_only</x:v>
      </x:c>
      <x:c r="N540" s="213" t="str">
        <x:v>Friday</x:v>
      </x:c>
      <x:c r="O540" s="213" t="str">
        <x:v>LottoMetrics full-history export</x:v>
      </x:c>
      <x:c r="P540" s="213" t="str">
        <x:v>Archive-sourced; calendar/range/uniqueness validated</x:v>
      </x:c>
      <x:c r="Q540" s="54" t="str"/>
    </x:row>
    <x:row r="541">
      <x:c r="A541" s="74" t="n">
        <x:v>538</x:v>
      </x:c>
      <x:c r="B541" s="217" t="n">
        <x:v>44698</x:v>
      </x:c>
      <x:c r="C541" s="75" t="n">
        <x:v>2</x:v>
      </x:c>
      <x:c r="D541" s="75" t="n">
        <x:v>13</x:v>
      </x:c>
      <x:c r="E541" s="75" t="n">
        <x:v>41</x:v>
      </x:c>
      <x:c r="F541" s="75" t="n">
        <x:v>45</x:v>
      </x:c>
      <x:c r="G541" s="75" t="n">
        <x:v>50</x:v>
      </x:c>
      <x:c r="H541" s="75" t="n">
        <x:v>2</x:v>
      </x:c>
      <x:c r="I541" s="75" t="n">
        <x:v>3</x:v>
      </x:c>
      <x:c r="J541" s="75" t="n">
        <x:v>50</x:v>
      </x:c>
      <x:c r="K541" s="75" t="n">
        <x:v>12</x:v>
      </x:c>
      <x:c r="L541" s="75" t="str">
        <x:v>R3_5of50_2of12</x:v>
      </x:c>
      <x:c r="M541" s="213" t="str">
        <x:v>S1_pre_2024_studio_change_sensitivity_only</x:v>
      </x:c>
      <x:c r="N541" s="213" t="str">
        <x:v>Tuesday</x:v>
      </x:c>
      <x:c r="O541" s="213" t="str">
        <x:v>LottoMetrics full-history export</x:v>
      </x:c>
      <x:c r="P541" s="213" t="str">
        <x:v>Archive-sourced; calendar/range/uniqueness validated</x:v>
      </x:c>
      <x:c r="Q541" s="54" t="str"/>
    </x:row>
    <x:row r="542">
      <x:c r="A542" s="74" t="n">
        <x:v>539</x:v>
      </x:c>
      <x:c r="B542" s="217" t="n">
        <x:v>44701</x:v>
      </x:c>
      <x:c r="C542" s="75" t="n">
        <x:v>4</x:v>
      </x:c>
      <x:c r="D542" s="75" t="n">
        <x:v>22</x:v>
      </x:c>
      <x:c r="E542" s="75" t="n">
        <x:v>28</x:v>
      </x:c>
      <x:c r="F542" s="75" t="n">
        <x:v>32</x:v>
      </x:c>
      <x:c r="G542" s="75" t="n">
        <x:v>47</x:v>
      </x:c>
      <x:c r="H542" s="75" t="n">
        <x:v>1</x:v>
      </x:c>
      <x:c r="I542" s="75" t="n">
        <x:v>2</x:v>
      </x:c>
      <x:c r="J542" s="75" t="n">
        <x:v>50</x:v>
      </x:c>
      <x:c r="K542" s="75" t="n">
        <x:v>12</x:v>
      </x:c>
      <x:c r="L542" s="75" t="str">
        <x:v>R3_5of50_2of12</x:v>
      </x:c>
      <x:c r="M542" s="213" t="str">
        <x:v>S1_pre_2024_studio_change_sensitivity_only</x:v>
      </x:c>
      <x:c r="N542" s="213" t="str">
        <x:v>Friday</x:v>
      </x:c>
      <x:c r="O542" s="213" t="str">
        <x:v>LottoMetrics full-history export</x:v>
      </x:c>
      <x:c r="P542" s="213" t="str">
        <x:v>Archive-sourced; calendar/range/uniqueness validated</x:v>
      </x:c>
      <x:c r="Q542" s="54" t="str"/>
    </x:row>
    <x:row r="543">
      <x:c r="A543" s="74" t="n">
        <x:v>540</x:v>
      </x:c>
      <x:c r="B543" s="217" t="n">
        <x:v>44705</x:v>
      </x:c>
      <x:c r="C543" s="75" t="n">
        <x:v>25</x:v>
      </x:c>
      <x:c r="D543" s="75" t="n">
        <x:v>26</x:v>
      </x:c>
      <x:c r="E543" s="75" t="n">
        <x:v>40</x:v>
      </x:c>
      <x:c r="F543" s="75" t="n">
        <x:v>45</x:v>
      </x:c>
      <x:c r="G543" s="75" t="n">
        <x:v>47</x:v>
      </x:c>
      <x:c r="H543" s="75" t="n">
        <x:v>4</x:v>
      </x:c>
      <x:c r="I543" s="75" t="n">
        <x:v>5</x:v>
      </x:c>
      <x:c r="J543" s="75" t="n">
        <x:v>50</x:v>
      </x:c>
      <x:c r="K543" s="75" t="n">
        <x:v>12</x:v>
      </x:c>
      <x:c r="L543" s="75" t="str">
        <x:v>R3_5of50_2of12</x:v>
      </x:c>
      <x:c r="M543" s="213" t="str">
        <x:v>S1_pre_2024_studio_change_sensitivity_only</x:v>
      </x:c>
      <x:c r="N543" s="213" t="str">
        <x:v>Tuesday</x:v>
      </x:c>
      <x:c r="O543" s="213" t="str">
        <x:v>LottoMetrics full-history export</x:v>
      </x:c>
      <x:c r="P543" s="213" t="str">
        <x:v>Archive-sourced; calendar/range/uniqueness validated</x:v>
      </x:c>
      <x:c r="Q543" s="54" t="str"/>
    </x:row>
    <x:row r="544">
      <x:c r="A544" s="74" t="n">
        <x:v>541</x:v>
      </x:c>
      <x:c r="B544" s="217" t="n">
        <x:v>44708</x:v>
      </x:c>
      <x:c r="C544" s="75" t="n">
        <x:v>8</x:v>
      </x:c>
      <x:c r="D544" s="75" t="n">
        <x:v>26</x:v>
      </x:c>
      <x:c r="E544" s="75" t="n">
        <x:v>29</x:v>
      </x:c>
      <x:c r="F544" s="75" t="n">
        <x:v>41</x:v>
      </x:c>
      <x:c r="G544" s="75" t="n">
        <x:v>48</x:v>
      </x:c>
      <x:c r="H544" s="75" t="n">
        <x:v>3</x:v>
      </x:c>
      <x:c r="I544" s="75" t="n">
        <x:v>5</x:v>
      </x:c>
      <x:c r="J544" s="75" t="n">
        <x:v>50</x:v>
      </x:c>
      <x:c r="K544" s="75" t="n">
        <x:v>12</x:v>
      </x:c>
      <x:c r="L544" s="75" t="str">
        <x:v>R3_5of50_2of12</x:v>
      </x:c>
      <x:c r="M544" s="213" t="str">
        <x:v>S1_pre_2024_studio_change_sensitivity_only</x:v>
      </x:c>
      <x:c r="N544" s="213" t="str">
        <x:v>Friday</x:v>
      </x:c>
      <x:c r="O544" s="213" t="str">
        <x:v>LottoMetrics full-history export</x:v>
      </x:c>
      <x:c r="P544" s="213" t="str">
        <x:v>Archive-sourced; calendar/range/uniqueness validated</x:v>
      </x:c>
      <x:c r="Q544" s="54" t="str"/>
    </x:row>
    <x:row r="545">
      <x:c r="A545" s="74" t="n">
        <x:v>542</x:v>
      </x:c>
      <x:c r="B545" s="217" t="n">
        <x:v>44712</x:v>
      </x:c>
      <x:c r="C545" s="75" t="n">
        <x:v>14</x:v>
      </x:c>
      <x:c r="D545" s="75" t="n">
        <x:v>30</x:v>
      </x:c>
      <x:c r="E545" s="75" t="n">
        <x:v>37</x:v>
      </x:c>
      <x:c r="F545" s="75" t="n">
        <x:v>39</x:v>
      </x:c>
      <x:c r="G545" s="75" t="n">
        <x:v>50</x:v>
      </x:c>
      <x:c r="H545" s="75" t="n">
        <x:v>4</x:v>
      </x:c>
      <x:c r="I545" s="75" t="n">
        <x:v>12</x:v>
      </x:c>
      <x:c r="J545" s="75" t="n">
        <x:v>50</x:v>
      </x:c>
      <x:c r="K545" s="75" t="n">
        <x:v>12</x:v>
      </x:c>
      <x:c r="L545" s="75" t="str">
        <x:v>R3_5of50_2of12</x:v>
      </x:c>
      <x:c r="M545" s="213" t="str">
        <x:v>S1_pre_2024_studio_change_sensitivity_only</x:v>
      </x:c>
      <x:c r="N545" s="213" t="str">
        <x:v>Tuesday</x:v>
      </x:c>
      <x:c r="O545" s="213" t="str">
        <x:v>LottoMetrics full-history export</x:v>
      </x:c>
      <x:c r="P545" s="213" t="str">
        <x:v>Archive-sourced; calendar/range/uniqueness validated</x:v>
      </x:c>
      <x:c r="Q545" s="54" t="str"/>
    </x:row>
    <x:row r="546">
      <x:c r="A546" s="74" t="n">
        <x:v>543</x:v>
      </x:c>
      <x:c r="B546" s="217" t="n">
        <x:v>44715</x:v>
      </x:c>
      <x:c r="C546" s="75" t="n">
        <x:v>4</x:v>
      </x:c>
      <x:c r="D546" s="75" t="n">
        <x:v>22</x:v>
      </x:c>
      <x:c r="E546" s="75" t="n">
        <x:v>27</x:v>
      </x:c>
      <x:c r="F546" s="75" t="n">
        <x:v>39</x:v>
      </x:c>
      <x:c r="G546" s="75" t="n">
        <x:v>41</x:v>
      </x:c>
      <x:c r="H546" s="75" t="n">
        <x:v>1</x:v>
      </x:c>
      <x:c r="I546" s="75" t="n">
        <x:v>9</x:v>
      </x:c>
      <x:c r="J546" s="75" t="n">
        <x:v>50</x:v>
      </x:c>
      <x:c r="K546" s="75" t="n">
        <x:v>12</x:v>
      </x:c>
      <x:c r="L546" s="75" t="str">
        <x:v>R3_5of50_2of12</x:v>
      </x:c>
      <x:c r="M546" s="213" t="str">
        <x:v>S1_pre_2024_studio_change_sensitivity_only</x:v>
      </x:c>
      <x:c r="N546" s="213" t="str">
        <x:v>Friday</x:v>
      </x:c>
      <x:c r="O546" s="213" t="str">
        <x:v>LottoMetrics full-history export</x:v>
      </x:c>
      <x:c r="P546" s="213" t="str">
        <x:v>Archive-sourced; calendar/range/uniqueness validated</x:v>
      </x:c>
      <x:c r="Q546" s="54" t="str"/>
    </x:row>
    <x:row r="547">
      <x:c r="A547" s="74" t="n">
        <x:v>544</x:v>
      </x:c>
      <x:c r="B547" s="217" t="n">
        <x:v>44719</x:v>
      </x:c>
      <x:c r="C547" s="75" t="n">
        <x:v>5</x:v>
      </x:c>
      <x:c r="D547" s="75" t="n">
        <x:v>7</x:v>
      </x:c>
      <x:c r="E547" s="75" t="n">
        <x:v>45</x:v>
      </x:c>
      <x:c r="F547" s="75" t="n">
        <x:v>48</x:v>
      </x:c>
      <x:c r="G547" s="75" t="n">
        <x:v>49</x:v>
      </x:c>
      <x:c r="H547" s="75" t="n">
        <x:v>3</x:v>
      </x:c>
      <x:c r="I547" s="75" t="n">
        <x:v>8</x:v>
      </x:c>
      <x:c r="J547" s="75" t="n">
        <x:v>50</x:v>
      </x:c>
      <x:c r="K547" s="75" t="n">
        <x:v>12</x:v>
      </x:c>
      <x:c r="L547" s="75" t="str">
        <x:v>R3_5of50_2of12</x:v>
      </x:c>
      <x:c r="M547" s="213" t="str">
        <x:v>S1_pre_2024_studio_change_sensitivity_only</x:v>
      </x:c>
      <x:c r="N547" s="213" t="str">
        <x:v>Tuesday</x:v>
      </x:c>
      <x:c r="O547" s="213" t="str">
        <x:v>LottoMetrics full-history export</x:v>
      </x:c>
      <x:c r="P547" s="213" t="str">
        <x:v>Archive-sourced; calendar/range/uniqueness validated</x:v>
      </x:c>
      <x:c r="Q547" s="54" t="str"/>
    </x:row>
    <x:row r="548">
      <x:c r="A548" s="74" t="n">
        <x:v>545</x:v>
      </x:c>
      <x:c r="B548" s="217" t="n">
        <x:v>44722</x:v>
      </x:c>
      <x:c r="C548" s="75" t="n">
        <x:v>3</x:v>
      </x:c>
      <x:c r="D548" s="75" t="n">
        <x:v>21</x:v>
      </x:c>
      <x:c r="E548" s="75" t="n">
        <x:v>23</x:v>
      </x:c>
      <x:c r="F548" s="75" t="n">
        <x:v>28</x:v>
      </x:c>
      <x:c r="G548" s="75" t="n">
        <x:v>46</x:v>
      </x:c>
      <x:c r="H548" s="75" t="n">
        <x:v>10</x:v>
      </x:c>
      <x:c r="I548" s="75" t="n">
        <x:v>12</x:v>
      </x:c>
      <x:c r="J548" s="75" t="n">
        <x:v>50</x:v>
      </x:c>
      <x:c r="K548" s="75" t="n">
        <x:v>12</x:v>
      </x:c>
      <x:c r="L548" s="75" t="str">
        <x:v>R3_5of50_2of12</x:v>
      </x:c>
      <x:c r="M548" s="213" t="str">
        <x:v>S1_pre_2024_studio_change_sensitivity_only</x:v>
      </x:c>
      <x:c r="N548" s="213" t="str">
        <x:v>Friday</x:v>
      </x:c>
      <x:c r="O548" s="213" t="str">
        <x:v>LottoMetrics full-history export</x:v>
      </x:c>
      <x:c r="P548" s="213" t="str">
        <x:v>Archive-sourced; calendar/range/uniqueness validated</x:v>
      </x:c>
      <x:c r="Q548" s="54" t="str"/>
    </x:row>
    <x:row r="549">
      <x:c r="A549" s="74" t="n">
        <x:v>546</x:v>
      </x:c>
      <x:c r="B549" s="217" t="n">
        <x:v>44726</x:v>
      </x:c>
      <x:c r="C549" s="75" t="n">
        <x:v>11</x:v>
      </x:c>
      <x:c r="D549" s="75" t="n">
        <x:v>28</x:v>
      </x:c>
      <x:c r="E549" s="75" t="n">
        <x:v>30</x:v>
      </x:c>
      <x:c r="F549" s="75" t="n">
        <x:v>35</x:v>
      </x:c>
      <x:c r="G549" s="75" t="n">
        <x:v>50</x:v>
      </x:c>
      <x:c r="H549" s="75" t="n">
        <x:v>7</x:v>
      </x:c>
      <x:c r="I549" s="75" t="n">
        <x:v>8</x:v>
      </x:c>
      <x:c r="J549" s="75" t="n">
        <x:v>50</x:v>
      </x:c>
      <x:c r="K549" s="75" t="n">
        <x:v>12</x:v>
      </x:c>
      <x:c r="L549" s="75" t="str">
        <x:v>R3_5of50_2of12</x:v>
      </x:c>
      <x:c r="M549" s="213" t="str">
        <x:v>S1_pre_2024_studio_change_sensitivity_only</x:v>
      </x:c>
      <x:c r="N549" s="213" t="str">
        <x:v>Tuesday</x:v>
      </x:c>
      <x:c r="O549" s="213" t="str">
        <x:v>LottoMetrics full-history export</x:v>
      </x:c>
      <x:c r="P549" s="213" t="str">
        <x:v>Archive-sourced; calendar/range/uniqueness validated</x:v>
      </x:c>
      <x:c r="Q549" s="54" t="str"/>
    </x:row>
    <x:row r="550">
      <x:c r="A550" s="74" t="n">
        <x:v>547</x:v>
      </x:c>
      <x:c r="B550" s="217" t="n">
        <x:v>44729</x:v>
      </x:c>
      <x:c r="C550" s="75" t="n">
        <x:v>1</x:v>
      </x:c>
      <x:c r="D550" s="75" t="n">
        <x:v>2</x:v>
      </x:c>
      <x:c r="E550" s="75" t="n">
        <x:v>23</x:v>
      </x:c>
      <x:c r="F550" s="75" t="n">
        <x:v>43</x:v>
      </x:c>
      <x:c r="G550" s="75" t="n">
        <x:v>45</x:v>
      </x:c>
      <x:c r="H550" s="75" t="n">
        <x:v>1</x:v>
      </x:c>
      <x:c r="I550" s="75" t="n">
        <x:v>9</x:v>
      </x:c>
      <x:c r="J550" s="75" t="n">
        <x:v>50</x:v>
      </x:c>
      <x:c r="K550" s="75" t="n">
        <x:v>12</x:v>
      </x:c>
      <x:c r="L550" s="75" t="str">
        <x:v>R3_5of50_2of12</x:v>
      </x:c>
      <x:c r="M550" s="213" t="str">
        <x:v>S1_pre_2024_studio_change_sensitivity_only</x:v>
      </x:c>
      <x:c r="N550" s="213" t="str">
        <x:v>Friday</x:v>
      </x:c>
      <x:c r="O550" s="213" t="str">
        <x:v>LottoMetrics full-history export</x:v>
      </x:c>
      <x:c r="P550" s="213" t="str">
        <x:v>Archive-sourced; calendar/range/uniqueness validated</x:v>
      </x:c>
      <x:c r="Q550" s="54" t="str"/>
    </x:row>
    <x:row r="551">
      <x:c r="A551" s="74" t="n">
        <x:v>548</x:v>
      </x:c>
      <x:c r="B551" s="217" t="n">
        <x:v>44733</x:v>
      </x:c>
      <x:c r="C551" s="75" t="n">
        <x:v>6</x:v>
      </x:c>
      <x:c r="D551" s="75" t="n">
        <x:v>10</x:v>
      </x:c>
      <x:c r="E551" s="75" t="n">
        <x:v>17</x:v>
      </x:c>
      <x:c r="F551" s="75" t="n">
        <x:v>29</x:v>
      </x:c>
      <x:c r="G551" s="75" t="n">
        <x:v>49</x:v>
      </x:c>
      <x:c r="H551" s="75" t="n">
        <x:v>2</x:v>
      </x:c>
      <x:c r="I551" s="75" t="n">
        <x:v>5</x:v>
      </x:c>
      <x:c r="J551" s="75" t="n">
        <x:v>50</x:v>
      </x:c>
      <x:c r="K551" s="75" t="n">
        <x:v>12</x:v>
      </x:c>
      <x:c r="L551" s="75" t="str">
        <x:v>R3_5of50_2of12</x:v>
      </x:c>
      <x:c r="M551" s="213" t="str">
        <x:v>S1_pre_2024_studio_change_sensitivity_only</x:v>
      </x:c>
      <x:c r="N551" s="213" t="str">
        <x:v>Tuesday</x:v>
      </x:c>
      <x:c r="O551" s="213" t="str">
        <x:v>LottoMetrics full-history export</x:v>
      </x:c>
      <x:c r="P551" s="213" t="str">
        <x:v>Archive-sourced; calendar/range/uniqueness validated</x:v>
      </x:c>
      <x:c r="Q551" s="54" t="str"/>
    </x:row>
    <x:row r="552">
      <x:c r="A552" s="74" t="n">
        <x:v>549</x:v>
      </x:c>
      <x:c r="B552" s="217" t="n">
        <x:v>44736</x:v>
      </x:c>
      <x:c r="C552" s="75" t="n">
        <x:v>13</x:v>
      </x:c>
      <x:c r="D552" s="75" t="n">
        <x:v>24</x:v>
      </x:c>
      <x:c r="E552" s="75" t="n">
        <x:v>30</x:v>
      </x:c>
      <x:c r="F552" s="75" t="n">
        <x:v>35</x:v>
      </x:c>
      <x:c r="G552" s="75" t="n">
        <x:v>48</x:v>
      </x:c>
      <x:c r="H552" s="75" t="n">
        <x:v>4</x:v>
      </x:c>
      <x:c r="I552" s="75" t="n">
        <x:v>5</x:v>
      </x:c>
      <x:c r="J552" s="75" t="n">
        <x:v>50</x:v>
      </x:c>
      <x:c r="K552" s="75" t="n">
        <x:v>12</x:v>
      </x:c>
      <x:c r="L552" s="75" t="str">
        <x:v>R3_5of50_2of12</x:v>
      </x:c>
      <x:c r="M552" s="213" t="str">
        <x:v>S1_pre_2024_studio_change_sensitivity_only</x:v>
      </x:c>
      <x:c r="N552" s="213" t="str">
        <x:v>Friday</x:v>
      </x:c>
      <x:c r="O552" s="213" t="str">
        <x:v>LottoMetrics full-history export</x:v>
      </x:c>
      <x:c r="P552" s="213" t="str">
        <x:v>Archive-sourced; calendar/range/uniqueness validated</x:v>
      </x:c>
      <x:c r="Q552" s="54" t="str"/>
    </x:row>
    <x:row r="553">
      <x:c r="A553" s="74" t="n">
        <x:v>550</x:v>
      </x:c>
      <x:c r="B553" s="217" t="n">
        <x:v>44740</x:v>
      </x:c>
      <x:c r="C553" s="75" t="n">
        <x:v>2</x:v>
      </x:c>
      <x:c r="D553" s="75" t="n">
        <x:v>10</x:v>
      </x:c>
      <x:c r="E553" s="75" t="n">
        <x:v>23</x:v>
      </x:c>
      <x:c r="F553" s="75" t="n">
        <x:v>29</x:v>
      </x:c>
      <x:c r="G553" s="75" t="n">
        <x:v>50</x:v>
      </x:c>
      <x:c r="H553" s="75" t="n">
        <x:v>3</x:v>
      </x:c>
      <x:c r="I553" s="75" t="n">
        <x:v>10</x:v>
      </x:c>
      <x:c r="J553" s="75" t="n">
        <x:v>50</x:v>
      </x:c>
      <x:c r="K553" s="75" t="n">
        <x:v>12</x:v>
      </x:c>
      <x:c r="L553" s="75" t="str">
        <x:v>R3_5of50_2of12</x:v>
      </x:c>
      <x:c r="M553" s="213" t="str">
        <x:v>S1_pre_2024_studio_change_sensitivity_only</x:v>
      </x:c>
      <x:c r="N553" s="213" t="str">
        <x:v>Tuesday</x:v>
      </x:c>
      <x:c r="O553" s="213" t="str">
        <x:v>LottoMetrics full-history export</x:v>
      </x:c>
      <x:c r="P553" s="213" t="str">
        <x:v>Archive-sourced; calendar/range/uniqueness validated</x:v>
      </x:c>
      <x:c r="Q553" s="54" t="str"/>
    </x:row>
    <x:row r="554">
      <x:c r="A554" s="74" t="n">
        <x:v>551</x:v>
      </x:c>
      <x:c r="B554" s="217" t="n">
        <x:v>44743</x:v>
      </x:c>
      <x:c r="C554" s="75" t="n">
        <x:v>4</x:v>
      </x:c>
      <x:c r="D554" s="75" t="n">
        <x:v>10</x:v>
      </x:c>
      <x:c r="E554" s="75" t="n">
        <x:v>24</x:v>
      </x:c>
      <x:c r="F554" s="75" t="n">
        <x:v>34</x:v>
      </x:c>
      <x:c r="G554" s="75" t="n">
        <x:v>35</x:v>
      </x:c>
      <x:c r="H554" s="75" t="n">
        <x:v>7</x:v>
      </x:c>
      <x:c r="I554" s="75" t="n">
        <x:v>8</x:v>
      </x:c>
      <x:c r="J554" s="75" t="n">
        <x:v>50</x:v>
      </x:c>
      <x:c r="K554" s="75" t="n">
        <x:v>12</x:v>
      </x:c>
      <x:c r="L554" s="75" t="str">
        <x:v>R3_5of50_2of12</x:v>
      </x:c>
      <x:c r="M554" s="213" t="str">
        <x:v>S1_pre_2024_studio_change_sensitivity_only</x:v>
      </x:c>
      <x:c r="N554" s="213" t="str">
        <x:v>Friday</x:v>
      </x:c>
      <x:c r="O554" s="213" t="str">
        <x:v>LottoMetrics full-history export</x:v>
      </x:c>
      <x:c r="P554" s="213" t="str">
        <x:v>Archive-sourced; calendar/range/uniqueness validated</x:v>
      </x:c>
      <x:c r="Q554" s="54" t="str"/>
    </x:row>
    <x:row r="555">
      <x:c r="A555" s="74" t="n">
        <x:v>552</x:v>
      </x:c>
      <x:c r="B555" s="217" t="n">
        <x:v>44747</x:v>
      </x:c>
      <x:c r="C555" s="75" t="n">
        <x:v>7</x:v>
      </x:c>
      <x:c r="D555" s="75" t="n">
        <x:v>16</x:v>
      </x:c>
      <x:c r="E555" s="75" t="n">
        <x:v>28</x:v>
      </x:c>
      <x:c r="F555" s="75" t="n">
        <x:v>36</x:v>
      </x:c>
      <x:c r="G555" s="75" t="n">
        <x:v>43</x:v>
      </x:c>
      <x:c r="H555" s="75" t="n">
        <x:v>2</x:v>
      </x:c>
      <x:c r="I555" s="75" t="n">
        <x:v>11</x:v>
      </x:c>
      <x:c r="J555" s="75" t="n">
        <x:v>50</x:v>
      </x:c>
      <x:c r="K555" s="75" t="n">
        <x:v>12</x:v>
      </x:c>
      <x:c r="L555" s="75" t="str">
        <x:v>R3_5of50_2of12</x:v>
      </x:c>
      <x:c r="M555" s="213" t="str">
        <x:v>S1_pre_2024_studio_change_sensitivity_only</x:v>
      </x:c>
      <x:c r="N555" s="213" t="str">
        <x:v>Tuesday</x:v>
      </x:c>
      <x:c r="O555" s="213" t="str">
        <x:v>LottoMetrics full-history export</x:v>
      </x:c>
      <x:c r="P555" s="213" t="str">
        <x:v>Archive-sourced; calendar/range/uniqueness validated</x:v>
      </x:c>
      <x:c r="Q555" s="54" t="str"/>
    </x:row>
    <x:row r="556">
      <x:c r="A556" s="74" t="n">
        <x:v>553</x:v>
      </x:c>
      <x:c r="B556" s="217" t="n">
        <x:v>44750</x:v>
      </x:c>
      <x:c r="C556" s="75" t="n">
        <x:v>6</x:v>
      </x:c>
      <x:c r="D556" s="75" t="n">
        <x:v>10</x:v>
      </x:c>
      <x:c r="E556" s="75" t="n">
        <x:v>22</x:v>
      </x:c>
      <x:c r="F556" s="75" t="n">
        <x:v>30</x:v>
      </x:c>
      <x:c r="G556" s="75" t="n">
        <x:v>36</x:v>
      </x:c>
      <x:c r="H556" s="75" t="n">
        <x:v>8</x:v>
      </x:c>
      <x:c r="I556" s="75" t="n">
        <x:v>10</x:v>
      </x:c>
      <x:c r="J556" s="75" t="n">
        <x:v>50</x:v>
      </x:c>
      <x:c r="K556" s="75" t="n">
        <x:v>12</x:v>
      </x:c>
      <x:c r="L556" s="75" t="str">
        <x:v>R3_5of50_2of12</x:v>
      </x:c>
      <x:c r="M556" s="213" t="str">
        <x:v>S1_pre_2024_studio_change_sensitivity_only</x:v>
      </x:c>
      <x:c r="N556" s="213" t="str">
        <x:v>Friday</x:v>
      </x:c>
      <x:c r="O556" s="213" t="str">
        <x:v>LottoMetrics full-history export</x:v>
      </x:c>
      <x:c r="P556" s="213" t="str">
        <x:v>Archive-sourced; calendar/range/uniqueness validated</x:v>
      </x:c>
      <x:c r="Q556" s="54" t="str"/>
    </x:row>
    <x:row r="557">
      <x:c r="A557" s="74" t="n">
        <x:v>554</x:v>
      </x:c>
      <x:c r="B557" s="217" t="n">
        <x:v>44754</x:v>
      </x:c>
      <x:c r="C557" s="75" t="n">
        <x:v>3</x:v>
      </x:c>
      <x:c r="D557" s="75" t="n">
        <x:v>16</x:v>
      </x:c>
      <x:c r="E557" s="75" t="n">
        <x:v>26</x:v>
      </x:c>
      <x:c r="F557" s="75" t="n">
        <x:v>30</x:v>
      </x:c>
      <x:c r="G557" s="75" t="n">
        <x:v>47</x:v>
      </x:c>
      <x:c r="H557" s="75" t="n">
        <x:v>1</x:v>
      </x:c>
      <x:c r="I557" s="75" t="n">
        <x:v>2</x:v>
      </x:c>
      <x:c r="J557" s="75" t="n">
        <x:v>50</x:v>
      </x:c>
      <x:c r="K557" s="75" t="n">
        <x:v>12</x:v>
      </x:c>
      <x:c r="L557" s="75" t="str">
        <x:v>R3_5of50_2of12</x:v>
      </x:c>
      <x:c r="M557" s="213" t="str">
        <x:v>S1_pre_2024_studio_change_sensitivity_only</x:v>
      </x:c>
      <x:c r="N557" s="213" t="str">
        <x:v>Tuesday</x:v>
      </x:c>
      <x:c r="O557" s="213" t="str">
        <x:v>LottoMetrics full-history export</x:v>
      </x:c>
      <x:c r="P557" s="213" t="str">
        <x:v>Archive-sourced; calendar/range/uniqueness validated</x:v>
      </x:c>
      <x:c r="Q557" s="54" t="str"/>
    </x:row>
    <x:row r="558">
      <x:c r="A558" s="74" t="n">
        <x:v>555</x:v>
      </x:c>
      <x:c r="B558" s="217" t="n">
        <x:v>44757</x:v>
      </x:c>
      <x:c r="C558" s="75" t="n">
        <x:v>9</x:v>
      </x:c>
      <x:c r="D558" s="75" t="n">
        <x:v>11</x:v>
      </x:c>
      <x:c r="E558" s="75" t="n">
        <x:v>16</x:v>
      </x:c>
      <x:c r="F558" s="75" t="n">
        <x:v>19</x:v>
      </x:c>
      <x:c r="G558" s="75" t="n">
        <x:v>32</x:v>
      </x:c>
      <x:c r="H558" s="75" t="n">
        <x:v>3</x:v>
      </x:c>
      <x:c r="I558" s="75" t="n">
        <x:v>5</x:v>
      </x:c>
      <x:c r="J558" s="75" t="n">
        <x:v>50</x:v>
      </x:c>
      <x:c r="K558" s="75" t="n">
        <x:v>12</x:v>
      </x:c>
      <x:c r="L558" s="75" t="str">
        <x:v>R3_5of50_2of12</x:v>
      </x:c>
      <x:c r="M558" s="213" t="str">
        <x:v>S1_pre_2024_studio_change_sensitivity_only</x:v>
      </x:c>
      <x:c r="N558" s="213" t="str">
        <x:v>Friday</x:v>
      </x:c>
      <x:c r="O558" s="213" t="str">
        <x:v>LottoMetrics full-history export</x:v>
      </x:c>
      <x:c r="P558" s="213" t="str">
        <x:v>Archive-sourced; calendar/range/uniqueness validated</x:v>
      </x:c>
      <x:c r="Q558" s="54" t="str"/>
    </x:row>
    <x:row r="559">
      <x:c r="A559" s="74" t="n">
        <x:v>556</x:v>
      </x:c>
      <x:c r="B559" s="217" t="n">
        <x:v>44761</x:v>
      </x:c>
      <x:c r="C559" s="75" t="n">
        <x:v>20</x:v>
      </x:c>
      <x:c r="D559" s="75" t="n">
        <x:v>23</x:v>
      </x:c>
      <x:c r="E559" s="75" t="n">
        <x:v>24</x:v>
      </x:c>
      <x:c r="F559" s="75" t="n">
        <x:v>37</x:v>
      </x:c>
      <x:c r="G559" s="75" t="n">
        <x:v>43</x:v>
      </x:c>
      <x:c r="H559" s="75" t="n">
        <x:v>9</x:v>
      </x:c>
      <x:c r="I559" s="75" t="n">
        <x:v>10</x:v>
      </x:c>
      <x:c r="J559" s="75" t="n">
        <x:v>50</x:v>
      </x:c>
      <x:c r="K559" s="75" t="n">
        <x:v>12</x:v>
      </x:c>
      <x:c r="L559" s="75" t="str">
        <x:v>R3_5of50_2of12</x:v>
      </x:c>
      <x:c r="M559" s="213" t="str">
        <x:v>S1_pre_2024_studio_change_sensitivity_only</x:v>
      </x:c>
      <x:c r="N559" s="213" t="str">
        <x:v>Tuesday</x:v>
      </x:c>
      <x:c r="O559" s="213" t="str">
        <x:v>LottoMetrics full-history export</x:v>
      </x:c>
      <x:c r="P559" s="213" t="str">
        <x:v>Archive-sourced; calendar/range/uniqueness validated</x:v>
      </x:c>
      <x:c r="Q559" s="54" t="str"/>
    </x:row>
    <x:row r="560">
      <x:c r="A560" s="74" t="n">
        <x:v>557</x:v>
      </x:c>
      <x:c r="B560" s="217" t="n">
        <x:v>44764</x:v>
      </x:c>
      <x:c r="C560" s="75" t="n">
        <x:v>1</x:v>
      </x:c>
      <x:c r="D560" s="75" t="n">
        <x:v>11</x:v>
      </x:c>
      <x:c r="E560" s="75" t="n">
        <x:v>17</x:v>
      </x:c>
      <x:c r="F560" s="75" t="n">
        <x:v>19</x:v>
      </x:c>
      <x:c r="G560" s="75" t="n">
        <x:v>33</x:v>
      </x:c>
      <x:c r="H560" s="75" t="n">
        <x:v>3</x:v>
      </x:c>
      <x:c r="I560" s="75" t="n">
        <x:v>7</x:v>
      </x:c>
      <x:c r="J560" s="75" t="n">
        <x:v>50</x:v>
      </x:c>
      <x:c r="K560" s="75" t="n">
        <x:v>12</x:v>
      </x:c>
      <x:c r="L560" s="75" t="str">
        <x:v>R3_5of50_2of12</x:v>
      </x:c>
      <x:c r="M560" s="213" t="str">
        <x:v>S1_pre_2024_studio_change_sensitivity_only</x:v>
      </x:c>
      <x:c r="N560" s="213" t="str">
        <x:v>Friday</x:v>
      </x:c>
      <x:c r="O560" s="213" t="str">
        <x:v>LottoMetrics full-history export</x:v>
      </x:c>
      <x:c r="P560" s="213" t="str">
        <x:v>Archive-sourced; calendar/range/uniqueness validated</x:v>
      </x:c>
      <x:c r="Q560" s="54" t="str"/>
    </x:row>
    <x:row r="561">
      <x:c r="A561" s="74" t="n">
        <x:v>558</x:v>
      </x:c>
      <x:c r="B561" s="217" t="n">
        <x:v>44768</x:v>
      </x:c>
      <x:c r="C561" s="75" t="n">
        <x:v>1</x:v>
      </x:c>
      <x:c r="D561" s="75" t="n">
        <x:v>2</x:v>
      </x:c>
      <x:c r="E561" s="75" t="n">
        <x:v>7</x:v>
      </x:c>
      <x:c r="F561" s="75" t="n">
        <x:v>24</x:v>
      </x:c>
      <x:c r="G561" s="75" t="n">
        <x:v>25</x:v>
      </x:c>
      <x:c r="H561" s="75" t="n">
        <x:v>2</x:v>
      </x:c>
      <x:c r="I561" s="75" t="n">
        <x:v>5</x:v>
      </x:c>
      <x:c r="J561" s="75" t="n">
        <x:v>50</x:v>
      </x:c>
      <x:c r="K561" s="75" t="n">
        <x:v>12</x:v>
      </x:c>
      <x:c r="L561" s="75" t="str">
        <x:v>R3_5of50_2of12</x:v>
      </x:c>
      <x:c r="M561" s="213" t="str">
        <x:v>S1_pre_2024_studio_change_sensitivity_only</x:v>
      </x:c>
      <x:c r="N561" s="213" t="str">
        <x:v>Tuesday</x:v>
      </x:c>
      <x:c r="O561" s="213" t="str">
        <x:v>LottoMetrics full-history export</x:v>
      </x:c>
      <x:c r="P561" s="213" t="str">
        <x:v>Archive-sourced; calendar/range/uniqueness validated</x:v>
      </x:c>
      <x:c r="Q561" s="54" t="str"/>
    </x:row>
    <x:row r="562">
      <x:c r="A562" s="74" t="n">
        <x:v>559</x:v>
      </x:c>
      <x:c r="B562" s="217" t="n">
        <x:v>44771</x:v>
      </x:c>
      <x:c r="C562" s="75" t="n">
        <x:v>14</x:v>
      </x:c>
      <x:c r="D562" s="75" t="n">
        <x:v>26</x:v>
      </x:c>
      <x:c r="E562" s="75" t="n">
        <x:v>29</x:v>
      </x:c>
      <x:c r="F562" s="75" t="n">
        <x:v>46</x:v>
      </x:c>
      <x:c r="G562" s="75" t="n">
        <x:v>50</x:v>
      </x:c>
      <x:c r="H562" s="75" t="n">
        <x:v>10</x:v>
      </x:c>
      <x:c r="I562" s="75" t="n">
        <x:v>11</x:v>
      </x:c>
      <x:c r="J562" s="75" t="n">
        <x:v>50</x:v>
      </x:c>
      <x:c r="K562" s="75" t="n">
        <x:v>12</x:v>
      </x:c>
      <x:c r="L562" s="75" t="str">
        <x:v>R3_5of50_2of12</x:v>
      </x:c>
      <x:c r="M562" s="213" t="str">
        <x:v>S1_pre_2024_studio_change_sensitivity_only</x:v>
      </x:c>
      <x:c r="N562" s="213" t="str">
        <x:v>Friday</x:v>
      </x:c>
      <x:c r="O562" s="213" t="str">
        <x:v>LottoMetrics full-history export</x:v>
      </x:c>
      <x:c r="P562" s="213" t="str">
        <x:v>Archive-sourced; calendar/range/uniqueness validated</x:v>
      </x:c>
      <x:c r="Q562" s="54" t="str"/>
    </x:row>
    <x:row r="563">
      <x:c r="A563" s="74" t="n">
        <x:v>560</x:v>
      </x:c>
      <x:c r="B563" s="217" t="n">
        <x:v>44775</x:v>
      </x:c>
      <x:c r="C563" s="75" t="n">
        <x:v>6</x:v>
      </x:c>
      <x:c r="D563" s="75" t="n">
        <x:v>11</x:v>
      </x:c>
      <x:c r="E563" s="75" t="n">
        <x:v>39</x:v>
      </x:c>
      <x:c r="F563" s="75" t="n">
        <x:v>40</x:v>
      </x:c>
      <x:c r="G563" s="75" t="n">
        <x:v>47</x:v>
      </x:c>
      <x:c r="H563" s="75" t="n">
        <x:v>7</x:v>
      </x:c>
      <x:c r="I563" s="75" t="n">
        <x:v>8</x:v>
      </x:c>
      <x:c r="J563" s="75" t="n">
        <x:v>50</x:v>
      </x:c>
      <x:c r="K563" s="75" t="n">
        <x:v>12</x:v>
      </x:c>
      <x:c r="L563" s="75" t="str">
        <x:v>R3_5of50_2of12</x:v>
      </x:c>
      <x:c r="M563" s="213" t="str">
        <x:v>S1_pre_2024_studio_change_sensitivity_only</x:v>
      </x:c>
      <x:c r="N563" s="213" t="str">
        <x:v>Tuesday</x:v>
      </x:c>
      <x:c r="O563" s="213" t="str">
        <x:v>LottoMetrics full-history export</x:v>
      </x:c>
      <x:c r="P563" s="213" t="str">
        <x:v>Archive-sourced; calendar/range/uniqueness validated</x:v>
      </x:c>
      <x:c r="Q563" s="54" t="str"/>
    </x:row>
    <x:row r="564">
      <x:c r="A564" s="74" t="n">
        <x:v>561</x:v>
      </x:c>
      <x:c r="B564" s="217" t="n">
        <x:v>44778</x:v>
      </x:c>
      <x:c r="C564" s="75" t="n">
        <x:v>10</x:v>
      </x:c>
      <x:c r="D564" s="75" t="n">
        <x:v>12</x:v>
      </x:c>
      <x:c r="E564" s="75" t="n">
        <x:v>17</x:v>
      </x:c>
      <x:c r="F564" s="75" t="n">
        <x:v>31</x:v>
      </x:c>
      <x:c r="G564" s="75" t="n">
        <x:v>49</x:v>
      </x:c>
      <x:c r="H564" s="75" t="n">
        <x:v>2</x:v>
      </x:c>
      <x:c r="I564" s="75" t="n">
        <x:v>8</x:v>
      </x:c>
      <x:c r="J564" s="75" t="n">
        <x:v>50</x:v>
      </x:c>
      <x:c r="K564" s="75" t="n">
        <x:v>12</x:v>
      </x:c>
      <x:c r="L564" s="75" t="str">
        <x:v>R3_5of50_2of12</x:v>
      </x:c>
      <x:c r="M564" s="213" t="str">
        <x:v>S1_pre_2024_studio_change_sensitivity_only</x:v>
      </x:c>
      <x:c r="N564" s="213" t="str">
        <x:v>Friday</x:v>
      </x:c>
      <x:c r="O564" s="213" t="str">
        <x:v>LottoMetrics full-history export</x:v>
      </x:c>
      <x:c r="P564" s="213" t="str">
        <x:v>Archive-sourced; calendar/range/uniqueness validated</x:v>
      </x:c>
      <x:c r="Q564" s="54" t="str"/>
    </x:row>
    <x:row r="565">
      <x:c r="A565" s="74" t="n">
        <x:v>562</x:v>
      </x:c>
      <x:c r="B565" s="217" t="n">
        <x:v>44782</x:v>
      </x:c>
      <x:c r="C565" s="75" t="n">
        <x:v>23</x:v>
      </x:c>
      <x:c r="D565" s="75" t="n">
        <x:v>26</x:v>
      </x:c>
      <x:c r="E565" s="75" t="n">
        <x:v>36</x:v>
      </x:c>
      <x:c r="F565" s="75" t="n">
        <x:v>40</x:v>
      </x:c>
      <x:c r="G565" s="75" t="n">
        <x:v>44</x:v>
      </x:c>
      <x:c r="H565" s="75" t="n">
        <x:v>5</x:v>
      </x:c>
      <x:c r="I565" s="75" t="n">
        <x:v>10</x:v>
      </x:c>
      <x:c r="J565" s="75" t="n">
        <x:v>50</x:v>
      </x:c>
      <x:c r="K565" s="75" t="n">
        <x:v>12</x:v>
      </x:c>
      <x:c r="L565" s="75" t="str">
        <x:v>R3_5of50_2of12</x:v>
      </x:c>
      <x:c r="M565" s="213" t="str">
        <x:v>S1_pre_2024_studio_change_sensitivity_only</x:v>
      </x:c>
      <x:c r="N565" s="213" t="str">
        <x:v>Tuesday</x:v>
      </x:c>
      <x:c r="O565" s="213" t="str">
        <x:v>LottoMetrics full-history export</x:v>
      </x:c>
      <x:c r="P565" s="213" t="str">
        <x:v>Archive-sourced; calendar/range/uniqueness validated</x:v>
      </x:c>
      <x:c r="Q565" s="54" t="str"/>
    </x:row>
    <x:row r="566">
      <x:c r="A566" s="74" t="n">
        <x:v>563</x:v>
      </x:c>
      <x:c r="B566" s="217" t="n">
        <x:v>44785</x:v>
      </x:c>
      <x:c r="C566" s="75" t="n">
        <x:v>14</x:v>
      </x:c>
      <x:c r="D566" s="75" t="n">
        <x:v>32</x:v>
      </x:c>
      <x:c r="E566" s="75" t="n">
        <x:v>34</x:v>
      </x:c>
      <x:c r="F566" s="75" t="n">
        <x:v>38</x:v>
      </x:c>
      <x:c r="G566" s="75" t="n">
        <x:v>46</x:v>
      </x:c>
      <x:c r="H566" s="75" t="n">
        <x:v>2</x:v>
      </x:c>
      <x:c r="I566" s="75" t="n">
        <x:v>5</x:v>
      </x:c>
      <x:c r="J566" s="75" t="n">
        <x:v>50</x:v>
      </x:c>
      <x:c r="K566" s="75" t="n">
        <x:v>12</x:v>
      </x:c>
      <x:c r="L566" s="75" t="str">
        <x:v>R3_5of50_2of12</x:v>
      </x:c>
      <x:c r="M566" s="213" t="str">
        <x:v>S1_pre_2024_studio_change_sensitivity_only</x:v>
      </x:c>
      <x:c r="N566" s="213" t="str">
        <x:v>Friday</x:v>
      </x:c>
      <x:c r="O566" s="213" t="str">
        <x:v>LottoMetrics full-history export</x:v>
      </x:c>
      <x:c r="P566" s="213" t="str">
        <x:v>Archive-sourced; calendar/range/uniqueness validated</x:v>
      </x:c>
      <x:c r="Q566" s="54" t="str"/>
    </x:row>
    <x:row r="567">
      <x:c r="A567" s="74" t="n">
        <x:v>564</x:v>
      </x:c>
      <x:c r="B567" s="217" t="n">
        <x:v>44789</x:v>
      </x:c>
      <x:c r="C567" s="75" t="n">
        <x:v>4</x:v>
      </x:c>
      <x:c r="D567" s="75" t="n">
        <x:v>17</x:v>
      </x:c>
      <x:c r="E567" s="75" t="n">
        <x:v>32</x:v>
      </x:c>
      <x:c r="F567" s="75" t="n">
        <x:v>34</x:v>
      </x:c>
      <x:c r="G567" s="75" t="n">
        <x:v>49</x:v>
      </x:c>
      <x:c r="H567" s="75" t="n">
        <x:v>4</x:v>
      </x:c>
      <x:c r="I567" s="75" t="n">
        <x:v>9</x:v>
      </x:c>
      <x:c r="J567" s="75" t="n">
        <x:v>50</x:v>
      </x:c>
      <x:c r="K567" s="75" t="n">
        <x:v>12</x:v>
      </x:c>
      <x:c r="L567" s="75" t="str">
        <x:v>R3_5of50_2of12</x:v>
      </x:c>
      <x:c r="M567" s="213" t="str">
        <x:v>S1_pre_2024_studio_change_sensitivity_only</x:v>
      </x:c>
      <x:c r="N567" s="213" t="str">
        <x:v>Tuesday</x:v>
      </x:c>
      <x:c r="O567" s="213" t="str">
        <x:v>LottoMetrics full-history export</x:v>
      </x:c>
      <x:c r="P567" s="213" t="str">
        <x:v>Archive-sourced; calendar/range/uniqueness validated</x:v>
      </x:c>
      <x:c r="Q567" s="54" t="str"/>
    </x:row>
    <x:row r="568">
      <x:c r="A568" s="74" t="n">
        <x:v>565</x:v>
      </x:c>
      <x:c r="B568" s="217" t="n">
        <x:v>44792</x:v>
      </x:c>
      <x:c r="C568" s="75" t="n">
        <x:v>4</x:v>
      </x:c>
      <x:c r="D568" s="75" t="n">
        <x:v>13</x:v>
      </x:c>
      <x:c r="E568" s="75" t="n">
        <x:v>32</x:v>
      </x:c>
      <x:c r="F568" s="75" t="n">
        <x:v>39</x:v>
      </x:c>
      <x:c r="G568" s="75" t="n">
        <x:v>41</x:v>
      </x:c>
      <x:c r="H568" s="75" t="n">
        <x:v>6</x:v>
      </x:c>
      <x:c r="I568" s="75" t="n">
        <x:v>8</x:v>
      </x:c>
      <x:c r="J568" s="75" t="n">
        <x:v>50</x:v>
      </x:c>
      <x:c r="K568" s="75" t="n">
        <x:v>12</x:v>
      </x:c>
      <x:c r="L568" s="75" t="str">
        <x:v>R3_5of50_2of12</x:v>
      </x:c>
      <x:c r="M568" s="213" t="str">
        <x:v>S1_pre_2024_studio_change_sensitivity_only</x:v>
      </x:c>
      <x:c r="N568" s="213" t="str">
        <x:v>Friday</x:v>
      </x:c>
      <x:c r="O568" s="213" t="str">
        <x:v>LottoMetrics full-history export</x:v>
      </x:c>
      <x:c r="P568" s="213" t="str">
        <x:v>Archive-sourced; calendar/range/uniqueness validated</x:v>
      </x:c>
      <x:c r="Q568" s="54" t="str"/>
    </x:row>
    <x:row r="569">
      <x:c r="A569" s="74" t="n">
        <x:v>566</x:v>
      </x:c>
      <x:c r="B569" s="217" t="n">
        <x:v>44796</x:v>
      </x:c>
      <x:c r="C569" s="75" t="n">
        <x:v>2</x:v>
      </x:c>
      <x:c r="D569" s="75" t="n">
        <x:v>9</x:v>
      </x:c>
      <x:c r="E569" s="75" t="n">
        <x:v>18</x:v>
      </x:c>
      <x:c r="F569" s="75" t="n">
        <x:v>21</x:v>
      </x:c>
      <x:c r="G569" s="75" t="n">
        <x:v>39</x:v>
      </x:c>
      <x:c r="H569" s="75" t="n">
        <x:v>4</x:v>
      </x:c>
      <x:c r="I569" s="75" t="n">
        <x:v>10</x:v>
      </x:c>
      <x:c r="J569" s="75" t="n">
        <x:v>50</x:v>
      </x:c>
      <x:c r="K569" s="75" t="n">
        <x:v>12</x:v>
      </x:c>
      <x:c r="L569" s="75" t="str">
        <x:v>R3_5of50_2of12</x:v>
      </x:c>
      <x:c r="M569" s="213" t="str">
        <x:v>S1_pre_2024_studio_change_sensitivity_only</x:v>
      </x:c>
      <x:c r="N569" s="213" t="str">
        <x:v>Tuesday</x:v>
      </x:c>
      <x:c r="O569" s="213" t="str">
        <x:v>LottoMetrics full-history export</x:v>
      </x:c>
      <x:c r="P569" s="213" t="str">
        <x:v>Archive-sourced; calendar/range/uniqueness validated</x:v>
      </x:c>
      <x:c r="Q569" s="54" t="str"/>
    </x:row>
    <x:row r="570">
      <x:c r="A570" s="74" t="n">
        <x:v>567</x:v>
      </x:c>
      <x:c r="B570" s="217" t="n">
        <x:v>44799</x:v>
      </x:c>
      <x:c r="C570" s="75" t="n">
        <x:v>2</x:v>
      </x:c>
      <x:c r="D570" s="75" t="n">
        <x:v>6</x:v>
      </x:c>
      <x:c r="E570" s="75" t="n">
        <x:v>18</x:v>
      </x:c>
      <x:c r="F570" s="75" t="n">
        <x:v>29</x:v>
      </x:c>
      <x:c r="G570" s="75" t="n">
        <x:v>37</x:v>
      </x:c>
      <x:c r="H570" s="75" t="n">
        <x:v>10</x:v>
      </x:c>
      <x:c r="I570" s="75" t="n">
        <x:v>12</x:v>
      </x:c>
      <x:c r="J570" s="75" t="n">
        <x:v>50</x:v>
      </x:c>
      <x:c r="K570" s="75" t="n">
        <x:v>12</x:v>
      </x:c>
      <x:c r="L570" s="75" t="str">
        <x:v>R3_5of50_2of12</x:v>
      </x:c>
      <x:c r="M570" s="213" t="str">
        <x:v>S1_pre_2024_studio_change_sensitivity_only</x:v>
      </x:c>
      <x:c r="N570" s="213" t="str">
        <x:v>Friday</x:v>
      </x:c>
      <x:c r="O570" s="213" t="str">
        <x:v>LottoMetrics full-history export</x:v>
      </x:c>
      <x:c r="P570" s="213" t="str">
        <x:v>Archive-sourced; calendar/range/uniqueness validated</x:v>
      </x:c>
      <x:c r="Q570" s="54" t="str"/>
    </x:row>
    <x:row r="571">
      <x:c r="A571" s="74" t="n">
        <x:v>568</x:v>
      </x:c>
      <x:c r="B571" s="217" t="n">
        <x:v>44803</x:v>
      </x:c>
      <x:c r="C571" s="75" t="n">
        <x:v>18</x:v>
      </x:c>
      <x:c r="D571" s="75" t="n">
        <x:v>27</x:v>
      </x:c>
      <x:c r="E571" s="75" t="n">
        <x:v>41</x:v>
      </x:c>
      <x:c r="F571" s="75" t="n">
        <x:v>45</x:v>
      </x:c>
      <x:c r="G571" s="75" t="n">
        <x:v>49</x:v>
      </x:c>
      <x:c r="H571" s="75" t="n">
        <x:v>7</x:v>
      </x:c>
      <x:c r="I571" s="75" t="n">
        <x:v>9</x:v>
      </x:c>
      <x:c r="J571" s="75" t="n">
        <x:v>50</x:v>
      </x:c>
      <x:c r="K571" s="75" t="n">
        <x:v>12</x:v>
      </x:c>
      <x:c r="L571" s="75" t="str">
        <x:v>R3_5of50_2of12</x:v>
      </x:c>
      <x:c r="M571" s="213" t="str">
        <x:v>S1_pre_2024_studio_change_sensitivity_only</x:v>
      </x:c>
      <x:c r="N571" s="213" t="str">
        <x:v>Tuesday</x:v>
      </x:c>
      <x:c r="O571" s="213" t="str">
        <x:v>LottoMetrics full-history export</x:v>
      </x:c>
      <x:c r="P571" s="213" t="str">
        <x:v>Archive-sourced; calendar/range/uniqueness validated</x:v>
      </x:c>
      <x:c r="Q571" s="54" t="str"/>
    </x:row>
    <x:row r="572">
      <x:c r="A572" s="74" t="n">
        <x:v>569</x:v>
      </x:c>
      <x:c r="B572" s="217" t="n">
        <x:v>44806</x:v>
      </x:c>
      <x:c r="C572" s="75" t="n">
        <x:v>2</x:v>
      </x:c>
      <x:c r="D572" s="75" t="n">
        <x:v>5</x:v>
      </x:c>
      <x:c r="E572" s="75" t="n">
        <x:v>11</x:v>
      </x:c>
      <x:c r="F572" s="75" t="n">
        <x:v>22</x:v>
      </x:c>
      <x:c r="G572" s="75" t="n">
        <x:v>24</x:v>
      </x:c>
      <x:c r="H572" s="75" t="n">
        <x:v>7</x:v>
      </x:c>
      <x:c r="I572" s="75" t="n">
        <x:v>12</x:v>
      </x:c>
      <x:c r="J572" s="75" t="n">
        <x:v>50</x:v>
      </x:c>
      <x:c r="K572" s="75" t="n">
        <x:v>12</x:v>
      </x:c>
      <x:c r="L572" s="75" t="str">
        <x:v>R3_5of50_2of12</x:v>
      </x:c>
      <x:c r="M572" s="213" t="str">
        <x:v>S1_pre_2024_studio_change_sensitivity_only</x:v>
      </x:c>
      <x:c r="N572" s="213" t="str">
        <x:v>Friday</x:v>
      </x:c>
      <x:c r="O572" s="213" t="str">
        <x:v>LottoMetrics full-history export</x:v>
      </x:c>
      <x:c r="P572" s="213" t="str">
        <x:v>Archive-sourced; calendar/range/uniqueness validated</x:v>
      </x:c>
      <x:c r="Q572" s="54" t="str"/>
    </x:row>
    <x:row r="573">
      <x:c r="A573" s="74" t="n">
        <x:v>570</x:v>
      </x:c>
      <x:c r="B573" s="217" t="n">
        <x:v>44810</x:v>
      </x:c>
      <x:c r="C573" s="75" t="n">
        <x:v>6</x:v>
      </x:c>
      <x:c r="D573" s="75" t="n">
        <x:v>10</x:v>
      </x:c>
      <x:c r="E573" s="75" t="n">
        <x:v>11</x:v>
      </x:c>
      <x:c r="F573" s="75" t="n">
        <x:v>20</x:v>
      </x:c>
      <x:c r="G573" s="75" t="n">
        <x:v>38</x:v>
      </x:c>
      <x:c r="H573" s="75" t="n">
        <x:v>3</x:v>
      </x:c>
      <x:c r="I573" s="75" t="n">
        <x:v>9</x:v>
      </x:c>
      <x:c r="J573" s="75" t="n">
        <x:v>50</x:v>
      </x:c>
      <x:c r="K573" s="75" t="n">
        <x:v>12</x:v>
      </x:c>
      <x:c r="L573" s="75" t="str">
        <x:v>R3_5of50_2of12</x:v>
      </x:c>
      <x:c r="M573" s="213" t="str">
        <x:v>S1_pre_2024_studio_change_sensitivity_only</x:v>
      </x:c>
      <x:c r="N573" s="213" t="str">
        <x:v>Tuesday</x:v>
      </x:c>
      <x:c r="O573" s="213" t="str">
        <x:v>LottoMetrics full-history export</x:v>
      </x:c>
      <x:c r="P573" s="213" t="str">
        <x:v>Archive-sourced; calendar/range/uniqueness validated</x:v>
      </x:c>
      <x:c r="Q573" s="54" t="str"/>
    </x:row>
    <x:row r="574">
      <x:c r="A574" s="74" t="n">
        <x:v>571</x:v>
      </x:c>
      <x:c r="B574" s="217" t="n">
        <x:v>44813</x:v>
      </x:c>
      <x:c r="C574" s="75" t="n">
        <x:v>9</x:v>
      </x:c>
      <x:c r="D574" s="75" t="n">
        <x:v>18</x:v>
      </x:c>
      <x:c r="E574" s="75" t="n">
        <x:v>26</x:v>
      </x:c>
      <x:c r="F574" s="75" t="n">
        <x:v>41</x:v>
      </x:c>
      <x:c r="G574" s="75" t="n">
        <x:v>43</x:v>
      </x:c>
      <x:c r="H574" s="75" t="n">
        <x:v>4</x:v>
      </x:c>
      <x:c r="I574" s="75" t="n">
        <x:v>9</x:v>
      </x:c>
      <x:c r="J574" s="75" t="n">
        <x:v>50</x:v>
      </x:c>
      <x:c r="K574" s="75" t="n">
        <x:v>12</x:v>
      </x:c>
      <x:c r="L574" s="75" t="str">
        <x:v>R3_5of50_2of12</x:v>
      </x:c>
      <x:c r="M574" s="213" t="str">
        <x:v>S1_pre_2024_studio_change_sensitivity_only</x:v>
      </x:c>
      <x:c r="N574" s="213" t="str">
        <x:v>Friday</x:v>
      </x:c>
      <x:c r="O574" s="213" t="str">
        <x:v>LottoMetrics full-history export</x:v>
      </x:c>
      <x:c r="P574" s="213" t="str">
        <x:v>Archive-sourced; calendar/range/uniqueness validated</x:v>
      </x:c>
      <x:c r="Q574" s="54" t="str"/>
    </x:row>
    <x:row r="575">
      <x:c r="A575" s="74" t="n">
        <x:v>572</x:v>
      </x:c>
      <x:c r="B575" s="217" t="n">
        <x:v>44817</x:v>
      </x:c>
      <x:c r="C575" s="75" t="n">
        <x:v>20</x:v>
      </x:c>
      <x:c r="D575" s="75" t="n">
        <x:v>22</x:v>
      </x:c>
      <x:c r="E575" s="75" t="n">
        <x:v>26</x:v>
      </x:c>
      <x:c r="F575" s="75" t="n">
        <x:v>34</x:v>
      </x:c>
      <x:c r="G575" s="75" t="n">
        <x:v>40</x:v>
      </x:c>
      <x:c r="H575" s="75" t="n">
        <x:v>8</x:v>
      </x:c>
      <x:c r="I575" s="75" t="n">
        <x:v>12</x:v>
      </x:c>
      <x:c r="J575" s="75" t="n">
        <x:v>50</x:v>
      </x:c>
      <x:c r="K575" s="75" t="n">
        <x:v>12</x:v>
      </x:c>
      <x:c r="L575" s="75" t="str">
        <x:v>R3_5of50_2of12</x:v>
      </x:c>
      <x:c r="M575" s="213" t="str">
        <x:v>S1_pre_2024_studio_change_sensitivity_only</x:v>
      </x:c>
      <x:c r="N575" s="213" t="str">
        <x:v>Tuesday</x:v>
      </x:c>
      <x:c r="O575" s="213" t="str">
        <x:v>LottoMetrics full-history export</x:v>
      </x:c>
      <x:c r="P575" s="213" t="str">
        <x:v>Archive-sourced; calendar/range/uniqueness validated</x:v>
      </x:c>
      <x:c r="Q575" s="54" t="str"/>
    </x:row>
    <x:row r="576">
      <x:c r="A576" s="74" t="n">
        <x:v>573</x:v>
      </x:c>
      <x:c r="B576" s="217" t="n">
        <x:v>44820</x:v>
      </x:c>
      <x:c r="C576" s="75" t="n">
        <x:v>16</x:v>
      </x:c>
      <x:c r="D576" s="75" t="n">
        <x:v>25</x:v>
      </x:c>
      <x:c r="E576" s="75" t="n">
        <x:v>27</x:v>
      </x:c>
      <x:c r="F576" s="75" t="n">
        <x:v>41</x:v>
      </x:c>
      <x:c r="G576" s="75" t="n">
        <x:v>45</x:v>
      </x:c>
      <x:c r="H576" s="75" t="n">
        <x:v>3</x:v>
      </x:c>
      <x:c r="I576" s="75" t="n">
        <x:v>9</x:v>
      </x:c>
      <x:c r="J576" s="75" t="n">
        <x:v>50</x:v>
      </x:c>
      <x:c r="K576" s="75" t="n">
        <x:v>12</x:v>
      </x:c>
      <x:c r="L576" s="75" t="str">
        <x:v>R3_5of50_2of12</x:v>
      </x:c>
      <x:c r="M576" s="213" t="str">
        <x:v>S1_pre_2024_studio_change_sensitivity_only</x:v>
      </x:c>
      <x:c r="N576" s="213" t="str">
        <x:v>Friday</x:v>
      </x:c>
      <x:c r="O576" s="213" t="str">
        <x:v>LottoMetrics full-history export</x:v>
      </x:c>
      <x:c r="P576" s="213" t="str">
        <x:v>Archive-sourced; calendar/range/uniqueness validated</x:v>
      </x:c>
      <x:c r="Q576" s="54" t="str"/>
    </x:row>
    <x:row r="577">
      <x:c r="A577" s="74" t="n">
        <x:v>574</x:v>
      </x:c>
      <x:c r="B577" s="217" t="n">
        <x:v>44824</x:v>
      </x:c>
      <x:c r="C577" s="75" t="n">
        <x:v>2</x:v>
      </x:c>
      <x:c r="D577" s="75" t="n">
        <x:v>13</x:v>
      </x:c>
      <x:c r="E577" s="75" t="n">
        <x:v>22</x:v>
      </x:c>
      <x:c r="F577" s="75" t="n">
        <x:v>36</x:v>
      </x:c>
      <x:c r="G577" s="75" t="n">
        <x:v>40</x:v>
      </x:c>
      <x:c r="H577" s="75" t="n">
        <x:v>3</x:v>
      </x:c>
      <x:c r="I577" s="75" t="n">
        <x:v>5</x:v>
      </x:c>
      <x:c r="J577" s="75" t="n">
        <x:v>50</x:v>
      </x:c>
      <x:c r="K577" s="75" t="n">
        <x:v>12</x:v>
      </x:c>
      <x:c r="L577" s="75" t="str">
        <x:v>R3_5of50_2of12</x:v>
      </x:c>
      <x:c r="M577" s="213" t="str">
        <x:v>S1_pre_2024_studio_change_sensitivity_only</x:v>
      </x:c>
      <x:c r="N577" s="213" t="str">
        <x:v>Tuesday</x:v>
      </x:c>
      <x:c r="O577" s="213" t="str">
        <x:v>LottoMetrics full-history export</x:v>
      </x:c>
      <x:c r="P577" s="213" t="str">
        <x:v>Archive-sourced; calendar/range/uniqueness validated</x:v>
      </x:c>
      <x:c r="Q577" s="54" t="str"/>
    </x:row>
    <x:row r="578">
      <x:c r="A578" s="74" t="n">
        <x:v>575</x:v>
      </x:c>
      <x:c r="B578" s="217" t="n">
        <x:v>44827</x:v>
      </x:c>
      <x:c r="C578" s="75" t="n">
        <x:v>20</x:v>
      </x:c>
      <x:c r="D578" s="75" t="n">
        <x:v>30</x:v>
      </x:c>
      <x:c r="E578" s="75" t="n">
        <x:v>38</x:v>
      </x:c>
      <x:c r="F578" s="75" t="n">
        <x:v>39</x:v>
      </x:c>
      <x:c r="G578" s="75" t="n">
        <x:v>44</x:v>
      </x:c>
      <x:c r="H578" s="75" t="n">
        <x:v>2</x:v>
      </x:c>
      <x:c r="I578" s="75" t="n">
        <x:v>12</x:v>
      </x:c>
      <x:c r="J578" s="75" t="n">
        <x:v>50</x:v>
      </x:c>
      <x:c r="K578" s="75" t="n">
        <x:v>12</x:v>
      </x:c>
      <x:c r="L578" s="75" t="str">
        <x:v>R3_5of50_2of12</x:v>
      </x:c>
      <x:c r="M578" s="213" t="str">
        <x:v>S1_pre_2024_studio_change_sensitivity_only</x:v>
      </x:c>
      <x:c r="N578" s="213" t="str">
        <x:v>Friday</x:v>
      </x:c>
      <x:c r="O578" s="213" t="str">
        <x:v>LottoMetrics full-history export</x:v>
      </x:c>
      <x:c r="P578" s="213" t="str">
        <x:v>Archive-sourced; calendar/range/uniqueness validated</x:v>
      </x:c>
      <x:c r="Q578" s="54" t="str"/>
    </x:row>
    <x:row r="579">
      <x:c r="A579" s="74" t="n">
        <x:v>576</x:v>
      </x:c>
      <x:c r="B579" s="217" t="n">
        <x:v>44831</x:v>
      </x:c>
      <x:c r="C579" s="75" t="n">
        <x:v>15</x:v>
      </x:c>
      <x:c r="D579" s="75" t="n">
        <x:v>23</x:v>
      </x:c>
      <x:c r="E579" s="75" t="n">
        <x:v>26</x:v>
      </x:c>
      <x:c r="F579" s="75" t="n">
        <x:v>31</x:v>
      </x:c>
      <x:c r="G579" s="75" t="n">
        <x:v>44</x:v>
      </x:c>
      <x:c r="H579" s="75" t="n">
        <x:v>1</x:v>
      </x:c>
      <x:c r="I579" s="75" t="n">
        <x:v>8</x:v>
      </x:c>
      <x:c r="J579" s="75" t="n">
        <x:v>50</x:v>
      </x:c>
      <x:c r="K579" s="75" t="n">
        <x:v>12</x:v>
      </x:c>
      <x:c r="L579" s="75" t="str">
        <x:v>R3_5of50_2of12</x:v>
      </x:c>
      <x:c r="M579" s="213" t="str">
        <x:v>S1_pre_2024_studio_change_sensitivity_only</x:v>
      </x:c>
      <x:c r="N579" s="213" t="str">
        <x:v>Tuesday</x:v>
      </x:c>
      <x:c r="O579" s="213" t="str">
        <x:v>LottoMetrics full-history export</x:v>
      </x:c>
      <x:c r="P579" s="213" t="str">
        <x:v>Archive-sourced; calendar/range/uniqueness validated</x:v>
      </x:c>
      <x:c r="Q579" s="54" t="str"/>
    </x:row>
    <x:row r="580">
      <x:c r="A580" s="74" t="n">
        <x:v>577</x:v>
      </x:c>
      <x:c r="B580" s="217" t="n">
        <x:v>44834</x:v>
      </x:c>
      <x:c r="C580" s="75" t="n">
        <x:v>8</x:v>
      </x:c>
      <x:c r="D580" s="75" t="n">
        <x:v>12</x:v>
      </x:c>
      <x:c r="E580" s="75" t="n">
        <x:v>15</x:v>
      </x:c>
      <x:c r="F580" s="75" t="n">
        <x:v>17</x:v>
      </x:c>
      <x:c r="G580" s="75" t="n">
        <x:v>46</x:v>
      </x:c>
      <x:c r="H580" s="75" t="n">
        <x:v>1</x:v>
      </x:c>
      <x:c r="I580" s="75" t="n">
        <x:v>8</x:v>
      </x:c>
      <x:c r="J580" s="75" t="n">
        <x:v>50</x:v>
      </x:c>
      <x:c r="K580" s="75" t="n">
        <x:v>12</x:v>
      </x:c>
      <x:c r="L580" s="75" t="str">
        <x:v>R3_5of50_2of12</x:v>
      </x:c>
      <x:c r="M580" s="213" t="str">
        <x:v>S1_pre_2024_studio_change_sensitivity_only</x:v>
      </x:c>
      <x:c r="N580" s="213" t="str">
        <x:v>Friday</x:v>
      </x:c>
      <x:c r="O580" s="213" t="str">
        <x:v>LottoMetrics full-history export</x:v>
      </x:c>
      <x:c r="P580" s="213" t="str">
        <x:v>Archive-sourced; calendar/range/uniqueness validated</x:v>
      </x:c>
      <x:c r="Q580" s="54" t="str"/>
    </x:row>
    <x:row r="581">
      <x:c r="A581" s="74" t="n">
        <x:v>578</x:v>
      </x:c>
      <x:c r="B581" s="217" t="n">
        <x:v>44838</x:v>
      </x:c>
      <x:c r="C581" s="75" t="n">
        <x:v>17</x:v>
      </x:c>
      <x:c r="D581" s="75" t="n">
        <x:v>42</x:v>
      </x:c>
      <x:c r="E581" s="75" t="n">
        <x:v>43</x:v>
      </x:c>
      <x:c r="F581" s="75" t="n">
        <x:v>48</x:v>
      </x:c>
      <x:c r="G581" s="75" t="n">
        <x:v>49</x:v>
      </x:c>
      <x:c r="H581" s="75" t="n">
        <x:v>3</x:v>
      </x:c>
      <x:c r="I581" s="75" t="n">
        <x:v>7</x:v>
      </x:c>
      <x:c r="J581" s="75" t="n">
        <x:v>50</x:v>
      </x:c>
      <x:c r="K581" s="75" t="n">
        <x:v>12</x:v>
      </x:c>
      <x:c r="L581" s="75" t="str">
        <x:v>R3_5of50_2of12</x:v>
      </x:c>
      <x:c r="M581" s="213" t="str">
        <x:v>S1_pre_2024_studio_change_sensitivity_only</x:v>
      </x:c>
      <x:c r="N581" s="213" t="str">
        <x:v>Tuesday</x:v>
      </x:c>
      <x:c r="O581" s="213" t="str">
        <x:v>LottoMetrics full-history export</x:v>
      </x:c>
      <x:c r="P581" s="213" t="str">
        <x:v>Archive-sourced; calendar/range/uniqueness validated</x:v>
      </x:c>
      <x:c r="Q581" s="54" t="str"/>
    </x:row>
    <x:row r="582">
      <x:c r="A582" s="74" t="n">
        <x:v>579</x:v>
      </x:c>
      <x:c r="B582" s="217" t="n">
        <x:v>44841</x:v>
      </x:c>
      <x:c r="C582" s="75" t="n">
        <x:v>16</x:v>
      </x:c>
      <x:c r="D582" s="75" t="n">
        <x:v>17</x:v>
      </x:c>
      <x:c r="E582" s="75" t="n">
        <x:v>26</x:v>
      </x:c>
      <x:c r="F582" s="75" t="n">
        <x:v>30</x:v>
      </x:c>
      <x:c r="G582" s="75" t="n">
        <x:v>35</x:v>
      </x:c>
      <x:c r="H582" s="75" t="n">
        <x:v>3</x:v>
      </x:c>
      <x:c r="I582" s="75" t="n">
        <x:v>9</x:v>
      </x:c>
      <x:c r="J582" s="75" t="n">
        <x:v>50</x:v>
      </x:c>
      <x:c r="K582" s="75" t="n">
        <x:v>12</x:v>
      </x:c>
      <x:c r="L582" s="75" t="str">
        <x:v>R3_5of50_2of12</x:v>
      </x:c>
      <x:c r="M582" s="213" t="str">
        <x:v>S1_pre_2024_studio_change_sensitivity_only</x:v>
      </x:c>
      <x:c r="N582" s="213" t="str">
        <x:v>Friday</x:v>
      </x:c>
      <x:c r="O582" s="213" t="str">
        <x:v>LottoMetrics full-history export</x:v>
      </x:c>
      <x:c r="P582" s="213" t="str">
        <x:v>Archive-sourced; calendar/range/uniqueness validated</x:v>
      </x:c>
      <x:c r="Q582" s="54" t="str"/>
    </x:row>
    <x:row r="583">
      <x:c r="A583" s="74" t="n">
        <x:v>580</x:v>
      </x:c>
      <x:c r="B583" s="217" t="n">
        <x:v>44845</x:v>
      </x:c>
      <x:c r="C583" s="75" t="n">
        <x:v>7</x:v>
      </x:c>
      <x:c r="D583" s="75" t="n">
        <x:v>35</x:v>
      </x:c>
      <x:c r="E583" s="75" t="n">
        <x:v>36</x:v>
      </x:c>
      <x:c r="F583" s="75" t="n">
        <x:v>39</x:v>
      </x:c>
      <x:c r="G583" s="75" t="n">
        <x:v>47</x:v>
      </x:c>
      <x:c r="H583" s="75" t="n">
        <x:v>3</x:v>
      </x:c>
      <x:c r="I583" s="75" t="n">
        <x:v>8</x:v>
      </x:c>
      <x:c r="J583" s="75" t="n">
        <x:v>50</x:v>
      </x:c>
      <x:c r="K583" s="75" t="n">
        <x:v>12</x:v>
      </x:c>
      <x:c r="L583" s="75" t="str">
        <x:v>R3_5of50_2of12</x:v>
      </x:c>
      <x:c r="M583" s="213" t="str">
        <x:v>S1_pre_2024_studio_change_sensitivity_only</x:v>
      </x:c>
      <x:c r="N583" s="213" t="str">
        <x:v>Tuesday</x:v>
      </x:c>
      <x:c r="O583" s="213" t="str">
        <x:v>LottoMetrics full-history export</x:v>
      </x:c>
      <x:c r="P583" s="213" t="str">
        <x:v>Archive-sourced; calendar/range/uniqueness validated</x:v>
      </x:c>
      <x:c r="Q583" s="54" t="str"/>
    </x:row>
    <x:row r="584">
      <x:c r="A584" s="74" t="n">
        <x:v>581</x:v>
      </x:c>
      <x:c r="B584" s="217" t="n">
        <x:v>44848</x:v>
      </x:c>
      <x:c r="C584" s="75" t="n">
        <x:v>3</x:v>
      </x:c>
      <x:c r="D584" s="75" t="n">
        <x:v>5</x:v>
      </x:c>
      <x:c r="E584" s="75" t="n">
        <x:v>8</x:v>
      </x:c>
      <x:c r="F584" s="75" t="n">
        <x:v>10</x:v>
      </x:c>
      <x:c r="G584" s="75" t="n">
        <x:v>44</x:v>
      </x:c>
      <x:c r="H584" s="75" t="n">
        <x:v>7</x:v>
      </x:c>
      <x:c r="I584" s="75" t="n">
        <x:v>12</x:v>
      </x:c>
      <x:c r="J584" s="75" t="n">
        <x:v>50</x:v>
      </x:c>
      <x:c r="K584" s="75" t="n">
        <x:v>12</x:v>
      </x:c>
      <x:c r="L584" s="75" t="str">
        <x:v>R3_5of50_2of12</x:v>
      </x:c>
      <x:c r="M584" s="213" t="str">
        <x:v>S1_pre_2024_studio_change_sensitivity_only</x:v>
      </x:c>
      <x:c r="N584" s="213" t="str">
        <x:v>Friday</x:v>
      </x:c>
      <x:c r="O584" s="213" t="str">
        <x:v>LottoMetrics full-history export</x:v>
      </x:c>
      <x:c r="P584" s="213" t="str">
        <x:v>Archive-sourced; calendar/range/uniqueness validated</x:v>
      </x:c>
      <x:c r="Q584" s="54" t="str"/>
    </x:row>
    <x:row r="585">
      <x:c r="A585" s="74" t="n">
        <x:v>582</x:v>
      </x:c>
      <x:c r="B585" s="217" t="n">
        <x:v>44852</x:v>
      </x:c>
      <x:c r="C585" s="75" t="n">
        <x:v>13</x:v>
      </x:c>
      <x:c r="D585" s="75" t="n">
        <x:v>18</x:v>
      </x:c>
      <x:c r="E585" s="75" t="n">
        <x:v>24</x:v>
      </x:c>
      <x:c r="F585" s="75" t="n">
        <x:v>34</x:v>
      </x:c>
      <x:c r="G585" s="75" t="n">
        <x:v>50</x:v>
      </x:c>
      <x:c r="H585" s="75" t="n">
        <x:v>5</x:v>
      </x:c>
      <x:c r="I585" s="75" t="n">
        <x:v>6</x:v>
      </x:c>
      <x:c r="J585" s="75" t="n">
        <x:v>50</x:v>
      </x:c>
      <x:c r="K585" s="75" t="n">
        <x:v>12</x:v>
      </x:c>
      <x:c r="L585" s="75" t="str">
        <x:v>R3_5of50_2of12</x:v>
      </x:c>
      <x:c r="M585" s="213" t="str">
        <x:v>S1_pre_2024_studio_change_sensitivity_only</x:v>
      </x:c>
      <x:c r="N585" s="213" t="str">
        <x:v>Tuesday</x:v>
      </x:c>
      <x:c r="O585" s="213" t="str">
        <x:v>LottoMetrics full-history export</x:v>
      </x:c>
      <x:c r="P585" s="213" t="str">
        <x:v>Archive-sourced; calendar/range/uniqueness validated</x:v>
      </x:c>
      <x:c r="Q585" s="54" t="str"/>
    </x:row>
    <x:row r="586">
      <x:c r="A586" s="74" t="n">
        <x:v>583</x:v>
      </x:c>
      <x:c r="B586" s="217" t="n">
        <x:v>44855</x:v>
      </x:c>
      <x:c r="C586" s="75" t="n">
        <x:v>2</x:v>
      </x:c>
      <x:c r="D586" s="75" t="n">
        <x:v>11</x:v>
      </x:c>
      <x:c r="E586" s="75" t="n">
        <x:v>18</x:v>
      </x:c>
      <x:c r="F586" s="75" t="n">
        <x:v>47</x:v>
      </x:c>
      <x:c r="G586" s="75" t="n">
        <x:v>49</x:v>
      </x:c>
      <x:c r="H586" s="75" t="n">
        <x:v>2</x:v>
      </x:c>
      <x:c r="I586" s="75" t="n">
        <x:v>7</x:v>
      </x:c>
      <x:c r="J586" s="75" t="n">
        <x:v>50</x:v>
      </x:c>
      <x:c r="K586" s="75" t="n">
        <x:v>12</x:v>
      </x:c>
      <x:c r="L586" s="75" t="str">
        <x:v>R3_5of50_2of12</x:v>
      </x:c>
      <x:c r="M586" s="213" t="str">
        <x:v>S1_pre_2024_studio_change_sensitivity_only</x:v>
      </x:c>
      <x:c r="N586" s="213" t="str">
        <x:v>Friday</x:v>
      </x:c>
      <x:c r="O586" s="213" t="str">
        <x:v>LottoMetrics full-history export</x:v>
      </x:c>
      <x:c r="P586" s="213" t="str">
        <x:v>Archive-sourced; calendar/range/uniqueness validated</x:v>
      </x:c>
      <x:c r="Q586" s="54" t="str"/>
    </x:row>
    <x:row r="587">
      <x:c r="A587" s="74" t="n">
        <x:v>584</x:v>
      </x:c>
      <x:c r="B587" s="217" t="n">
        <x:v>44859</x:v>
      </x:c>
      <x:c r="C587" s="75" t="n">
        <x:v>17</x:v>
      </x:c>
      <x:c r="D587" s="75" t="n">
        <x:v>26</x:v>
      </x:c>
      <x:c r="E587" s="75" t="n">
        <x:v>35</x:v>
      </x:c>
      <x:c r="F587" s="75" t="n">
        <x:v>37</x:v>
      </x:c>
      <x:c r="G587" s="75" t="n">
        <x:v>39</x:v>
      </x:c>
      <x:c r="H587" s="75" t="n">
        <x:v>3</x:v>
      </x:c>
      <x:c r="I587" s="75" t="n">
        <x:v>4</x:v>
      </x:c>
      <x:c r="J587" s="75" t="n">
        <x:v>50</x:v>
      </x:c>
      <x:c r="K587" s="75" t="n">
        <x:v>12</x:v>
      </x:c>
      <x:c r="L587" s="75" t="str">
        <x:v>R3_5of50_2of12</x:v>
      </x:c>
      <x:c r="M587" s="213" t="str">
        <x:v>S1_pre_2024_studio_change_sensitivity_only</x:v>
      </x:c>
      <x:c r="N587" s="213" t="str">
        <x:v>Tuesday</x:v>
      </x:c>
      <x:c r="O587" s="213" t="str">
        <x:v>LottoMetrics full-history export</x:v>
      </x:c>
      <x:c r="P587" s="213" t="str">
        <x:v>Archive-sourced; calendar/range/uniqueness validated</x:v>
      </x:c>
      <x:c r="Q587" s="54" t="str"/>
    </x:row>
    <x:row r="588">
      <x:c r="A588" s="74" t="n">
        <x:v>585</x:v>
      </x:c>
      <x:c r="B588" s="217" t="n">
        <x:v>44862</x:v>
      </x:c>
      <x:c r="C588" s="75" t="n">
        <x:v>4</x:v>
      </x:c>
      <x:c r="D588" s="75" t="n">
        <x:v>5</x:v>
      </x:c>
      <x:c r="E588" s="75" t="n">
        <x:v>21</x:v>
      </x:c>
      <x:c r="F588" s="75" t="n">
        <x:v>30</x:v>
      </x:c>
      <x:c r="G588" s="75" t="n">
        <x:v>43</x:v>
      </x:c>
      <x:c r="H588" s="75" t="n">
        <x:v>5</x:v>
      </x:c>
      <x:c r="I588" s="75" t="n">
        <x:v>11</x:v>
      </x:c>
      <x:c r="J588" s="75" t="n">
        <x:v>50</x:v>
      </x:c>
      <x:c r="K588" s="75" t="n">
        <x:v>12</x:v>
      </x:c>
      <x:c r="L588" s="75" t="str">
        <x:v>R3_5of50_2of12</x:v>
      </x:c>
      <x:c r="M588" s="213" t="str">
        <x:v>S1_pre_2024_studio_change_sensitivity_only</x:v>
      </x:c>
      <x:c r="N588" s="213" t="str">
        <x:v>Friday</x:v>
      </x:c>
      <x:c r="O588" s="213" t="str">
        <x:v>LottoMetrics full-history export</x:v>
      </x:c>
      <x:c r="P588" s="213" t="str">
        <x:v>Archive-sourced; calendar/range/uniqueness validated</x:v>
      </x:c>
      <x:c r="Q588" s="54" t="str"/>
    </x:row>
    <x:row r="589">
      <x:c r="A589" s="74" t="n">
        <x:v>586</x:v>
      </x:c>
      <x:c r="B589" s="217" t="n">
        <x:v>44866</x:v>
      </x:c>
      <x:c r="C589" s="75" t="n">
        <x:v>18</x:v>
      </x:c>
      <x:c r="D589" s="75" t="n">
        <x:v>32</x:v>
      </x:c>
      <x:c r="E589" s="75" t="n">
        <x:v>39</x:v>
      </x:c>
      <x:c r="F589" s="75" t="n">
        <x:v>42</x:v>
      </x:c>
      <x:c r="G589" s="75" t="n">
        <x:v>44</x:v>
      </x:c>
      <x:c r="H589" s="75" t="n">
        <x:v>4</x:v>
      </x:c>
      <x:c r="I589" s="75" t="n">
        <x:v>7</x:v>
      </x:c>
      <x:c r="J589" s="75" t="n">
        <x:v>50</x:v>
      </x:c>
      <x:c r="K589" s="75" t="n">
        <x:v>12</x:v>
      </x:c>
      <x:c r="L589" s="75" t="str">
        <x:v>R3_5of50_2of12</x:v>
      </x:c>
      <x:c r="M589" s="213" t="str">
        <x:v>S1_pre_2024_studio_change_sensitivity_only</x:v>
      </x:c>
      <x:c r="N589" s="213" t="str">
        <x:v>Tuesday</x:v>
      </x:c>
      <x:c r="O589" s="213" t="str">
        <x:v>LottoMetrics full-history export</x:v>
      </x:c>
      <x:c r="P589" s="213" t="str">
        <x:v>Archive-sourced; calendar/range/uniqueness validated</x:v>
      </x:c>
      <x:c r="Q589" s="54" t="str"/>
    </x:row>
    <x:row r="590">
      <x:c r="A590" s="74" t="n">
        <x:v>587</x:v>
      </x:c>
      <x:c r="B590" s="217" t="n">
        <x:v>44869</x:v>
      </x:c>
      <x:c r="C590" s="75" t="n">
        <x:v>7</x:v>
      </x:c>
      <x:c r="D590" s="75" t="n">
        <x:v>9</x:v>
      </x:c>
      <x:c r="E590" s="75" t="n">
        <x:v>40</x:v>
      </x:c>
      <x:c r="F590" s="75" t="n">
        <x:v>48</x:v>
      </x:c>
      <x:c r="G590" s="75" t="n">
        <x:v>49</x:v>
      </x:c>
      <x:c r="H590" s="75" t="n">
        <x:v>7</x:v>
      </x:c>
      <x:c r="I590" s="75" t="n">
        <x:v>8</x:v>
      </x:c>
      <x:c r="J590" s="75" t="n">
        <x:v>50</x:v>
      </x:c>
      <x:c r="K590" s="75" t="n">
        <x:v>12</x:v>
      </x:c>
      <x:c r="L590" s="75" t="str">
        <x:v>R3_5of50_2of12</x:v>
      </x:c>
      <x:c r="M590" s="213" t="str">
        <x:v>S1_pre_2024_studio_change_sensitivity_only</x:v>
      </x:c>
      <x:c r="N590" s="213" t="str">
        <x:v>Friday</x:v>
      </x:c>
      <x:c r="O590" s="213" t="str">
        <x:v>LottoMetrics full-history export</x:v>
      </x:c>
      <x:c r="P590" s="213" t="str">
        <x:v>Archive-sourced; calendar/range/uniqueness validated</x:v>
      </x:c>
      <x:c r="Q590" s="54" t="str"/>
    </x:row>
    <x:row r="591">
      <x:c r="A591" s="74" t="n">
        <x:v>588</x:v>
      </x:c>
      <x:c r="B591" s="217" t="n">
        <x:v>44873</x:v>
      </x:c>
      <x:c r="C591" s="75" t="n">
        <x:v>15</x:v>
      </x:c>
      <x:c r="D591" s="75" t="n">
        <x:v>17</x:v>
      </x:c>
      <x:c r="E591" s="75" t="n">
        <x:v>23</x:v>
      </x:c>
      <x:c r="F591" s="75" t="n">
        <x:v>35</x:v>
      </x:c>
      <x:c r="G591" s="75" t="n">
        <x:v>38</x:v>
      </x:c>
      <x:c r="H591" s="75" t="n">
        <x:v>4</x:v>
      </x:c>
      <x:c r="I591" s="75" t="n">
        <x:v>9</x:v>
      </x:c>
      <x:c r="J591" s="75" t="n">
        <x:v>50</x:v>
      </x:c>
      <x:c r="K591" s="75" t="n">
        <x:v>12</x:v>
      </x:c>
      <x:c r="L591" s="75" t="str">
        <x:v>R3_5of50_2of12</x:v>
      </x:c>
      <x:c r="M591" s="213" t="str">
        <x:v>S1_pre_2024_studio_change_sensitivity_only</x:v>
      </x:c>
      <x:c r="N591" s="213" t="str">
        <x:v>Tuesday</x:v>
      </x:c>
      <x:c r="O591" s="213" t="str">
        <x:v>LottoMetrics full-history export</x:v>
      </x:c>
      <x:c r="P591" s="213" t="str">
        <x:v>Archive-sourced; calendar/range/uniqueness validated</x:v>
      </x:c>
      <x:c r="Q591" s="54" t="str"/>
    </x:row>
    <x:row r="592">
      <x:c r="A592" s="74" t="n">
        <x:v>589</x:v>
      </x:c>
      <x:c r="B592" s="217" t="n">
        <x:v>44876</x:v>
      </x:c>
      <x:c r="C592" s="75" t="n">
        <x:v>11</x:v>
      </x:c>
      <x:c r="D592" s="75" t="n">
        <x:v>15</x:v>
      </x:c>
      <x:c r="E592" s="75" t="n">
        <x:v>24</x:v>
      </x:c>
      <x:c r="F592" s="75" t="n">
        <x:v>28</x:v>
      </x:c>
      <x:c r="G592" s="75" t="n">
        <x:v>41</x:v>
      </x:c>
      <x:c r="H592" s="75" t="n">
        <x:v>3</x:v>
      </x:c>
      <x:c r="I592" s="75" t="n">
        <x:v>12</x:v>
      </x:c>
      <x:c r="J592" s="75" t="n">
        <x:v>50</x:v>
      </x:c>
      <x:c r="K592" s="75" t="n">
        <x:v>12</x:v>
      </x:c>
      <x:c r="L592" s="75" t="str">
        <x:v>R3_5of50_2of12</x:v>
      </x:c>
      <x:c r="M592" s="213" t="str">
        <x:v>S1_pre_2024_studio_change_sensitivity_only</x:v>
      </x:c>
      <x:c r="N592" s="213" t="str">
        <x:v>Friday</x:v>
      </x:c>
      <x:c r="O592" s="213" t="str">
        <x:v>LottoMetrics full-history export</x:v>
      </x:c>
      <x:c r="P592" s="213" t="str">
        <x:v>Archive-sourced; calendar/range/uniqueness validated</x:v>
      </x:c>
      <x:c r="Q592" s="54" t="str"/>
    </x:row>
    <x:row r="593">
      <x:c r="A593" s="74" t="n">
        <x:v>590</x:v>
      </x:c>
      <x:c r="B593" s="217" t="n">
        <x:v>44880</x:v>
      </x:c>
      <x:c r="C593" s="75" t="n">
        <x:v>1</x:v>
      </x:c>
      <x:c r="D593" s="75" t="n">
        <x:v>7</x:v>
      </x:c>
      <x:c r="E593" s="75" t="n">
        <x:v>11</x:v>
      </x:c>
      <x:c r="F593" s="75" t="n">
        <x:v>33</x:v>
      </x:c>
      <x:c r="G593" s="75" t="n">
        <x:v>48</x:v>
      </x:c>
      <x:c r="H593" s="75" t="n">
        <x:v>9</x:v>
      </x:c>
      <x:c r="I593" s="75" t="n">
        <x:v>12</x:v>
      </x:c>
      <x:c r="J593" s="75" t="n">
        <x:v>50</x:v>
      </x:c>
      <x:c r="K593" s="75" t="n">
        <x:v>12</x:v>
      </x:c>
      <x:c r="L593" s="75" t="str">
        <x:v>R3_5of50_2of12</x:v>
      </x:c>
      <x:c r="M593" s="213" t="str">
        <x:v>S1_pre_2024_studio_change_sensitivity_only</x:v>
      </x:c>
      <x:c r="N593" s="213" t="str">
        <x:v>Tuesday</x:v>
      </x:c>
      <x:c r="O593" s="213" t="str">
        <x:v>LottoMetrics full-history export</x:v>
      </x:c>
      <x:c r="P593" s="213" t="str">
        <x:v>Archive-sourced; calendar/range/uniqueness validated</x:v>
      </x:c>
      <x:c r="Q593" s="54" t="str"/>
    </x:row>
    <x:row r="594">
      <x:c r="A594" s="74" t="n">
        <x:v>591</x:v>
      </x:c>
      <x:c r="B594" s="217" t="n">
        <x:v>44883</x:v>
      </x:c>
      <x:c r="C594" s="75" t="n">
        <x:v>13</x:v>
      </x:c>
      <x:c r="D594" s="75" t="n">
        <x:v>14</x:v>
      </x:c>
      <x:c r="E594" s="75" t="n">
        <x:v>25</x:v>
      </x:c>
      <x:c r="F594" s="75" t="n">
        <x:v>28</x:v>
      </x:c>
      <x:c r="G594" s="75" t="n">
        <x:v>42</x:v>
      </x:c>
      <x:c r="H594" s="75" t="n">
        <x:v>11</x:v>
      </x:c>
      <x:c r="I594" s="75" t="n">
        <x:v>12</x:v>
      </x:c>
      <x:c r="J594" s="75" t="n">
        <x:v>50</x:v>
      </x:c>
      <x:c r="K594" s="75" t="n">
        <x:v>12</x:v>
      </x:c>
      <x:c r="L594" s="75" t="str">
        <x:v>R3_5of50_2of12</x:v>
      </x:c>
      <x:c r="M594" s="213" t="str">
        <x:v>S1_pre_2024_studio_change_sensitivity_only</x:v>
      </x:c>
      <x:c r="N594" s="213" t="str">
        <x:v>Friday</x:v>
      </x:c>
      <x:c r="O594" s="213" t="str">
        <x:v>LottoMetrics full-history export</x:v>
      </x:c>
      <x:c r="P594" s="213" t="str">
        <x:v>Archive-sourced; calendar/range/uniqueness validated</x:v>
      </x:c>
      <x:c r="Q594" s="54" t="str"/>
    </x:row>
    <x:row r="595">
      <x:c r="A595" s="74" t="n">
        <x:v>592</x:v>
      </x:c>
      <x:c r="B595" s="217" t="n">
        <x:v>44887</x:v>
      </x:c>
      <x:c r="C595" s="75" t="n">
        <x:v>11</x:v>
      </x:c>
      <x:c r="D595" s="75" t="n">
        <x:v>20</x:v>
      </x:c>
      <x:c r="E595" s="75" t="n">
        <x:v>23</x:v>
      </x:c>
      <x:c r="F595" s="75" t="n">
        <x:v>37</x:v>
      </x:c>
      <x:c r="G595" s="75" t="n">
        <x:v>46</x:v>
      </x:c>
      <x:c r="H595" s="75" t="n">
        <x:v>9</x:v>
      </x:c>
      <x:c r="I595" s="75" t="n">
        <x:v>11</x:v>
      </x:c>
      <x:c r="J595" s="75" t="n">
        <x:v>50</x:v>
      </x:c>
      <x:c r="K595" s="75" t="n">
        <x:v>12</x:v>
      </x:c>
      <x:c r="L595" s="75" t="str">
        <x:v>R3_5of50_2of12</x:v>
      </x:c>
      <x:c r="M595" s="213" t="str">
        <x:v>S1_pre_2024_studio_change_sensitivity_only</x:v>
      </x:c>
      <x:c r="N595" s="213" t="str">
        <x:v>Tuesday</x:v>
      </x:c>
      <x:c r="O595" s="213" t="str">
        <x:v>LottoMetrics full-history export</x:v>
      </x:c>
      <x:c r="P595" s="213" t="str">
        <x:v>Archive-sourced; calendar/range/uniqueness validated</x:v>
      </x:c>
      <x:c r="Q595" s="54" t="str"/>
    </x:row>
    <x:row r="596">
      <x:c r="A596" s="74" t="n">
        <x:v>593</x:v>
      </x:c>
      <x:c r="B596" s="217" t="n">
        <x:v>44890</x:v>
      </x:c>
      <x:c r="C596" s="75" t="n">
        <x:v>4</x:v>
      </x:c>
      <x:c r="D596" s="75" t="n">
        <x:v>6</x:v>
      </x:c>
      <x:c r="E596" s="75" t="n">
        <x:v>8</x:v>
      </x:c>
      <x:c r="F596" s="75" t="n">
        <x:v>42</x:v>
      </x:c>
      <x:c r="G596" s="75" t="n">
        <x:v>48</x:v>
      </x:c>
      <x:c r="H596" s="75" t="n">
        <x:v>6</x:v>
      </x:c>
      <x:c r="I596" s="75" t="n">
        <x:v>11</x:v>
      </x:c>
      <x:c r="J596" s="75" t="n">
        <x:v>50</x:v>
      </x:c>
      <x:c r="K596" s="75" t="n">
        <x:v>12</x:v>
      </x:c>
      <x:c r="L596" s="75" t="str">
        <x:v>R3_5of50_2of12</x:v>
      </x:c>
      <x:c r="M596" s="213" t="str">
        <x:v>S1_pre_2024_studio_change_sensitivity_only</x:v>
      </x:c>
      <x:c r="N596" s="213" t="str">
        <x:v>Friday</x:v>
      </x:c>
      <x:c r="O596" s="213" t="str">
        <x:v>LottoMetrics full-history export</x:v>
      </x:c>
      <x:c r="P596" s="213" t="str">
        <x:v>Archive-sourced; calendar/range/uniqueness validated</x:v>
      </x:c>
      <x:c r="Q596" s="54" t="str"/>
    </x:row>
    <x:row r="597">
      <x:c r="A597" s="74" t="n">
        <x:v>594</x:v>
      </x:c>
      <x:c r="B597" s="217" t="n">
        <x:v>44894</x:v>
      </x:c>
      <x:c r="C597" s="75" t="n">
        <x:v>9</x:v>
      </x:c>
      <x:c r="D597" s="75" t="n">
        <x:v>16</x:v>
      </x:c>
      <x:c r="E597" s="75" t="n">
        <x:v>32</x:v>
      </x:c>
      <x:c r="F597" s="75" t="n">
        <x:v>37</x:v>
      </x:c>
      <x:c r="G597" s="75" t="n">
        <x:v>46</x:v>
      </x:c>
      <x:c r="H597" s="75" t="n">
        <x:v>7</x:v>
      </x:c>
      <x:c r="I597" s="75" t="n">
        <x:v>12</x:v>
      </x:c>
      <x:c r="J597" s="75" t="n">
        <x:v>50</x:v>
      </x:c>
      <x:c r="K597" s="75" t="n">
        <x:v>12</x:v>
      </x:c>
      <x:c r="L597" s="75" t="str">
        <x:v>R3_5of50_2of12</x:v>
      </x:c>
      <x:c r="M597" s="213" t="str">
        <x:v>S1_pre_2024_studio_change_sensitivity_only</x:v>
      </x:c>
      <x:c r="N597" s="213" t="str">
        <x:v>Tuesday</x:v>
      </x:c>
      <x:c r="O597" s="213" t="str">
        <x:v>LottoMetrics full-history export</x:v>
      </x:c>
      <x:c r="P597" s="213" t="str">
        <x:v>Archive-sourced; calendar/range/uniqueness validated</x:v>
      </x:c>
      <x:c r="Q597" s="54" t="str"/>
    </x:row>
    <x:row r="598">
      <x:c r="A598" s="74" t="n">
        <x:v>595</x:v>
      </x:c>
      <x:c r="B598" s="217" t="n">
        <x:v>44897</x:v>
      </x:c>
      <x:c r="C598" s="75" t="n">
        <x:v>6</x:v>
      </x:c>
      <x:c r="D598" s="75" t="n">
        <x:v>12</x:v>
      </x:c>
      <x:c r="E598" s="75" t="n">
        <x:v>25</x:v>
      </x:c>
      <x:c r="F598" s="75" t="n">
        <x:v>48</x:v>
      </x:c>
      <x:c r="G598" s="75" t="n">
        <x:v>49</x:v>
      </x:c>
      <x:c r="H598" s="75" t="n">
        <x:v>11</x:v>
      </x:c>
      <x:c r="I598" s="75" t="n">
        <x:v>12</x:v>
      </x:c>
      <x:c r="J598" s="75" t="n">
        <x:v>50</x:v>
      </x:c>
      <x:c r="K598" s="75" t="n">
        <x:v>12</x:v>
      </x:c>
      <x:c r="L598" s="75" t="str">
        <x:v>R3_5of50_2of12</x:v>
      </x:c>
      <x:c r="M598" s="213" t="str">
        <x:v>S1_pre_2024_studio_change_sensitivity_only</x:v>
      </x:c>
      <x:c r="N598" s="213" t="str">
        <x:v>Friday</x:v>
      </x:c>
      <x:c r="O598" s="213" t="str">
        <x:v>LottoMetrics full-history export</x:v>
      </x:c>
      <x:c r="P598" s="213" t="str">
        <x:v>Archive-sourced; calendar/range/uniqueness validated</x:v>
      </x:c>
      <x:c r="Q598" s="54" t="str"/>
    </x:row>
    <x:row r="599">
      <x:c r="A599" s="74" t="n">
        <x:v>596</x:v>
      </x:c>
      <x:c r="B599" s="217" t="n">
        <x:v>44901</x:v>
      </x:c>
      <x:c r="C599" s="75" t="n">
        <x:v>8</x:v>
      </x:c>
      <x:c r="D599" s="75" t="n">
        <x:v>12</x:v>
      </x:c>
      <x:c r="E599" s="75" t="n">
        <x:v>37</x:v>
      </x:c>
      <x:c r="F599" s="75" t="n">
        <x:v>44</x:v>
      </x:c>
      <x:c r="G599" s="75" t="n">
        <x:v>47</x:v>
      </x:c>
      <x:c r="H599" s="75" t="n">
        <x:v>7</x:v>
      </x:c>
      <x:c r="I599" s="75" t="n">
        <x:v>10</x:v>
      </x:c>
      <x:c r="J599" s="75" t="n">
        <x:v>50</x:v>
      </x:c>
      <x:c r="K599" s="75" t="n">
        <x:v>12</x:v>
      </x:c>
      <x:c r="L599" s="75" t="str">
        <x:v>R3_5of50_2of12</x:v>
      </x:c>
      <x:c r="M599" s="213" t="str">
        <x:v>S1_pre_2024_studio_change_sensitivity_only</x:v>
      </x:c>
      <x:c r="N599" s="213" t="str">
        <x:v>Tuesday</x:v>
      </x:c>
      <x:c r="O599" s="213" t="str">
        <x:v>LottoMetrics full-history export</x:v>
      </x:c>
      <x:c r="P599" s="213" t="str">
        <x:v>Archive-sourced; calendar/range/uniqueness validated</x:v>
      </x:c>
      <x:c r="Q599" s="54" t="str"/>
    </x:row>
    <x:row r="600">
      <x:c r="A600" s="74" t="n">
        <x:v>597</x:v>
      </x:c>
      <x:c r="B600" s="217" t="n">
        <x:v>44904</x:v>
      </x:c>
      <x:c r="C600" s="75" t="n">
        <x:v>6</x:v>
      </x:c>
      <x:c r="D600" s="75" t="n">
        <x:v>8</x:v>
      </x:c>
      <x:c r="E600" s="75" t="n">
        <x:v>13</x:v>
      </x:c>
      <x:c r="F600" s="75" t="n">
        <x:v>21</x:v>
      </x:c>
      <x:c r="G600" s="75" t="n">
        <x:v>32</x:v>
      </x:c>
      <x:c r="H600" s="75" t="n">
        <x:v>3</x:v>
      </x:c>
      <x:c r="I600" s="75" t="n">
        <x:v>6</x:v>
      </x:c>
      <x:c r="J600" s="75" t="n">
        <x:v>50</x:v>
      </x:c>
      <x:c r="K600" s="75" t="n">
        <x:v>12</x:v>
      </x:c>
      <x:c r="L600" s="75" t="str">
        <x:v>R3_5of50_2of12</x:v>
      </x:c>
      <x:c r="M600" s="213" t="str">
        <x:v>S1_pre_2024_studio_change_sensitivity_only</x:v>
      </x:c>
      <x:c r="N600" s="213" t="str">
        <x:v>Friday</x:v>
      </x:c>
      <x:c r="O600" s="213" t="str">
        <x:v>LottoMetrics full-history export</x:v>
      </x:c>
      <x:c r="P600" s="213" t="str">
        <x:v>Archive-sourced; calendar/range/uniqueness validated</x:v>
      </x:c>
      <x:c r="Q600" s="54" t="str"/>
    </x:row>
    <x:row r="601">
      <x:c r="A601" s="74" t="n">
        <x:v>598</x:v>
      </x:c>
      <x:c r="B601" s="217" t="n">
        <x:v>44908</x:v>
      </x:c>
      <x:c r="C601" s="75" t="n">
        <x:v>3</x:v>
      </x:c>
      <x:c r="D601" s="75" t="n">
        <x:v>13</x:v>
      </x:c>
      <x:c r="E601" s="75" t="n">
        <x:v>33</x:v>
      </x:c>
      <x:c r="F601" s="75" t="n">
        <x:v>36</x:v>
      </x:c>
      <x:c r="G601" s="75" t="n">
        <x:v>47</x:v>
      </x:c>
      <x:c r="H601" s="75" t="n">
        <x:v>3</x:v>
      </x:c>
      <x:c r="I601" s="75" t="n">
        <x:v>11</x:v>
      </x:c>
      <x:c r="J601" s="75" t="n">
        <x:v>50</x:v>
      </x:c>
      <x:c r="K601" s="75" t="n">
        <x:v>12</x:v>
      </x:c>
      <x:c r="L601" s="75" t="str">
        <x:v>R3_5of50_2of12</x:v>
      </x:c>
      <x:c r="M601" s="213" t="str">
        <x:v>S1_pre_2024_studio_change_sensitivity_only</x:v>
      </x:c>
      <x:c r="N601" s="213" t="str">
        <x:v>Tuesday</x:v>
      </x:c>
      <x:c r="O601" s="213" t="str">
        <x:v>LottoMetrics full-history export</x:v>
      </x:c>
      <x:c r="P601" s="213" t="str">
        <x:v>Archive-sourced; calendar/range/uniqueness validated</x:v>
      </x:c>
      <x:c r="Q601" s="54" t="str"/>
    </x:row>
    <x:row r="602">
      <x:c r="A602" s="74" t="n">
        <x:v>599</x:v>
      </x:c>
      <x:c r="B602" s="217" t="n">
        <x:v>44911</x:v>
      </x:c>
      <x:c r="C602" s="75" t="n">
        <x:v>9</x:v>
      </x:c>
      <x:c r="D602" s="75" t="n">
        <x:v>14</x:v>
      </x:c>
      <x:c r="E602" s="75" t="n">
        <x:v>15</x:v>
      </x:c>
      <x:c r="F602" s="75" t="n">
        <x:v>20</x:v>
      </x:c>
      <x:c r="G602" s="75" t="n">
        <x:v>47</x:v>
      </x:c>
      <x:c r="H602" s="75" t="n">
        <x:v>8</x:v>
      </x:c>
      <x:c r="I602" s="75" t="n">
        <x:v>12</x:v>
      </x:c>
      <x:c r="J602" s="75" t="n">
        <x:v>50</x:v>
      </x:c>
      <x:c r="K602" s="75" t="n">
        <x:v>12</x:v>
      </x:c>
      <x:c r="L602" s="75" t="str">
        <x:v>R3_5of50_2of12</x:v>
      </x:c>
      <x:c r="M602" s="213" t="str">
        <x:v>S1_pre_2024_studio_change_sensitivity_only</x:v>
      </x:c>
      <x:c r="N602" s="213" t="str">
        <x:v>Friday</x:v>
      </x:c>
      <x:c r="O602" s="213" t="str">
        <x:v>LottoMetrics full-history export</x:v>
      </x:c>
      <x:c r="P602" s="213" t="str">
        <x:v>Archive-sourced; calendar/range/uniqueness validated</x:v>
      </x:c>
      <x:c r="Q602" s="54" t="str"/>
    </x:row>
    <x:row r="603">
      <x:c r="A603" s="74" t="n">
        <x:v>600</x:v>
      </x:c>
      <x:c r="B603" s="217" t="n">
        <x:v>44915</x:v>
      </x:c>
      <x:c r="C603" s="75" t="n">
        <x:v>6</x:v>
      </x:c>
      <x:c r="D603" s="75" t="n">
        <x:v>11</x:v>
      </x:c>
      <x:c r="E603" s="75" t="n">
        <x:v>26</x:v>
      </x:c>
      <x:c r="F603" s="75" t="n">
        <x:v>43</x:v>
      </x:c>
      <x:c r="G603" s="75" t="n">
        <x:v>49</x:v>
      </x:c>
      <x:c r="H603" s="75" t="n">
        <x:v>5</x:v>
      </x:c>
      <x:c r="I603" s="75" t="n">
        <x:v>8</x:v>
      </x:c>
      <x:c r="J603" s="75" t="n">
        <x:v>50</x:v>
      </x:c>
      <x:c r="K603" s="75" t="n">
        <x:v>12</x:v>
      </x:c>
      <x:c r="L603" s="75" t="str">
        <x:v>R3_5of50_2of12</x:v>
      </x:c>
      <x:c r="M603" s="213" t="str">
        <x:v>S1_pre_2024_studio_change_sensitivity_only</x:v>
      </x:c>
      <x:c r="N603" s="213" t="str">
        <x:v>Tuesday</x:v>
      </x:c>
      <x:c r="O603" s="213" t="str">
        <x:v>LottoMetrics full-history export</x:v>
      </x:c>
      <x:c r="P603" s="213" t="str">
        <x:v>Archive-sourced; calendar/range/uniqueness validated</x:v>
      </x:c>
      <x:c r="Q603" s="54" t="str"/>
    </x:row>
    <x:row r="604">
      <x:c r="A604" s="74" t="n">
        <x:v>601</x:v>
      </x:c>
      <x:c r="B604" s="217" t="n">
        <x:v>44918</x:v>
      </x:c>
      <x:c r="C604" s="75" t="n">
        <x:v>9</x:v>
      </x:c>
      <x:c r="D604" s="75" t="n">
        <x:v>34</x:v>
      </x:c>
      <x:c r="E604" s="75" t="n">
        <x:v>35</x:v>
      </x:c>
      <x:c r="F604" s="75" t="n">
        <x:v>42</x:v>
      </x:c>
      <x:c r="G604" s="75" t="n">
        <x:v>44</x:v>
      </x:c>
      <x:c r="H604" s="75" t="n">
        <x:v>6</x:v>
      </x:c>
      <x:c r="I604" s="75" t="n">
        <x:v>11</x:v>
      </x:c>
      <x:c r="J604" s="75" t="n">
        <x:v>50</x:v>
      </x:c>
      <x:c r="K604" s="75" t="n">
        <x:v>12</x:v>
      </x:c>
      <x:c r="L604" s="75" t="str">
        <x:v>R3_5of50_2of12</x:v>
      </x:c>
      <x:c r="M604" s="213" t="str">
        <x:v>S1_pre_2024_studio_change_sensitivity_only</x:v>
      </x:c>
      <x:c r="N604" s="213" t="str">
        <x:v>Friday</x:v>
      </x:c>
      <x:c r="O604" s="213" t="str">
        <x:v>LottoMetrics full-history export</x:v>
      </x:c>
      <x:c r="P604" s="213" t="str">
        <x:v>Archive-sourced; calendar/range/uniqueness validated</x:v>
      </x:c>
      <x:c r="Q604" s="54" t="str"/>
    </x:row>
    <x:row r="605">
      <x:c r="A605" s="74" t="n">
        <x:v>602</x:v>
      </x:c>
      <x:c r="B605" s="217" t="n">
        <x:v>44922</x:v>
      </x:c>
      <x:c r="C605" s="75" t="n">
        <x:v>28</x:v>
      </x:c>
      <x:c r="D605" s="75" t="n">
        <x:v>33</x:v>
      </x:c>
      <x:c r="E605" s="75" t="n">
        <x:v>34</x:v>
      </x:c>
      <x:c r="F605" s="75" t="n">
        <x:v>37</x:v>
      </x:c>
      <x:c r="G605" s="75" t="n">
        <x:v>44</x:v>
      </x:c>
      <x:c r="H605" s="75" t="n">
        <x:v>4</x:v>
      </x:c>
      <x:c r="I605" s="75" t="n">
        <x:v>11</x:v>
      </x:c>
      <x:c r="J605" s="75" t="n">
        <x:v>50</x:v>
      </x:c>
      <x:c r="K605" s="75" t="n">
        <x:v>12</x:v>
      </x:c>
      <x:c r="L605" s="75" t="str">
        <x:v>R3_5of50_2of12</x:v>
      </x:c>
      <x:c r="M605" s="213" t="str">
        <x:v>S1_pre_2024_studio_change_sensitivity_only</x:v>
      </x:c>
      <x:c r="N605" s="213" t="str">
        <x:v>Tuesday</x:v>
      </x:c>
      <x:c r="O605" s="213" t="str">
        <x:v>LottoMetrics full-history export</x:v>
      </x:c>
      <x:c r="P605" s="213" t="str">
        <x:v>Archive-sourced; calendar/range/uniqueness validated</x:v>
      </x:c>
      <x:c r="Q605" s="54" t="str"/>
    </x:row>
    <x:row r="606">
      <x:c r="A606" s="74" t="n">
        <x:v>603</x:v>
      </x:c>
      <x:c r="B606" s="217" t="n">
        <x:v>44925</x:v>
      </x:c>
      <x:c r="C606" s="75" t="n">
        <x:v>3</x:v>
      </x:c>
      <x:c r="D606" s="75" t="n">
        <x:v>37</x:v>
      </x:c>
      <x:c r="E606" s="75" t="n">
        <x:v>45</x:v>
      </x:c>
      <x:c r="F606" s="75" t="n">
        <x:v>47</x:v>
      </x:c>
      <x:c r="G606" s="75" t="n">
        <x:v>50</x:v>
      </x:c>
      <x:c r="H606" s="75" t="n">
        <x:v>5</x:v>
      </x:c>
      <x:c r="I606" s="75" t="n">
        <x:v>10</x:v>
      </x:c>
      <x:c r="J606" s="75" t="n">
        <x:v>50</x:v>
      </x:c>
      <x:c r="K606" s="75" t="n">
        <x:v>12</x:v>
      </x:c>
      <x:c r="L606" s="75" t="str">
        <x:v>R3_5of50_2of12</x:v>
      </x:c>
      <x:c r="M606" s="213" t="str">
        <x:v>S1_pre_2024_studio_change_sensitivity_only</x:v>
      </x:c>
      <x:c r="N606" s="213" t="str">
        <x:v>Friday</x:v>
      </x:c>
      <x:c r="O606" s="213" t="str">
        <x:v>LottoMetrics full-history export</x:v>
      </x:c>
      <x:c r="P606" s="213" t="str">
        <x:v>Archive-sourced; calendar/range/uniqueness validated</x:v>
      </x:c>
      <x:c r="Q606" s="54" t="str"/>
    </x:row>
    <x:row r="607">
      <x:c r="A607" s="74" t="n">
        <x:v>604</x:v>
      </x:c>
      <x:c r="B607" s="217" t="n">
        <x:v>44929</x:v>
      </x:c>
      <x:c r="C607" s="75" t="n">
        <x:v>28</x:v>
      </x:c>
      <x:c r="D607" s="75" t="n">
        <x:v>29</x:v>
      </x:c>
      <x:c r="E607" s="75" t="n">
        <x:v>31</x:v>
      </x:c>
      <x:c r="F607" s="75" t="n">
        <x:v>37</x:v>
      </x:c>
      <x:c r="G607" s="75" t="n">
        <x:v>50</x:v>
      </x:c>
      <x:c r="H607" s="75" t="n">
        <x:v>4</x:v>
      </x:c>
      <x:c r="I607" s="75" t="n">
        <x:v>5</x:v>
      </x:c>
      <x:c r="J607" s="75" t="n">
        <x:v>50</x:v>
      </x:c>
      <x:c r="K607" s="75" t="n">
        <x:v>12</x:v>
      </x:c>
      <x:c r="L607" s="75" t="str">
        <x:v>R3_5of50_2of12</x:v>
      </x:c>
      <x:c r="M607" s="213" t="str">
        <x:v>S1_pre_2024_studio_change_sensitivity_only</x:v>
      </x:c>
      <x:c r="N607" s="213" t="str">
        <x:v>Tuesday</x:v>
      </x:c>
      <x:c r="O607" s="213" t="str">
        <x:v>LottoMetrics full-history export</x:v>
      </x:c>
      <x:c r="P607" s="213" t="str">
        <x:v>Archive-sourced; calendar/range/uniqueness validated</x:v>
      </x:c>
      <x:c r="Q607" s="54" t="str"/>
    </x:row>
    <x:row r="608">
      <x:c r="A608" s="74" t="n">
        <x:v>605</x:v>
      </x:c>
      <x:c r="B608" s="217" t="n">
        <x:v>44932</x:v>
      </x:c>
      <x:c r="C608" s="75" t="n">
        <x:v>14</x:v>
      </x:c>
      <x:c r="D608" s="75" t="n">
        <x:v>28</x:v>
      </x:c>
      <x:c r="E608" s="75" t="n">
        <x:v>31</x:v>
      </x:c>
      <x:c r="F608" s="75" t="n">
        <x:v>47</x:v>
      </x:c>
      <x:c r="G608" s="75" t="n">
        <x:v>50</x:v>
      </x:c>
      <x:c r="H608" s="75" t="n">
        <x:v>7</x:v>
      </x:c>
      <x:c r="I608" s="75" t="n">
        <x:v>12</x:v>
      </x:c>
      <x:c r="J608" s="75" t="n">
        <x:v>50</x:v>
      </x:c>
      <x:c r="K608" s="75" t="n">
        <x:v>12</x:v>
      </x:c>
      <x:c r="L608" s="75" t="str">
        <x:v>R3_5of50_2of12</x:v>
      </x:c>
      <x:c r="M608" s="213" t="str">
        <x:v>S1_pre_2024_studio_change_sensitivity_only</x:v>
      </x:c>
      <x:c r="N608" s="213" t="str">
        <x:v>Friday</x:v>
      </x:c>
      <x:c r="O608" s="213" t="str">
        <x:v>LottoMetrics full-history export</x:v>
      </x:c>
      <x:c r="P608" s="213" t="str">
        <x:v>Archive-sourced; calendar/range/uniqueness validated</x:v>
      </x:c>
      <x:c r="Q608" s="54" t="str"/>
    </x:row>
    <x:row r="609">
      <x:c r="A609" s="74" t="n">
        <x:v>606</x:v>
      </x:c>
      <x:c r="B609" s="217" t="n">
        <x:v>44936</x:v>
      </x:c>
      <x:c r="C609" s="75" t="n">
        <x:v>9</x:v>
      </x:c>
      <x:c r="D609" s="75" t="n">
        <x:v>16</x:v>
      </x:c>
      <x:c r="E609" s="75" t="n">
        <x:v>27</x:v>
      </x:c>
      <x:c r="F609" s="75" t="n">
        <x:v>41</x:v>
      </x:c>
      <x:c r="G609" s="75" t="n">
        <x:v>45</x:v>
      </x:c>
      <x:c r="H609" s="75" t="n">
        <x:v>1</x:v>
      </x:c>
      <x:c r="I609" s="75" t="n">
        <x:v>4</x:v>
      </x:c>
      <x:c r="J609" s="75" t="n">
        <x:v>50</x:v>
      </x:c>
      <x:c r="K609" s="75" t="n">
        <x:v>12</x:v>
      </x:c>
      <x:c r="L609" s="75" t="str">
        <x:v>R3_5of50_2of12</x:v>
      </x:c>
      <x:c r="M609" s="213" t="str">
        <x:v>S1_pre_2024_studio_change_sensitivity_only</x:v>
      </x:c>
      <x:c r="N609" s="213" t="str">
        <x:v>Tuesday</x:v>
      </x:c>
      <x:c r="O609" s="213" t="str">
        <x:v>LottoMetrics full-history export</x:v>
      </x:c>
      <x:c r="P609" s="213" t="str">
        <x:v>Archive-sourced; calendar/range/uniqueness validated</x:v>
      </x:c>
      <x:c r="Q609" s="54" t="str"/>
    </x:row>
    <x:row r="610">
      <x:c r="A610" s="74" t="n">
        <x:v>607</x:v>
      </x:c>
      <x:c r="B610" s="217" t="n">
        <x:v>44939</x:v>
      </x:c>
      <x:c r="C610" s="75" t="n">
        <x:v>7</x:v>
      </x:c>
      <x:c r="D610" s="75" t="n">
        <x:v>14</x:v>
      </x:c>
      <x:c r="E610" s="75" t="n">
        <x:v>34</x:v>
      </x:c>
      <x:c r="F610" s="75" t="n">
        <x:v>41</x:v>
      </x:c>
      <x:c r="G610" s="75" t="n">
        <x:v>49</x:v>
      </x:c>
      <x:c r="H610" s="75" t="n">
        <x:v>4</x:v>
      </x:c>
      <x:c r="I610" s="75" t="n">
        <x:v>9</x:v>
      </x:c>
      <x:c r="J610" s="75" t="n">
        <x:v>50</x:v>
      </x:c>
      <x:c r="K610" s="75" t="n">
        <x:v>12</x:v>
      </x:c>
      <x:c r="L610" s="75" t="str">
        <x:v>R3_5of50_2of12</x:v>
      </x:c>
      <x:c r="M610" s="213" t="str">
        <x:v>S1_pre_2024_studio_change_sensitivity_only</x:v>
      </x:c>
      <x:c r="N610" s="213" t="str">
        <x:v>Friday</x:v>
      </x:c>
      <x:c r="O610" s="213" t="str">
        <x:v>LottoMetrics full-history export</x:v>
      </x:c>
      <x:c r="P610" s="213" t="str">
        <x:v>Archive-sourced; calendar/range/uniqueness validated</x:v>
      </x:c>
      <x:c r="Q610" s="54" t="str"/>
    </x:row>
    <x:row r="611">
      <x:c r="A611" s="74" t="n">
        <x:v>608</x:v>
      </x:c>
      <x:c r="B611" s="217" t="n">
        <x:v>44943</x:v>
      </x:c>
      <x:c r="C611" s="75" t="n">
        <x:v>6</x:v>
      </x:c>
      <x:c r="D611" s="75" t="n">
        <x:v>11</x:v>
      </x:c>
      <x:c r="E611" s="75" t="n">
        <x:v>16</x:v>
      </x:c>
      <x:c r="F611" s="75" t="n">
        <x:v>35</x:v>
      </x:c>
      <x:c r="G611" s="75" t="n">
        <x:v>44</x:v>
      </x:c>
      <x:c r="H611" s="75" t="n">
        <x:v>2</x:v>
      </x:c>
      <x:c r="I611" s="75" t="n">
        <x:v>6</x:v>
      </x:c>
      <x:c r="J611" s="75" t="n">
        <x:v>50</x:v>
      </x:c>
      <x:c r="K611" s="75" t="n">
        <x:v>12</x:v>
      </x:c>
      <x:c r="L611" s="75" t="str">
        <x:v>R3_5of50_2of12</x:v>
      </x:c>
      <x:c r="M611" s="213" t="str">
        <x:v>S1_pre_2024_studio_change_sensitivity_only</x:v>
      </x:c>
      <x:c r="N611" s="213" t="str">
        <x:v>Tuesday</x:v>
      </x:c>
      <x:c r="O611" s="213" t="str">
        <x:v>LottoMetrics full-history export</x:v>
      </x:c>
      <x:c r="P611" s="213" t="str">
        <x:v>Archive-sourced; calendar/range/uniqueness validated</x:v>
      </x:c>
      <x:c r="Q611" s="54" t="str"/>
    </x:row>
    <x:row r="612">
      <x:c r="A612" s="74" t="n">
        <x:v>609</x:v>
      </x:c>
      <x:c r="B612" s="217" t="n">
        <x:v>44946</x:v>
      </x:c>
      <x:c r="C612" s="75" t="n">
        <x:v>1</x:v>
      </x:c>
      <x:c r="D612" s="75" t="n">
        <x:v>12</x:v>
      </x:c>
      <x:c r="E612" s="75" t="n">
        <x:v>15</x:v>
      </x:c>
      <x:c r="F612" s="75" t="n">
        <x:v>31</x:v>
      </x:c>
      <x:c r="G612" s="75" t="n">
        <x:v>47</x:v>
      </x:c>
      <x:c r="H612" s="75" t="n">
        <x:v>9</x:v>
      </x:c>
      <x:c r="I612" s="75" t="n">
        <x:v>10</x:v>
      </x:c>
      <x:c r="J612" s="75" t="n">
        <x:v>50</x:v>
      </x:c>
      <x:c r="K612" s="75" t="n">
        <x:v>12</x:v>
      </x:c>
      <x:c r="L612" s="75" t="str">
        <x:v>R3_5of50_2of12</x:v>
      </x:c>
      <x:c r="M612" s="213" t="str">
        <x:v>S1_pre_2024_studio_change_sensitivity_only</x:v>
      </x:c>
      <x:c r="N612" s="213" t="str">
        <x:v>Friday</x:v>
      </x:c>
      <x:c r="O612" s="213" t="str">
        <x:v>LottoMetrics full-history export</x:v>
      </x:c>
      <x:c r="P612" s="213" t="str">
        <x:v>Archive-sourced; calendar/range/uniqueness validated</x:v>
      </x:c>
      <x:c r="Q612" s="54" t="str"/>
    </x:row>
    <x:row r="613">
      <x:c r="A613" s="74" t="n">
        <x:v>610</x:v>
      </x:c>
      <x:c r="B613" s="217" t="n">
        <x:v>44950</x:v>
      </x:c>
      <x:c r="C613" s="75" t="n">
        <x:v>9</x:v>
      </x:c>
      <x:c r="D613" s="75" t="n">
        <x:v>16</x:v>
      </x:c>
      <x:c r="E613" s="75" t="n">
        <x:v>17</x:v>
      </x:c>
      <x:c r="F613" s="75" t="n">
        <x:v>27</x:v>
      </x:c>
      <x:c r="G613" s="75" t="n">
        <x:v>31</x:v>
      </x:c>
      <x:c r="H613" s="75" t="n">
        <x:v>1</x:v>
      </x:c>
      <x:c r="I613" s="75" t="n">
        <x:v>9</x:v>
      </x:c>
      <x:c r="J613" s="75" t="n">
        <x:v>50</x:v>
      </x:c>
      <x:c r="K613" s="75" t="n">
        <x:v>12</x:v>
      </x:c>
      <x:c r="L613" s="75" t="str">
        <x:v>R3_5of50_2of12</x:v>
      </x:c>
      <x:c r="M613" s="213" t="str">
        <x:v>S1_pre_2024_studio_change_sensitivity_only</x:v>
      </x:c>
      <x:c r="N613" s="213" t="str">
        <x:v>Tuesday</x:v>
      </x:c>
      <x:c r="O613" s="213" t="str">
        <x:v>LottoMetrics full-history export</x:v>
      </x:c>
      <x:c r="P613" s="213" t="str">
        <x:v>Archive-sourced; calendar/range/uniqueness validated</x:v>
      </x:c>
      <x:c r="Q613" s="54" t="str"/>
    </x:row>
    <x:row r="614">
      <x:c r="A614" s="74" t="n">
        <x:v>611</x:v>
      </x:c>
      <x:c r="B614" s="217" t="n">
        <x:v>44953</x:v>
      </x:c>
      <x:c r="C614" s="75" t="n">
        <x:v>4</x:v>
      </x:c>
      <x:c r="D614" s="75" t="n">
        <x:v>9</x:v>
      </x:c>
      <x:c r="E614" s="75" t="n">
        <x:v>29</x:v>
      </x:c>
      <x:c r="F614" s="75" t="n">
        <x:v>34</x:v>
      </x:c>
      <x:c r="G614" s="75" t="n">
        <x:v>37</x:v>
      </x:c>
      <x:c r="H614" s="75" t="n">
        <x:v>3</x:v>
      </x:c>
      <x:c r="I614" s="75" t="n">
        <x:v>12</x:v>
      </x:c>
      <x:c r="J614" s="75" t="n">
        <x:v>50</x:v>
      </x:c>
      <x:c r="K614" s="75" t="n">
        <x:v>12</x:v>
      </x:c>
      <x:c r="L614" s="75" t="str">
        <x:v>R3_5of50_2of12</x:v>
      </x:c>
      <x:c r="M614" s="213" t="str">
        <x:v>S1_pre_2024_studio_change_sensitivity_only</x:v>
      </x:c>
      <x:c r="N614" s="213" t="str">
        <x:v>Friday</x:v>
      </x:c>
      <x:c r="O614" s="213" t="str">
        <x:v>LottoMetrics full-history export</x:v>
      </x:c>
      <x:c r="P614" s="213" t="str">
        <x:v>Archive-sourced; calendar/range/uniqueness validated</x:v>
      </x:c>
      <x:c r="Q614" s="54" t="str"/>
    </x:row>
    <x:row r="615">
      <x:c r="A615" s="74" t="n">
        <x:v>612</x:v>
      </x:c>
      <x:c r="B615" s="217" t="n">
        <x:v>44957</x:v>
      </x:c>
      <x:c r="C615" s="75" t="n">
        <x:v>20</x:v>
      </x:c>
      <x:c r="D615" s="75" t="n">
        <x:v>21</x:v>
      </x:c>
      <x:c r="E615" s="75" t="n">
        <x:v>30</x:v>
      </x:c>
      <x:c r="F615" s="75" t="n">
        <x:v>41</x:v>
      </x:c>
      <x:c r="G615" s="75" t="n">
        <x:v>43</x:v>
      </x:c>
      <x:c r="H615" s="75" t="n">
        <x:v>10</x:v>
      </x:c>
      <x:c r="I615" s="75" t="n">
        <x:v>11</x:v>
      </x:c>
      <x:c r="J615" s="75" t="n">
        <x:v>50</x:v>
      </x:c>
      <x:c r="K615" s="75" t="n">
        <x:v>12</x:v>
      </x:c>
      <x:c r="L615" s="75" t="str">
        <x:v>R3_5of50_2of12</x:v>
      </x:c>
      <x:c r="M615" s="213" t="str">
        <x:v>S1_pre_2024_studio_change_sensitivity_only</x:v>
      </x:c>
      <x:c r="N615" s="213" t="str">
        <x:v>Tuesday</x:v>
      </x:c>
      <x:c r="O615" s="213" t="str">
        <x:v>LottoMetrics full-history export</x:v>
      </x:c>
      <x:c r="P615" s="213" t="str">
        <x:v>Archive-sourced; calendar/range/uniqueness validated</x:v>
      </x:c>
      <x:c r="Q615" s="54" t="str"/>
    </x:row>
    <x:row r="616">
      <x:c r="A616" s="74" t="n">
        <x:v>613</x:v>
      </x:c>
      <x:c r="B616" s="217" t="n">
        <x:v>44960</x:v>
      </x:c>
      <x:c r="C616" s="75" t="n">
        <x:v>1</x:v>
      </x:c>
      <x:c r="D616" s="75" t="n">
        <x:v>7</x:v>
      </x:c>
      <x:c r="E616" s="75" t="n">
        <x:v>17</x:v>
      </x:c>
      <x:c r="F616" s="75" t="n">
        <x:v>44</x:v>
      </x:c>
      <x:c r="G616" s="75" t="n">
        <x:v>50</x:v>
      </x:c>
      <x:c r="H616" s="75" t="n">
        <x:v>2</x:v>
      </x:c>
      <x:c r="I616" s="75" t="n">
        <x:v>10</x:v>
      </x:c>
      <x:c r="J616" s="75" t="n">
        <x:v>50</x:v>
      </x:c>
      <x:c r="K616" s="75" t="n">
        <x:v>12</x:v>
      </x:c>
      <x:c r="L616" s="75" t="str">
        <x:v>R3_5of50_2of12</x:v>
      </x:c>
      <x:c r="M616" s="213" t="str">
        <x:v>S1_pre_2024_studio_change_sensitivity_only</x:v>
      </x:c>
      <x:c r="N616" s="213" t="str">
        <x:v>Friday</x:v>
      </x:c>
      <x:c r="O616" s="213" t="str">
        <x:v>LottoMetrics full-history export</x:v>
      </x:c>
      <x:c r="P616" s="213" t="str">
        <x:v>Archive-sourced; calendar/range/uniqueness validated</x:v>
      </x:c>
      <x:c r="Q616" s="54" t="str"/>
    </x:row>
    <x:row r="617">
      <x:c r="A617" s="74" t="n">
        <x:v>614</x:v>
      </x:c>
      <x:c r="B617" s="217" t="n">
        <x:v>44964</x:v>
      </x:c>
      <x:c r="C617" s="75" t="n">
        <x:v>10</x:v>
      </x:c>
      <x:c r="D617" s="75" t="n">
        <x:v>15</x:v>
      </x:c>
      <x:c r="E617" s="75" t="n">
        <x:v>25</x:v>
      </x:c>
      <x:c r="F617" s="75" t="n">
        <x:v>37</x:v>
      </x:c>
      <x:c r="G617" s="75" t="n">
        <x:v>46</x:v>
      </x:c>
      <x:c r="H617" s="75" t="n">
        <x:v>7</x:v>
      </x:c>
      <x:c r="I617" s="75" t="n">
        <x:v>12</x:v>
      </x:c>
      <x:c r="J617" s="75" t="n">
        <x:v>50</x:v>
      </x:c>
      <x:c r="K617" s="75" t="n">
        <x:v>12</x:v>
      </x:c>
      <x:c r="L617" s="75" t="str">
        <x:v>R3_5of50_2of12</x:v>
      </x:c>
      <x:c r="M617" s="213" t="str">
        <x:v>S1_pre_2024_studio_change_sensitivity_only</x:v>
      </x:c>
      <x:c r="N617" s="213" t="str">
        <x:v>Tuesday</x:v>
      </x:c>
      <x:c r="O617" s="213" t="str">
        <x:v>LottoMetrics full-history export</x:v>
      </x:c>
      <x:c r="P617" s="213" t="str">
        <x:v>Archive-sourced; calendar/range/uniqueness validated</x:v>
      </x:c>
      <x:c r="Q617" s="54" t="str"/>
    </x:row>
    <x:row r="618">
      <x:c r="A618" s="74" t="n">
        <x:v>615</x:v>
      </x:c>
      <x:c r="B618" s="217" t="n">
        <x:v>44967</x:v>
      </x:c>
      <x:c r="C618" s="75" t="n">
        <x:v>3</x:v>
      </x:c>
      <x:c r="D618" s="75" t="n">
        <x:v>10</x:v>
      </x:c>
      <x:c r="E618" s="75" t="n">
        <x:v>20</x:v>
      </x:c>
      <x:c r="F618" s="75" t="n">
        <x:v>36</x:v>
      </x:c>
      <x:c r="G618" s="75" t="n">
        <x:v>42</x:v>
      </x:c>
      <x:c r="H618" s="75" t="n">
        <x:v>8</x:v>
      </x:c>
      <x:c r="I618" s="75" t="n">
        <x:v>10</x:v>
      </x:c>
      <x:c r="J618" s="75" t="n">
        <x:v>50</x:v>
      </x:c>
      <x:c r="K618" s="75" t="n">
        <x:v>12</x:v>
      </x:c>
      <x:c r="L618" s="75" t="str">
        <x:v>R3_5of50_2of12</x:v>
      </x:c>
      <x:c r="M618" s="213" t="str">
        <x:v>S1_pre_2024_studio_change_sensitivity_only</x:v>
      </x:c>
      <x:c r="N618" s="213" t="str">
        <x:v>Friday</x:v>
      </x:c>
      <x:c r="O618" s="213" t="str">
        <x:v>LottoMetrics full-history export</x:v>
      </x:c>
      <x:c r="P618" s="213" t="str">
        <x:v>Archive-sourced; calendar/range/uniqueness validated</x:v>
      </x:c>
      <x:c r="Q618" s="54" t="str"/>
    </x:row>
    <x:row r="619">
      <x:c r="A619" s="74" t="n">
        <x:v>616</x:v>
      </x:c>
      <x:c r="B619" s="217" t="n">
        <x:v>44971</x:v>
      </x:c>
      <x:c r="C619" s="75" t="n">
        <x:v>1</x:v>
      </x:c>
      <x:c r="D619" s="75" t="n">
        <x:v>2</x:v>
      </x:c>
      <x:c r="E619" s="75" t="n">
        <x:v>6</x:v>
      </x:c>
      <x:c r="F619" s="75" t="n">
        <x:v>14</x:v>
      </x:c>
      <x:c r="G619" s="75" t="n">
        <x:v>45</x:v>
      </x:c>
      <x:c r="H619" s="75" t="n">
        <x:v>2</x:v>
      </x:c>
      <x:c r="I619" s="75" t="n">
        <x:v>7</x:v>
      </x:c>
      <x:c r="J619" s="75" t="n">
        <x:v>50</x:v>
      </x:c>
      <x:c r="K619" s="75" t="n">
        <x:v>12</x:v>
      </x:c>
      <x:c r="L619" s="75" t="str">
        <x:v>R3_5of50_2of12</x:v>
      </x:c>
      <x:c r="M619" s="213" t="str">
        <x:v>S1_pre_2024_studio_change_sensitivity_only</x:v>
      </x:c>
      <x:c r="N619" s="213" t="str">
        <x:v>Tuesday</x:v>
      </x:c>
      <x:c r="O619" s="213" t="str">
        <x:v>LottoMetrics full-history export</x:v>
      </x:c>
      <x:c r="P619" s="213" t="str">
        <x:v>Archive-sourced; calendar/range/uniqueness validated</x:v>
      </x:c>
      <x:c r="Q619" s="54" t="str"/>
    </x:row>
    <x:row r="620">
      <x:c r="A620" s="74" t="n">
        <x:v>617</x:v>
      </x:c>
      <x:c r="B620" s="217" t="n">
        <x:v>44974</x:v>
      </x:c>
      <x:c r="C620" s="75" t="n">
        <x:v>5</x:v>
      </x:c>
      <x:c r="D620" s="75" t="n">
        <x:v>12</x:v>
      </x:c>
      <x:c r="E620" s="75" t="n">
        <x:v>15</x:v>
      </x:c>
      <x:c r="F620" s="75" t="n">
        <x:v>21</x:v>
      </x:c>
      <x:c r="G620" s="75" t="n">
        <x:v>39</x:v>
      </x:c>
      <x:c r="H620" s="75" t="n">
        <x:v>3</x:v>
      </x:c>
      <x:c r="I620" s="75" t="n">
        <x:v>4</x:v>
      </x:c>
      <x:c r="J620" s="75" t="n">
        <x:v>50</x:v>
      </x:c>
      <x:c r="K620" s="75" t="n">
        <x:v>12</x:v>
      </x:c>
      <x:c r="L620" s="75" t="str">
        <x:v>R3_5of50_2of12</x:v>
      </x:c>
      <x:c r="M620" s="213" t="str">
        <x:v>S1_pre_2024_studio_change_sensitivity_only</x:v>
      </x:c>
      <x:c r="N620" s="213" t="str">
        <x:v>Friday</x:v>
      </x:c>
      <x:c r="O620" s="213" t="str">
        <x:v>LottoMetrics full-history export</x:v>
      </x:c>
      <x:c r="P620" s="213" t="str">
        <x:v>Archive-sourced; calendar/range/uniqueness validated</x:v>
      </x:c>
      <x:c r="Q620" s="54" t="str"/>
    </x:row>
    <x:row r="621">
      <x:c r="A621" s="74" t="n">
        <x:v>618</x:v>
      </x:c>
      <x:c r="B621" s="217" t="n">
        <x:v>44978</x:v>
      </x:c>
      <x:c r="C621" s="75" t="n">
        <x:v>13</x:v>
      </x:c>
      <x:c r="D621" s="75" t="n">
        <x:v>20</x:v>
      </x:c>
      <x:c r="E621" s="75" t="n">
        <x:v>34</x:v>
      </x:c>
      <x:c r="F621" s="75" t="n">
        <x:v>38</x:v>
      </x:c>
      <x:c r="G621" s="75" t="n">
        <x:v>43</x:v>
      </x:c>
      <x:c r="H621" s="75" t="n">
        <x:v>3</x:v>
      </x:c>
      <x:c r="I621" s="75" t="n">
        <x:v>6</x:v>
      </x:c>
      <x:c r="J621" s="75" t="n">
        <x:v>50</x:v>
      </x:c>
      <x:c r="K621" s="75" t="n">
        <x:v>12</x:v>
      </x:c>
      <x:c r="L621" s="75" t="str">
        <x:v>R3_5of50_2of12</x:v>
      </x:c>
      <x:c r="M621" s="213" t="str">
        <x:v>S1_pre_2024_studio_change_sensitivity_only</x:v>
      </x:c>
      <x:c r="N621" s="213" t="str">
        <x:v>Tuesday</x:v>
      </x:c>
      <x:c r="O621" s="213" t="str">
        <x:v>LottoMetrics full-history export</x:v>
      </x:c>
      <x:c r="P621" s="213" t="str">
        <x:v>Archive-sourced; calendar/range/uniqueness validated</x:v>
      </x:c>
      <x:c r="Q621" s="54" t="str"/>
    </x:row>
    <x:row r="622">
      <x:c r="A622" s="74" t="n">
        <x:v>619</x:v>
      </x:c>
      <x:c r="B622" s="217" t="n">
        <x:v>44981</x:v>
      </x:c>
      <x:c r="C622" s="75" t="n">
        <x:v>1</x:v>
      </x:c>
      <x:c r="D622" s="75" t="n">
        <x:v>5</x:v>
      </x:c>
      <x:c r="E622" s="75" t="n">
        <x:v>12</x:v>
      </x:c>
      <x:c r="F622" s="75" t="n">
        <x:v>18</x:v>
      </x:c>
      <x:c r="G622" s="75" t="n">
        <x:v>20</x:v>
      </x:c>
      <x:c r="H622" s="75" t="n">
        <x:v>6</x:v>
      </x:c>
      <x:c r="I622" s="75" t="n">
        <x:v>7</x:v>
      </x:c>
      <x:c r="J622" s="75" t="n">
        <x:v>50</x:v>
      </x:c>
      <x:c r="K622" s="75" t="n">
        <x:v>12</x:v>
      </x:c>
      <x:c r="L622" s="75" t="str">
        <x:v>R3_5of50_2of12</x:v>
      </x:c>
      <x:c r="M622" s="213" t="str">
        <x:v>S1_pre_2024_studio_change_sensitivity_only</x:v>
      </x:c>
      <x:c r="N622" s="213" t="str">
        <x:v>Friday</x:v>
      </x:c>
      <x:c r="O622" s="213" t="str">
        <x:v>LottoMetrics full-history export</x:v>
      </x:c>
      <x:c r="P622" s="213" t="str">
        <x:v>Archive-sourced; calendar/range/uniqueness validated</x:v>
      </x:c>
      <x:c r="Q622" s="54" t="str"/>
    </x:row>
    <x:row r="623">
      <x:c r="A623" s="74" t="n">
        <x:v>620</x:v>
      </x:c>
      <x:c r="B623" s="217" t="n">
        <x:v>44985</x:v>
      </x:c>
      <x:c r="C623" s="75" t="n">
        <x:v>6</x:v>
      </x:c>
      <x:c r="D623" s="75" t="n">
        <x:v>20</x:v>
      </x:c>
      <x:c r="E623" s="75" t="n">
        <x:v>27</x:v>
      </x:c>
      <x:c r="F623" s="75" t="n">
        <x:v>38</x:v>
      </x:c>
      <x:c r="G623" s="75" t="n">
        <x:v>49</x:v>
      </x:c>
      <x:c r="H623" s="75" t="n">
        <x:v>3</x:v>
      </x:c>
      <x:c r="I623" s="75" t="n">
        <x:v>9</x:v>
      </x:c>
      <x:c r="J623" s="75" t="n">
        <x:v>50</x:v>
      </x:c>
      <x:c r="K623" s="75" t="n">
        <x:v>12</x:v>
      </x:c>
      <x:c r="L623" s="75" t="str">
        <x:v>R3_5of50_2of12</x:v>
      </x:c>
      <x:c r="M623" s="213" t="str">
        <x:v>S1_pre_2024_studio_change_sensitivity_only</x:v>
      </x:c>
      <x:c r="N623" s="213" t="str">
        <x:v>Tuesday</x:v>
      </x:c>
      <x:c r="O623" s="213" t="str">
        <x:v>LottoMetrics full-history export</x:v>
      </x:c>
      <x:c r="P623" s="213" t="str">
        <x:v>Archive-sourced; calendar/range/uniqueness validated</x:v>
      </x:c>
      <x:c r="Q623" s="54" t="str"/>
    </x:row>
    <x:row r="624">
      <x:c r="A624" s="74" t="n">
        <x:v>621</x:v>
      </x:c>
      <x:c r="B624" s="217" t="n">
        <x:v>44988</x:v>
      </x:c>
      <x:c r="C624" s="75" t="n">
        <x:v>1</x:v>
      </x:c>
      <x:c r="D624" s="75" t="n">
        <x:v>18</x:v>
      </x:c>
      <x:c r="E624" s="75" t="n">
        <x:v>37</x:v>
      </x:c>
      <x:c r="F624" s="75" t="n">
        <x:v>46</x:v>
      </x:c>
      <x:c r="G624" s="75" t="n">
        <x:v>48</x:v>
      </x:c>
      <x:c r="H624" s="75" t="n">
        <x:v>3</x:v>
      </x:c>
      <x:c r="I624" s="75" t="n">
        <x:v>7</x:v>
      </x:c>
      <x:c r="J624" s="75" t="n">
        <x:v>50</x:v>
      </x:c>
      <x:c r="K624" s="75" t="n">
        <x:v>12</x:v>
      </x:c>
      <x:c r="L624" s="75" t="str">
        <x:v>R3_5of50_2of12</x:v>
      </x:c>
      <x:c r="M624" s="213" t="str">
        <x:v>S1_pre_2024_studio_change_sensitivity_only</x:v>
      </x:c>
      <x:c r="N624" s="213" t="str">
        <x:v>Friday</x:v>
      </x:c>
      <x:c r="O624" s="213" t="str">
        <x:v>LottoMetrics full-history export</x:v>
      </x:c>
      <x:c r="P624" s="213" t="str">
        <x:v>Archive-sourced; calendar/range/uniqueness validated</x:v>
      </x:c>
      <x:c r="Q624" s="54" t="str"/>
    </x:row>
    <x:row r="625">
      <x:c r="A625" s="74" t="n">
        <x:v>622</x:v>
      </x:c>
      <x:c r="B625" s="217" t="n">
        <x:v>44992</x:v>
      </x:c>
      <x:c r="C625" s="75" t="n">
        <x:v>4</x:v>
      </x:c>
      <x:c r="D625" s="75" t="n">
        <x:v>11</x:v>
      </x:c>
      <x:c r="E625" s="75" t="n">
        <x:v>12</x:v>
      </x:c>
      <x:c r="F625" s="75" t="n">
        <x:v>16</x:v>
      </x:c>
      <x:c r="G625" s="75" t="n">
        <x:v>42</x:v>
      </x:c>
      <x:c r="H625" s="75" t="n">
        <x:v>3</x:v>
      </x:c>
      <x:c r="I625" s="75" t="n">
        <x:v>5</x:v>
      </x:c>
      <x:c r="J625" s="75" t="n">
        <x:v>50</x:v>
      </x:c>
      <x:c r="K625" s="75" t="n">
        <x:v>12</x:v>
      </x:c>
      <x:c r="L625" s="75" t="str">
        <x:v>R3_5of50_2of12</x:v>
      </x:c>
      <x:c r="M625" s="213" t="str">
        <x:v>S1_pre_2024_studio_change_sensitivity_only</x:v>
      </x:c>
      <x:c r="N625" s="213" t="str">
        <x:v>Tuesday</x:v>
      </x:c>
      <x:c r="O625" s="213" t="str">
        <x:v>LottoMetrics full-history export</x:v>
      </x:c>
      <x:c r="P625" s="213" t="str">
        <x:v>Archive-sourced; calendar/range/uniqueness validated</x:v>
      </x:c>
      <x:c r="Q625" s="54" t="str"/>
    </x:row>
    <x:row r="626">
      <x:c r="A626" s="74" t="n">
        <x:v>623</x:v>
      </x:c>
      <x:c r="B626" s="217" t="n">
        <x:v>44995</x:v>
      </x:c>
      <x:c r="C626" s="75" t="n">
        <x:v>6</x:v>
      </x:c>
      <x:c r="D626" s="75" t="n">
        <x:v>17</x:v>
      </x:c>
      <x:c r="E626" s="75" t="n">
        <x:v>22</x:v>
      </x:c>
      <x:c r="F626" s="75" t="n">
        <x:v>39</x:v>
      </x:c>
      <x:c r="G626" s="75" t="n">
        <x:v>46</x:v>
      </x:c>
      <x:c r="H626" s="75" t="n">
        <x:v>5</x:v>
      </x:c>
      <x:c r="I626" s="75" t="n">
        <x:v>12</x:v>
      </x:c>
      <x:c r="J626" s="75" t="n">
        <x:v>50</x:v>
      </x:c>
      <x:c r="K626" s="75" t="n">
        <x:v>12</x:v>
      </x:c>
      <x:c r="L626" s="75" t="str">
        <x:v>R3_5of50_2of12</x:v>
      </x:c>
      <x:c r="M626" s="213" t="str">
        <x:v>S1_pre_2024_studio_change_sensitivity_only</x:v>
      </x:c>
      <x:c r="N626" s="213" t="str">
        <x:v>Friday</x:v>
      </x:c>
      <x:c r="O626" s="213" t="str">
        <x:v>LottoMetrics full-history export</x:v>
      </x:c>
      <x:c r="P626" s="213" t="str">
        <x:v>Archive-sourced; calendar/range/uniqueness validated</x:v>
      </x:c>
      <x:c r="Q626" s="54" t="str"/>
    </x:row>
    <x:row r="627">
      <x:c r="A627" s="74" t="n">
        <x:v>624</x:v>
      </x:c>
      <x:c r="B627" s="217" t="n">
        <x:v>44999</x:v>
      </x:c>
      <x:c r="C627" s="75" t="n">
        <x:v>9</x:v>
      </x:c>
      <x:c r="D627" s="75" t="n">
        <x:v>16</x:v>
      </x:c>
      <x:c r="E627" s="75" t="n">
        <x:v>32</x:v>
      </x:c>
      <x:c r="F627" s="75" t="n">
        <x:v>34</x:v>
      </x:c>
      <x:c r="G627" s="75" t="n">
        <x:v>48</x:v>
      </x:c>
      <x:c r="H627" s="75" t="n">
        <x:v>2</x:v>
      </x:c>
      <x:c r="I627" s="75" t="n">
        <x:v>6</x:v>
      </x:c>
      <x:c r="J627" s="75" t="n">
        <x:v>50</x:v>
      </x:c>
      <x:c r="K627" s="75" t="n">
        <x:v>12</x:v>
      </x:c>
      <x:c r="L627" s="75" t="str">
        <x:v>R3_5of50_2of12</x:v>
      </x:c>
      <x:c r="M627" s="213" t="str">
        <x:v>S1_pre_2024_studio_change_sensitivity_only</x:v>
      </x:c>
      <x:c r="N627" s="213" t="str">
        <x:v>Tuesday</x:v>
      </x:c>
      <x:c r="O627" s="213" t="str">
        <x:v>LottoMetrics full-history export</x:v>
      </x:c>
      <x:c r="P627" s="213" t="str">
        <x:v>Archive-sourced; calendar/range/uniqueness validated</x:v>
      </x:c>
      <x:c r="Q627" s="54" t="str"/>
    </x:row>
    <x:row r="628">
      <x:c r="A628" s="74" t="n">
        <x:v>625</x:v>
      </x:c>
      <x:c r="B628" s="217" t="n">
        <x:v>45002</x:v>
      </x:c>
      <x:c r="C628" s="75" t="n">
        <x:v>5</x:v>
      </x:c>
      <x:c r="D628" s="75" t="n">
        <x:v>18</x:v>
      </x:c>
      <x:c r="E628" s="75" t="n">
        <x:v>21</x:v>
      </x:c>
      <x:c r="F628" s="75" t="n">
        <x:v>29</x:v>
      </x:c>
      <x:c r="G628" s="75" t="n">
        <x:v>45</x:v>
      </x:c>
      <x:c r="H628" s="75" t="n">
        <x:v>1</x:v>
      </x:c>
      <x:c r="I628" s="75" t="n">
        <x:v>6</x:v>
      </x:c>
      <x:c r="J628" s="75" t="n">
        <x:v>50</x:v>
      </x:c>
      <x:c r="K628" s="75" t="n">
        <x:v>12</x:v>
      </x:c>
      <x:c r="L628" s="75" t="str">
        <x:v>R3_5of50_2of12</x:v>
      </x:c>
      <x:c r="M628" s="213" t="str">
        <x:v>S1_pre_2024_studio_change_sensitivity_only</x:v>
      </x:c>
      <x:c r="N628" s="213" t="str">
        <x:v>Friday</x:v>
      </x:c>
      <x:c r="O628" s="213" t="str">
        <x:v>LottoMetrics full-history export</x:v>
      </x:c>
      <x:c r="P628" s="213" t="str">
        <x:v>Archive-sourced; calendar/range/uniqueness validated</x:v>
      </x:c>
      <x:c r="Q628" s="54" t="str"/>
    </x:row>
    <x:row r="629">
      <x:c r="A629" s="74" t="n">
        <x:v>626</x:v>
      </x:c>
      <x:c r="B629" s="217" t="n">
        <x:v>45006</x:v>
      </x:c>
      <x:c r="C629" s="75" t="n">
        <x:v>8</x:v>
      </x:c>
      <x:c r="D629" s="75" t="n">
        <x:v>13</x:v>
      </x:c>
      <x:c r="E629" s="75" t="n">
        <x:v>16</x:v>
      </x:c>
      <x:c r="F629" s="75" t="n">
        <x:v>44</x:v>
      </x:c>
      <x:c r="G629" s="75" t="n">
        <x:v>47</x:v>
      </x:c>
      <x:c r="H629" s="75" t="n">
        <x:v>6</x:v>
      </x:c>
      <x:c r="I629" s="75" t="n">
        <x:v>8</x:v>
      </x:c>
      <x:c r="J629" s="75" t="n">
        <x:v>50</x:v>
      </x:c>
      <x:c r="K629" s="75" t="n">
        <x:v>12</x:v>
      </x:c>
      <x:c r="L629" s="75" t="str">
        <x:v>R3_5of50_2of12</x:v>
      </x:c>
      <x:c r="M629" s="213" t="str">
        <x:v>S1_pre_2024_studio_change_sensitivity_only</x:v>
      </x:c>
      <x:c r="N629" s="213" t="str">
        <x:v>Tuesday</x:v>
      </x:c>
      <x:c r="O629" s="213" t="str">
        <x:v>LottoMetrics full-history export</x:v>
      </x:c>
      <x:c r="P629" s="213" t="str">
        <x:v>Archive-sourced; calendar/range/uniqueness validated</x:v>
      </x:c>
      <x:c r="Q629" s="54" t="str"/>
    </x:row>
    <x:row r="630">
      <x:c r="A630" s="74" t="n">
        <x:v>627</x:v>
      </x:c>
      <x:c r="B630" s="217" t="n">
        <x:v>45009</x:v>
      </x:c>
      <x:c r="C630" s="75" t="n">
        <x:v>6</x:v>
      </x:c>
      <x:c r="D630" s="75" t="n">
        <x:v>21</x:v>
      </x:c>
      <x:c r="E630" s="75" t="n">
        <x:v>23</x:v>
      </x:c>
      <x:c r="F630" s="75" t="n">
        <x:v>26</x:v>
      </x:c>
      <x:c r="G630" s="75" t="n">
        <x:v>43</x:v>
      </x:c>
      <x:c r="H630" s="75" t="n">
        <x:v>3</x:v>
      </x:c>
      <x:c r="I630" s="75" t="n">
        <x:v>9</x:v>
      </x:c>
      <x:c r="J630" s="75" t="n">
        <x:v>50</x:v>
      </x:c>
      <x:c r="K630" s="75" t="n">
        <x:v>12</x:v>
      </x:c>
      <x:c r="L630" s="75" t="str">
        <x:v>R3_5of50_2of12</x:v>
      </x:c>
      <x:c r="M630" s="213" t="str">
        <x:v>S1_pre_2024_studio_change_sensitivity_only</x:v>
      </x:c>
      <x:c r="N630" s="213" t="str">
        <x:v>Friday</x:v>
      </x:c>
      <x:c r="O630" s="213" t="str">
        <x:v>LottoMetrics full-history export</x:v>
      </x:c>
      <x:c r="P630" s="213" t="str">
        <x:v>Archive-sourced; calendar/range/uniqueness validated</x:v>
      </x:c>
      <x:c r="Q630" s="54" t="str"/>
    </x:row>
    <x:row r="631">
      <x:c r="A631" s="74" t="n">
        <x:v>628</x:v>
      </x:c>
      <x:c r="B631" s="217" t="n">
        <x:v>45013</x:v>
      </x:c>
      <x:c r="C631" s="75" t="n">
        <x:v>6</x:v>
      </x:c>
      <x:c r="D631" s="75" t="n">
        <x:v>12</x:v>
      </x:c>
      <x:c r="E631" s="75" t="n">
        <x:v>36</x:v>
      </x:c>
      <x:c r="F631" s="75" t="n">
        <x:v>37</x:v>
      </x:c>
      <x:c r="G631" s="75" t="n">
        <x:v>44</x:v>
      </x:c>
      <x:c r="H631" s="75" t="n">
        <x:v>1</x:v>
      </x:c>
      <x:c r="I631" s="75" t="n">
        <x:v>11</x:v>
      </x:c>
      <x:c r="J631" s="75" t="n">
        <x:v>50</x:v>
      </x:c>
      <x:c r="K631" s="75" t="n">
        <x:v>12</x:v>
      </x:c>
      <x:c r="L631" s="75" t="str">
        <x:v>R3_5of50_2of12</x:v>
      </x:c>
      <x:c r="M631" s="213" t="str">
        <x:v>S1_pre_2024_studio_change_sensitivity_only</x:v>
      </x:c>
      <x:c r="N631" s="213" t="str">
        <x:v>Tuesday</x:v>
      </x:c>
      <x:c r="O631" s="213" t="str">
        <x:v>LottoMetrics full-history export</x:v>
      </x:c>
      <x:c r="P631" s="213" t="str">
        <x:v>Archive-sourced; calendar/range/uniqueness validated</x:v>
      </x:c>
      <x:c r="Q631" s="54" t="str"/>
    </x:row>
    <x:row r="632">
      <x:c r="A632" s="74" t="n">
        <x:v>629</x:v>
      </x:c>
      <x:c r="B632" s="217" t="n">
        <x:v>45016</x:v>
      </x:c>
      <x:c r="C632" s="75" t="n">
        <x:v>10</x:v>
      </x:c>
      <x:c r="D632" s="75" t="n">
        <x:v>11</x:v>
      </x:c>
      <x:c r="E632" s="75" t="n">
        <x:v>31</x:v>
      </x:c>
      <x:c r="F632" s="75" t="n">
        <x:v>37</x:v>
      </x:c>
      <x:c r="G632" s="75" t="n">
        <x:v>44</x:v>
      </x:c>
      <x:c r="H632" s="75" t="n">
        <x:v>5</x:v>
      </x:c>
      <x:c r="I632" s="75" t="n">
        <x:v>12</x:v>
      </x:c>
      <x:c r="J632" s="75" t="n">
        <x:v>50</x:v>
      </x:c>
      <x:c r="K632" s="75" t="n">
        <x:v>12</x:v>
      </x:c>
      <x:c r="L632" s="75" t="str">
        <x:v>R3_5of50_2of12</x:v>
      </x:c>
      <x:c r="M632" s="213" t="str">
        <x:v>S1_pre_2024_studio_change_sensitivity_only</x:v>
      </x:c>
      <x:c r="N632" s="213" t="str">
        <x:v>Friday</x:v>
      </x:c>
      <x:c r="O632" s="213" t="str">
        <x:v>LottoMetrics full-history export</x:v>
      </x:c>
      <x:c r="P632" s="213" t="str">
        <x:v>Archive-sourced; calendar/range/uniqueness validated</x:v>
      </x:c>
      <x:c r="Q632" s="54" t="str"/>
    </x:row>
    <x:row r="633">
      <x:c r="A633" s="74" t="n">
        <x:v>630</x:v>
      </x:c>
      <x:c r="B633" s="217" t="n">
        <x:v>45020</x:v>
      </x:c>
      <x:c r="C633" s="75" t="n">
        <x:v>1</x:v>
      </x:c>
      <x:c r="D633" s="75" t="n">
        <x:v>15</x:v>
      </x:c>
      <x:c r="E633" s="75" t="n">
        <x:v>19</x:v>
      </x:c>
      <x:c r="F633" s="75" t="n">
        <x:v>24</x:v>
      </x:c>
      <x:c r="G633" s="75" t="n">
        <x:v>33</x:v>
      </x:c>
      <x:c r="H633" s="75" t="n">
        <x:v>7</x:v>
      </x:c>
      <x:c r="I633" s="75" t="n">
        <x:v>8</x:v>
      </x:c>
      <x:c r="J633" s="75" t="n">
        <x:v>50</x:v>
      </x:c>
      <x:c r="K633" s="75" t="n">
        <x:v>12</x:v>
      </x:c>
      <x:c r="L633" s="75" t="str">
        <x:v>R3_5of50_2of12</x:v>
      </x:c>
      <x:c r="M633" s="213" t="str">
        <x:v>S1_pre_2024_studio_change_sensitivity_only</x:v>
      </x:c>
      <x:c r="N633" s="213" t="str">
        <x:v>Tuesday</x:v>
      </x:c>
      <x:c r="O633" s="213" t="str">
        <x:v>LottoMetrics full-history export</x:v>
      </x:c>
      <x:c r="P633" s="213" t="str">
        <x:v>Archive-sourced; calendar/range/uniqueness validated</x:v>
      </x:c>
      <x:c r="Q633" s="54" t="str"/>
    </x:row>
    <x:row r="634">
      <x:c r="A634" s="74" t="n">
        <x:v>631</x:v>
      </x:c>
      <x:c r="B634" s="217" t="n">
        <x:v>45023</x:v>
      </x:c>
      <x:c r="C634" s="75" t="n">
        <x:v>16</x:v>
      </x:c>
      <x:c r="D634" s="75" t="n">
        <x:v>28</x:v>
      </x:c>
      <x:c r="E634" s="75" t="n">
        <x:v>32</x:v>
      </x:c>
      <x:c r="F634" s="75" t="n">
        <x:v>36</x:v>
      </x:c>
      <x:c r="G634" s="75" t="n">
        <x:v>48</x:v>
      </x:c>
      <x:c r="H634" s="75" t="n">
        <x:v>5</x:v>
      </x:c>
      <x:c r="I634" s="75" t="n">
        <x:v>10</x:v>
      </x:c>
      <x:c r="J634" s="75" t="n">
        <x:v>50</x:v>
      </x:c>
      <x:c r="K634" s="75" t="n">
        <x:v>12</x:v>
      </x:c>
      <x:c r="L634" s="75" t="str">
        <x:v>R3_5of50_2of12</x:v>
      </x:c>
      <x:c r="M634" s="213" t="str">
        <x:v>S1_pre_2024_studio_change_sensitivity_only</x:v>
      </x:c>
      <x:c r="N634" s="213" t="str">
        <x:v>Friday</x:v>
      </x:c>
      <x:c r="O634" s="213" t="str">
        <x:v>LottoMetrics full-history export</x:v>
      </x:c>
      <x:c r="P634" s="213" t="str">
        <x:v>Archive-sourced; calendar/range/uniqueness validated</x:v>
      </x:c>
      <x:c r="Q634" s="54" t="str"/>
    </x:row>
    <x:row r="635">
      <x:c r="A635" s="74" t="n">
        <x:v>632</x:v>
      </x:c>
      <x:c r="B635" s="217" t="n">
        <x:v>45027</x:v>
      </x:c>
      <x:c r="C635" s="75" t="n">
        <x:v>5</x:v>
      </x:c>
      <x:c r="D635" s="75" t="n">
        <x:v>19</x:v>
      </x:c>
      <x:c r="E635" s="75" t="n">
        <x:v>33</x:v>
      </x:c>
      <x:c r="F635" s="75" t="n">
        <x:v>37</x:v>
      </x:c>
      <x:c r="G635" s="75" t="n">
        <x:v>42</x:v>
      </x:c>
      <x:c r="H635" s="75" t="n">
        <x:v>7</x:v>
      </x:c>
      <x:c r="I635" s="75" t="n">
        <x:v>9</x:v>
      </x:c>
      <x:c r="J635" s="75" t="n">
        <x:v>50</x:v>
      </x:c>
      <x:c r="K635" s="75" t="n">
        <x:v>12</x:v>
      </x:c>
      <x:c r="L635" s="75" t="str">
        <x:v>R3_5of50_2of12</x:v>
      </x:c>
      <x:c r="M635" s="213" t="str">
        <x:v>S1_pre_2024_studio_change_sensitivity_only</x:v>
      </x:c>
      <x:c r="N635" s="213" t="str">
        <x:v>Tuesday</x:v>
      </x:c>
      <x:c r="O635" s="213" t="str">
        <x:v>LottoMetrics full-history export</x:v>
      </x:c>
      <x:c r="P635" s="213" t="str">
        <x:v>Archive-sourced; calendar/range/uniqueness validated</x:v>
      </x:c>
      <x:c r="Q635" s="54" t="str"/>
    </x:row>
    <x:row r="636">
      <x:c r="A636" s="74" t="n">
        <x:v>633</x:v>
      </x:c>
      <x:c r="B636" s="217" t="n">
        <x:v>45030</x:v>
      </x:c>
      <x:c r="C636" s="75" t="n">
        <x:v>7</x:v>
      </x:c>
      <x:c r="D636" s="75" t="n">
        <x:v>11</x:v>
      </x:c>
      <x:c r="E636" s="75" t="n">
        <x:v>20</x:v>
      </x:c>
      <x:c r="F636" s="75" t="n">
        <x:v>21</x:v>
      </x:c>
      <x:c r="G636" s="75" t="n">
        <x:v>29</x:v>
      </x:c>
      <x:c r="H636" s="75" t="n">
        <x:v>6</x:v>
      </x:c>
      <x:c r="I636" s="75" t="n">
        <x:v>11</x:v>
      </x:c>
      <x:c r="J636" s="75" t="n">
        <x:v>50</x:v>
      </x:c>
      <x:c r="K636" s="75" t="n">
        <x:v>12</x:v>
      </x:c>
      <x:c r="L636" s="75" t="str">
        <x:v>R3_5of50_2of12</x:v>
      </x:c>
      <x:c r="M636" s="213" t="str">
        <x:v>S1_pre_2024_studio_change_sensitivity_only</x:v>
      </x:c>
      <x:c r="N636" s="213" t="str">
        <x:v>Friday</x:v>
      </x:c>
      <x:c r="O636" s="213" t="str">
        <x:v>LottoMetrics full-history export</x:v>
      </x:c>
      <x:c r="P636" s="213" t="str">
        <x:v>Archive-sourced; calendar/range/uniqueness validated</x:v>
      </x:c>
      <x:c r="Q636" s="54" t="str"/>
    </x:row>
    <x:row r="637">
      <x:c r="A637" s="74" t="n">
        <x:v>634</x:v>
      </x:c>
      <x:c r="B637" s="217" t="n">
        <x:v>45034</x:v>
      </x:c>
      <x:c r="C637" s="75" t="n">
        <x:v>16</x:v>
      </x:c>
      <x:c r="D637" s="75" t="n">
        <x:v>28</x:v>
      </x:c>
      <x:c r="E637" s="75" t="n">
        <x:v>31</x:v>
      </x:c>
      <x:c r="F637" s="75" t="n">
        <x:v>35</x:v>
      </x:c>
      <x:c r="G637" s="75" t="n">
        <x:v>42</x:v>
      </x:c>
      <x:c r="H637" s="75" t="n">
        <x:v>2</x:v>
      </x:c>
      <x:c r="I637" s="75" t="n">
        <x:v>10</x:v>
      </x:c>
      <x:c r="J637" s="75" t="n">
        <x:v>50</x:v>
      </x:c>
      <x:c r="K637" s="75" t="n">
        <x:v>12</x:v>
      </x:c>
      <x:c r="L637" s="75" t="str">
        <x:v>R3_5of50_2of12</x:v>
      </x:c>
      <x:c r="M637" s="213" t="str">
        <x:v>S1_pre_2024_studio_change_sensitivity_only</x:v>
      </x:c>
      <x:c r="N637" s="213" t="str">
        <x:v>Tuesday</x:v>
      </x:c>
      <x:c r="O637" s="213" t="str">
        <x:v>LottoMetrics full-history export</x:v>
      </x:c>
      <x:c r="P637" s="213" t="str">
        <x:v>Archive-sourced; calendar/range/uniqueness validated</x:v>
      </x:c>
      <x:c r="Q637" s="54" t="str"/>
    </x:row>
    <x:row r="638">
      <x:c r="A638" s="74" t="n">
        <x:v>635</x:v>
      </x:c>
      <x:c r="B638" s="217" t="n">
        <x:v>45037</x:v>
      </x:c>
      <x:c r="C638" s="75" t="n">
        <x:v>5</x:v>
      </x:c>
      <x:c r="D638" s="75" t="n">
        <x:v>13</x:v>
      </x:c>
      <x:c r="E638" s="75" t="n">
        <x:v>16</x:v>
      </x:c>
      <x:c r="F638" s="75" t="n">
        <x:v>41</x:v>
      </x:c>
      <x:c r="G638" s="75" t="n">
        <x:v>45</x:v>
      </x:c>
      <x:c r="H638" s="75" t="n">
        <x:v>3</x:v>
      </x:c>
      <x:c r="I638" s="75" t="n">
        <x:v>6</x:v>
      </x:c>
      <x:c r="J638" s="75" t="n">
        <x:v>50</x:v>
      </x:c>
      <x:c r="K638" s="75" t="n">
        <x:v>12</x:v>
      </x:c>
      <x:c r="L638" s="75" t="str">
        <x:v>R3_5of50_2of12</x:v>
      </x:c>
      <x:c r="M638" s="213" t="str">
        <x:v>S1_pre_2024_studio_change_sensitivity_only</x:v>
      </x:c>
      <x:c r="N638" s="213" t="str">
        <x:v>Friday</x:v>
      </x:c>
      <x:c r="O638" s="213" t="str">
        <x:v>LottoMetrics full-history export</x:v>
      </x:c>
      <x:c r="P638" s="213" t="str">
        <x:v>Archive-sourced; calendar/range/uniqueness validated</x:v>
      </x:c>
      <x:c r="Q638" s="54" t="str"/>
    </x:row>
    <x:row r="639">
      <x:c r="A639" s="74" t="n">
        <x:v>636</x:v>
      </x:c>
      <x:c r="B639" s="217" t="n">
        <x:v>45041</x:v>
      </x:c>
      <x:c r="C639" s="75" t="n">
        <x:v>12</x:v>
      </x:c>
      <x:c r="D639" s="75" t="n">
        <x:v>21</x:v>
      </x:c>
      <x:c r="E639" s="75" t="n">
        <x:v>24</x:v>
      </x:c>
      <x:c r="F639" s="75" t="n">
        <x:v>28</x:v>
      </x:c>
      <x:c r="G639" s="75" t="n">
        <x:v>40</x:v>
      </x:c>
      <x:c r="H639" s="75" t="n">
        <x:v>1</x:v>
      </x:c>
      <x:c r="I639" s="75" t="n">
        <x:v>3</x:v>
      </x:c>
      <x:c r="J639" s="75" t="n">
        <x:v>50</x:v>
      </x:c>
      <x:c r="K639" s="75" t="n">
        <x:v>12</x:v>
      </x:c>
      <x:c r="L639" s="75" t="str">
        <x:v>R3_5of50_2of12</x:v>
      </x:c>
      <x:c r="M639" s="213" t="str">
        <x:v>S1_pre_2024_studio_change_sensitivity_only</x:v>
      </x:c>
      <x:c r="N639" s="213" t="str">
        <x:v>Tuesday</x:v>
      </x:c>
      <x:c r="O639" s="213" t="str">
        <x:v>LottoMetrics full-history export</x:v>
      </x:c>
      <x:c r="P639" s="213" t="str">
        <x:v>Archive-sourced; calendar/range/uniqueness validated</x:v>
      </x:c>
      <x:c r="Q639" s="54" t="str"/>
    </x:row>
    <x:row r="640">
      <x:c r="A640" s="74" t="n">
        <x:v>637</x:v>
      </x:c>
      <x:c r="B640" s="217" t="n">
        <x:v>45044</x:v>
      </x:c>
      <x:c r="C640" s="75" t="n">
        <x:v>4</x:v>
      </x:c>
      <x:c r="D640" s="75" t="n">
        <x:v>8</x:v>
      </x:c>
      <x:c r="E640" s="75" t="n">
        <x:v>9</x:v>
      </x:c>
      <x:c r="F640" s="75" t="n">
        <x:v>30</x:v>
      </x:c>
      <x:c r="G640" s="75" t="n">
        <x:v>35</x:v>
      </x:c>
      <x:c r="H640" s="75" t="n">
        <x:v>6</x:v>
      </x:c>
      <x:c r="I640" s="75" t="n">
        <x:v>7</x:v>
      </x:c>
      <x:c r="J640" s="75" t="n">
        <x:v>50</x:v>
      </x:c>
      <x:c r="K640" s="75" t="n">
        <x:v>12</x:v>
      </x:c>
      <x:c r="L640" s="75" t="str">
        <x:v>R3_5of50_2of12</x:v>
      </x:c>
      <x:c r="M640" s="213" t="str">
        <x:v>S1_pre_2024_studio_change_sensitivity_only</x:v>
      </x:c>
      <x:c r="N640" s="213" t="str">
        <x:v>Friday</x:v>
      </x:c>
      <x:c r="O640" s="213" t="str">
        <x:v>LottoMetrics full-history export</x:v>
      </x:c>
      <x:c r="P640" s="213" t="str">
        <x:v>Archive-sourced; calendar/range/uniqueness validated</x:v>
      </x:c>
      <x:c r="Q640" s="54" t="str"/>
    </x:row>
    <x:row r="641">
      <x:c r="A641" s="74" t="n">
        <x:v>638</x:v>
      </x:c>
      <x:c r="B641" s="217" t="n">
        <x:v>45048</x:v>
      </x:c>
      <x:c r="C641" s="75" t="n">
        <x:v>11</x:v>
      </x:c>
      <x:c r="D641" s="75" t="n">
        <x:v>12</x:v>
      </x:c>
      <x:c r="E641" s="75" t="n">
        <x:v>13</x:v>
      </x:c>
      <x:c r="F641" s="75" t="n">
        <x:v>23</x:v>
      </x:c>
      <x:c r="G641" s="75" t="n">
        <x:v>26</x:v>
      </x:c>
      <x:c r="H641" s="75" t="n">
        <x:v>11</x:v>
      </x:c>
      <x:c r="I641" s="75" t="n">
        <x:v>12</x:v>
      </x:c>
      <x:c r="J641" s="75" t="n">
        <x:v>50</x:v>
      </x:c>
      <x:c r="K641" s="75" t="n">
        <x:v>12</x:v>
      </x:c>
      <x:c r="L641" s="75" t="str">
        <x:v>R3_5of50_2of12</x:v>
      </x:c>
      <x:c r="M641" s="213" t="str">
        <x:v>S1_pre_2024_studio_change_sensitivity_only</x:v>
      </x:c>
      <x:c r="N641" s="213" t="str">
        <x:v>Tuesday</x:v>
      </x:c>
      <x:c r="O641" s="213" t="str">
        <x:v>LottoMetrics full-history export</x:v>
      </x:c>
      <x:c r="P641" s="213" t="str">
        <x:v>Archive-sourced; calendar/range/uniqueness validated</x:v>
      </x:c>
      <x:c r="Q641" s="54" t="str"/>
    </x:row>
    <x:row r="642">
      <x:c r="A642" s="74" t="n">
        <x:v>639</x:v>
      </x:c>
      <x:c r="B642" s="217" t="n">
        <x:v>45051</x:v>
      </x:c>
      <x:c r="C642" s="75" t="n">
        <x:v>17</x:v>
      </x:c>
      <x:c r="D642" s="75" t="n">
        <x:v>18</x:v>
      </x:c>
      <x:c r="E642" s="75" t="n">
        <x:v>30</x:v>
      </x:c>
      <x:c r="F642" s="75" t="n">
        <x:v>33</x:v>
      </x:c>
      <x:c r="G642" s="75" t="n">
        <x:v>35</x:v>
      </x:c>
      <x:c r="H642" s="75" t="n">
        <x:v>6</x:v>
      </x:c>
      <x:c r="I642" s="75" t="n">
        <x:v>8</x:v>
      </x:c>
      <x:c r="J642" s="75" t="n">
        <x:v>50</x:v>
      </x:c>
      <x:c r="K642" s="75" t="n">
        <x:v>12</x:v>
      </x:c>
      <x:c r="L642" s="75" t="str">
        <x:v>R3_5of50_2of12</x:v>
      </x:c>
      <x:c r="M642" s="213" t="str">
        <x:v>S1_pre_2024_studio_change_sensitivity_only</x:v>
      </x:c>
      <x:c r="N642" s="213" t="str">
        <x:v>Friday</x:v>
      </x:c>
      <x:c r="O642" s="213" t="str">
        <x:v>LottoMetrics full-history export</x:v>
      </x:c>
      <x:c r="P642" s="213" t="str">
        <x:v>Archive-sourced; calendar/range/uniqueness validated</x:v>
      </x:c>
      <x:c r="Q642" s="54" t="str"/>
    </x:row>
    <x:row r="643">
      <x:c r="A643" s="74" t="n">
        <x:v>640</x:v>
      </x:c>
      <x:c r="B643" s="217" t="n">
        <x:v>45055</x:v>
      </x:c>
      <x:c r="C643" s="75" t="n">
        <x:v>6</x:v>
      </x:c>
      <x:c r="D643" s="75" t="n">
        <x:v>11</x:v>
      </x:c>
      <x:c r="E643" s="75" t="n">
        <x:v>29</x:v>
      </x:c>
      <x:c r="F643" s="75" t="n">
        <x:v>34</x:v>
      </x:c>
      <x:c r="G643" s="75" t="n">
        <x:v>39</x:v>
      </x:c>
      <x:c r="H643" s="75" t="n">
        <x:v>2</x:v>
      </x:c>
      <x:c r="I643" s="75" t="n">
        <x:v>3</x:v>
      </x:c>
      <x:c r="J643" s="75" t="n">
        <x:v>50</x:v>
      </x:c>
      <x:c r="K643" s="75" t="n">
        <x:v>12</x:v>
      </x:c>
      <x:c r="L643" s="75" t="str">
        <x:v>R3_5of50_2of12</x:v>
      </x:c>
      <x:c r="M643" s="213" t="str">
        <x:v>S1_pre_2024_studio_change_sensitivity_only</x:v>
      </x:c>
      <x:c r="N643" s="213" t="str">
        <x:v>Tuesday</x:v>
      </x:c>
      <x:c r="O643" s="213" t="str">
        <x:v>LottoMetrics full-history export</x:v>
      </x:c>
      <x:c r="P643" s="213" t="str">
        <x:v>Archive-sourced; calendar/range/uniqueness validated</x:v>
      </x:c>
      <x:c r="Q643" s="54" t="str"/>
    </x:row>
    <x:row r="644">
      <x:c r="A644" s="74" t="n">
        <x:v>641</x:v>
      </x:c>
      <x:c r="B644" s="217" t="n">
        <x:v>45058</x:v>
      </x:c>
      <x:c r="C644" s="75" t="n">
        <x:v>10</x:v>
      </x:c>
      <x:c r="D644" s="75" t="n">
        <x:v>27</x:v>
      </x:c>
      <x:c r="E644" s="75" t="n">
        <x:v>30</x:v>
      </x:c>
      <x:c r="F644" s="75" t="n">
        <x:v>32</x:v>
      </x:c>
      <x:c r="G644" s="75" t="n">
        <x:v>34</x:v>
      </x:c>
      <x:c r="H644" s="75" t="n">
        <x:v>5</x:v>
      </x:c>
      <x:c r="I644" s="75" t="n">
        <x:v>8</x:v>
      </x:c>
      <x:c r="J644" s="75" t="n">
        <x:v>50</x:v>
      </x:c>
      <x:c r="K644" s="75" t="n">
        <x:v>12</x:v>
      </x:c>
      <x:c r="L644" s="75" t="str">
        <x:v>R3_5of50_2of12</x:v>
      </x:c>
      <x:c r="M644" s="213" t="str">
        <x:v>S1_pre_2024_studio_change_sensitivity_only</x:v>
      </x:c>
      <x:c r="N644" s="213" t="str">
        <x:v>Friday</x:v>
      </x:c>
      <x:c r="O644" s="213" t="str">
        <x:v>LottoMetrics full-history export</x:v>
      </x:c>
      <x:c r="P644" s="213" t="str">
        <x:v>Archive-sourced; calendar/range/uniqueness validated</x:v>
      </x:c>
      <x:c r="Q644" s="54" t="str"/>
    </x:row>
    <x:row r="645">
      <x:c r="A645" s="74" t="n">
        <x:v>642</x:v>
      </x:c>
      <x:c r="B645" s="217" t="n">
        <x:v>45062</x:v>
      </x:c>
      <x:c r="C645" s="75" t="n">
        <x:v>28</x:v>
      </x:c>
      <x:c r="D645" s="75" t="n">
        <x:v>30</x:v>
      </x:c>
      <x:c r="E645" s="75" t="n">
        <x:v>31</x:v>
      </x:c>
      <x:c r="F645" s="75" t="n">
        <x:v>45</x:v>
      </x:c>
      <x:c r="G645" s="75" t="n">
        <x:v>46</x:v>
      </x:c>
      <x:c r="H645" s="75" t="n">
        <x:v>4</x:v>
      </x:c>
      <x:c r="I645" s="75" t="n">
        <x:v>8</x:v>
      </x:c>
      <x:c r="J645" s="75" t="n">
        <x:v>50</x:v>
      </x:c>
      <x:c r="K645" s="75" t="n">
        <x:v>12</x:v>
      </x:c>
      <x:c r="L645" s="75" t="str">
        <x:v>R3_5of50_2of12</x:v>
      </x:c>
      <x:c r="M645" s="213" t="str">
        <x:v>S1_pre_2024_studio_change_sensitivity_only</x:v>
      </x:c>
      <x:c r="N645" s="213" t="str">
        <x:v>Tuesday</x:v>
      </x:c>
      <x:c r="O645" s="213" t="str">
        <x:v>LottoMetrics full-history export</x:v>
      </x:c>
      <x:c r="P645" s="213" t="str">
        <x:v>Archive-sourced; calendar/range/uniqueness validated</x:v>
      </x:c>
      <x:c r="Q645" s="54" t="str"/>
    </x:row>
    <x:row r="646">
      <x:c r="A646" s="74" t="n">
        <x:v>643</x:v>
      </x:c>
      <x:c r="B646" s="217" t="n">
        <x:v>45065</x:v>
      </x:c>
      <x:c r="C646" s="75" t="n">
        <x:v>1</x:v>
      </x:c>
      <x:c r="D646" s="75" t="n">
        <x:v>5</x:v>
      </x:c>
      <x:c r="E646" s="75" t="n">
        <x:v>8</x:v>
      </x:c>
      <x:c r="F646" s="75" t="n">
        <x:v>20</x:v>
      </x:c>
      <x:c r="G646" s="75" t="n">
        <x:v>35</x:v>
      </x:c>
      <x:c r="H646" s="75" t="n">
        <x:v>3</x:v>
      </x:c>
      <x:c r="I646" s="75" t="n">
        <x:v>12</x:v>
      </x:c>
      <x:c r="J646" s="75" t="n">
        <x:v>50</x:v>
      </x:c>
      <x:c r="K646" s="75" t="n">
        <x:v>12</x:v>
      </x:c>
      <x:c r="L646" s="75" t="str">
        <x:v>R3_5of50_2of12</x:v>
      </x:c>
      <x:c r="M646" s="213" t="str">
        <x:v>S1_pre_2024_studio_change_sensitivity_only</x:v>
      </x:c>
      <x:c r="N646" s="213" t="str">
        <x:v>Friday</x:v>
      </x:c>
      <x:c r="O646" s="213" t="str">
        <x:v>LottoMetrics full-history export</x:v>
      </x:c>
      <x:c r="P646" s="213" t="str">
        <x:v>Archive-sourced; calendar/range/uniqueness validated</x:v>
      </x:c>
      <x:c r="Q646" s="54" t="str"/>
    </x:row>
    <x:row r="647">
      <x:c r="A647" s="74" t="n">
        <x:v>644</x:v>
      </x:c>
      <x:c r="B647" s="217" t="n">
        <x:v>45069</x:v>
      </x:c>
      <x:c r="C647" s="75" t="n">
        <x:v>1</x:v>
      </x:c>
      <x:c r="D647" s="75" t="n">
        <x:v>2</x:v>
      </x:c>
      <x:c r="E647" s="75" t="n">
        <x:v>11</x:v>
      </x:c>
      <x:c r="F647" s="75" t="n">
        <x:v>14</x:v>
      </x:c>
      <x:c r="G647" s="75" t="n">
        <x:v>36</x:v>
      </x:c>
      <x:c r="H647" s="75" t="n">
        <x:v>2</x:v>
      </x:c>
      <x:c r="I647" s="75" t="n">
        <x:v>3</x:v>
      </x:c>
      <x:c r="J647" s="75" t="n">
        <x:v>50</x:v>
      </x:c>
      <x:c r="K647" s="75" t="n">
        <x:v>12</x:v>
      </x:c>
      <x:c r="L647" s="75" t="str">
        <x:v>R3_5of50_2of12</x:v>
      </x:c>
      <x:c r="M647" s="213" t="str">
        <x:v>S1_pre_2024_studio_change_sensitivity_only</x:v>
      </x:c>
      <x:c r="N647" s="213" t="str">
        <x:v>Tuesday</x:v>
      </x:c>
      <x:c r="O647" s="213" t="str">
        <x:v>LottoMetrics full-history export</x:v>
      </x:c>
      <x:c r="P647" s="213" t="str">
        <x:v>Archive-sourced; calendar/range/uniqueness validated</x:v>
      </x:c>
      <x:c r="Q647" s="54" t="str"/>
    </x:row>
    <x:row r="648">
      <x:c r="A648" s="74" t="n">
        <x:v>645</x:v>
      </x:c>
      <x:c r="B648" s="217" t="n">
        <x:v>45072</x:v>
      </x:c>
      <x:c r="C648" s="75" t="n">
        <x:v>1</x:v>
      </x:c>
      <x:c r="D648" s="75" t="n">
        <x:v>3</x:v>
      </x:c>
      <x:c r="E648" s="75" t="n">
        <x:v>29</x:v>
      </x:c>
      <x:c r="F648" s="75" t="n">
        <x:v>45</x:v>
      </x:c>
      <x:c r="G648" s="75" t="n">
        <x:v>47</x:v>
      </x:c>
      <x:c r="H648" s="75" t="n">
        <x:v>5</x:v>
      </x:c>
      <x:c r="I648" s="75" t="n">
        <x:v>8</x:v>
      </x:c>
      <x:c r="J648" s="75" t="n">
        <x:v>50</x:v>
      </x:c>
      <x:c r="K648" s="75" t="n">
        <x:v>12</x:v>
      </x:c>
      <x:c r="L648" s="75" t="str">
        <x:v>R3_5of50_2of12</x:v>
      </x:c>
      <x:c r="M648" s="213" t="str">
        <x:v>S1_pre_2024_studio_change_sensitivity_only</x:v>
      </x:c>
      <x:c r="N648" s="213" t="str">
        <x:v>Friday</x:v>
      </x:c>
      <x:c r="O648" s="213" t="str">
        <x:v>LottoMetrics full-history export</x:v>
      </x:c>
      <x:c r="P648" s="213" t="str">
        <x:v>Archive-sourced; calendar/range/uniqueness validated</x:v>
      </x:c>
      <x:c r="Q648" s="54" t="str"/>
    </x:row>
    <x:row r="649">
      <x:c r="A649" s="74" t="n">
        <x:v>646</x:v>
      </x:c>
      <x:c r="B649" s="217" t="n">
        <x:v>45076</x:v>
      </x:c>
      <x:c r="C649" s="75" t="n">
        <x:v>2</x:v>
      </x:c>
      <x:c r="D649" s="75" t="n">
        <x:v>8</x:v>
      </x:c>
      <x:c r="E649" s="75" t="n">
        <x:v>16</x:v>
      </x:c>
      <x:c r="F649" s="75" t="n">
        <x:v>21</x:v>
      </x:c>
      <x:c r="G649" s="75" t="n">
        <x:v>39</x:v>
      </x:c>
      <x:c r="H649" s="75" t="n">
        <x:v>4</x:v>
      </x:c>
      <x:c r="I649" s="75" t="n">
        <x:v>5</x:v>
      </x:c>
      <x:c r="J649" s="75" t="n">
        <x:v>50</x:v>
      </x:c>
      <x:c r="K649" s="75" t="n">
        <x:v>12</x:v>
      </x:c>
      <x:c r="L649" s="75" t="str">
        <x:v>R3_5of50_2of12</x:v>
      </x:c>
      <x:c r="M649" s="213" t="str">
        <x:v>S1_pre_2024_studio_change_sensitivity_only</x:v>
      </x:c>
      <x:c r="N649" s="213" t="str">
        <x:v>Tuesday</x:v>
      </x:c>
      <x:c r="O649" s="213" t="str">
        <x:v>LottoMetrics full-history export</x:v>
      </x:c>
      <x:c r="P649" s="213" t="str">
        <x:v>Archive-sourced; calendar/range/uniqueness validated</x:v>
      </x:c>
      <x:c r="Q649" s="54" t="str"/>
    </x:row>
    <x:row r="650">
      <x:c r="A650" s="74" t="n">
        <x:v>647</x:v>
      </x:c>
      <x:c r="B650" s="217" t="n">
        <x:v>45079</x:v>
      </x:c>
      <x:c r="C650" s="75" t="n">
        <x:v>8</x:v>
      </x:c>
      <x:c r="D650" s="75" t="n">
        <x:v>9</x:v>
      </x:c>
      <x:c r="E650" s="75" t="n">
        <x:v>11</x:v>
      </x:c>
      <x:c r="F650" s="75" t="n">
        <x:v>13</x:v>
      </x:c>
      <x:c r="G650" s="75" t="n">
        <x:v>50</x:v>
      </x:c>
      <x:c r="H650" s="75" t="n">
        <x:v>6</x:v>
      </x:c>
      <x:c r="I650" s="75" t="n">
        <x:v>11</x:v>
      </x:c>
      <x:c r="J650" s="75" t="n">
        <x:v>50</x:v>
      </x:c>
      <x:c r="K650" s="75" t="n">
        <x:v>12</x:v>
      </x:c>
      <x:c r="L650" s="75" t="str">
        <x:v>R3_5of50_2of12</x:v>
      </x:c>
      <x:c r="M650" s="213" t="str">
        <x:v>S1_pre_2024_studio_change_sensitivity_only</x:v>
      </x:c>
      <x:c r="N650" s="213" t="str">
        <x:v>Friday</x:v>
      </x:c>
      <x:c r="O650" s="213" t="str">
        <x:v>LottoMetrics full-history export</x:v>
      </x:c>
      <x:c r="P650" s="213" t="str">
        <x:v>Archive-sourced; calendar/range/uniqueness validated</x:v>
      </x:c>
      <x:c r="Q650" s="54" t="str"/>
    </x:row>
    <x:row r="651">
      <x:c r="A651" s="74" t="n">
        <x:v>648</x:v>
      </x:c>
      <x:c r="B651" s="217" t="n">
        <x:v>45083</x:v>
      </x:c>
      <x:c r="C651" s="75" t="n">
        <x:v>5</x:v>
      </x:c>
      <x:c r="D651" s="75" t="n">
        <x:v>7</x:v>
      </x:c>
      <x:c r="E651" s="75" t="n">
        <x:v>21</x:v>
      </x:c>
      <x:c r="F651" s="75" t="n">
        <x:v>22</x:v>
      </x:c>
      <x:c r="G651" s="75" t="n">
        <x:v>29</x:v>
      </x:c>
      <x:c r="H651" s="75" t="n">
        <x:v>3</x:v>
      </x:c>
      <x:c r="I651" s="75" t="n">
        <x:v>10</x:v>
      </x:c>
      <x:c r="J651" s="75" t="n">
        <x:v>50</x:v>
      </x:c>
      <x:c r="K651" s="75" t="n">
        <x:v>12</x:v>
      </x:c>
      <x:c r="L651" s="75" t="str">
        <x:v>R3_5of50_2of12</x:v>
      </x:c>
      <x:c r="M651" s="213" t="str">
        <x:v>S1_pre_2024_studio_change_sensitivity_only</x:v>
      </x:c>
      <x:c r="N651" s="213" t="str">
        <x:v>Tuesday</x:v>
      </x:c>
      <x:c r="O651" s="213" t="str">
        <x:v>LottoMetrics full-history export</x:v>
      </x:c>
      <x:c r="P651" s="213" t="str">
        <x:v>Archive-sourced; calendar/range/uniqueness validated</x:v>
      </x:c>
      <x:c r="Q651" s="54" t="str"/>
    </x:row>
    <x:row r="652">
      <x:c r="A652" s="74" t="n">
        <x:v>649</x:v>
      </x:c>
      <x:c r="B652" s="217" t="n">
        <x:v>45086</x:v>
      </x:c>
      <x:c r="C652" s="75" t="n">
        <x:v>8</x:v>
      </x:c>
      <x:c r="D652" s="75" t="n">
        <x:v>13</x:v>
      </x:c>
      <x:c r="E652" s="75" t="n">
        <x:v>24</x:v>
      </x:c>
      <x:c r="F652" s="75" t="n">
        <x:v>35</x:v>
      </x:c>
      <x:c r="G652" s="75" t="n">
        <x:v>46</x:v>
      </x:c>
      <x:c r="H652" s="75" t="n">
        <x:v>6</x:v>
      </x:c>
      <x:c r="I652" s="75" t="n">
        <x:v>8</x:v>
      </x:c>
      <x:c r="J652" s="75" t="n">
        <x:v>50</x:v>
      </x:c>
      <x:c r="K652" s="75" t="n">
        <x:v>12</x:v>
      </x:c>
      <x:c r="L652" s="75" t="str">
        <x:v>R3_5of50_2of12</x:v>
      </x:c>
      <x:c r="M652" s="213" t="str">
        <x:v>S1_pre_2024_studio_change_sensitivity_only</x:v>
      </x:c>
      <x:c r="N652" s="213" t="str">
        <x:v>Friday</x:v>
      </x:c>
      <x:c r="O652" s="213" t="str">
        <x:v>LottoMetrics full-history export</x:v>
      </x:c>
      <x:c r="P652" s="213" t="str">
        <x:v>Archive-sourced; calendar/range/uniqueness validated</x:v>
      </x:c>
      <x:c r="Q652" s="54" t="str"/>
    </x:row>
    <x:row r="653">
      <x:c r="A653" s="74" t="n">
        <x:v>650</x:v>
      </x:c>
      <x:c r="B653" s="217" t="n">
        <x:v>45090</x:v>
      </x:c>
      <x:c r="C653" s="75" t="n">
        <x:v>11</x:v>
      </x:c>
      <x:c r="D653" s="75" t="n">
        <x:v>29</x:v>
      </x:c>
      <x:c r="E653" s="75" t="n">
        <x:v>32</x:v>
      </x:c>
      <x:c r="F653" s="75" t="n">
        <x:v>46</x:v>
      </x:c>
      <x:c r="G653" s="75" t="n">
        <x:v>47</x:v>
      </x:c>
      <x:c r="H653" s="75" t="n">
        <x:v>5</x:v>
      </x:c>
      <x:c r="I653" s="75" t="n">
        <x:v>7</x:v>
      </x:c>
      <x:c r="J653" s="75" t="n">
        <x:v>50</x:v>
      </x:c>
      <x:c r="K653" s="75" t="n">
        <x:v>12</x:v>
      </x:c>
      <x:c r="L653" s="75" t="str">
        <x:v>R3_5of50_2of12</x:v>
      </x:c>
      <x:c r="M653" s="213" t="str">
        <x:v>S1_pre_2024_studio_change_sensitivity_only</x:v>
      </x:c>
      <x:c r="N653" s="213" t="str">
        <x:v>Tuesday</x:v>
      </x:c>
      <x:c r="O653" s="213" t="str">
        <x:v>LottoMetrics full-history export</x:v>
      </x:c>
      <x:c r="P653" s="213" t="str">
        <x:v>Archive-sourced; calendar/range/uniqueness validated</x:v>
      </x:c>
      <x:c r="Q653" s="54" t="str"/>
    </x:row>
    <x:row r="654">
      <x:c r="A654" s="74" t="n">
        <x:v>651</x:v>
      </x:c>
      <x:c r="B654" s="217" t="n">
        <x:v>45093</x:v>
      </x:c>
      <x:c r="C654" s="75" t="n">
        <x:v>5</x:v>
      </x:c>
      <x:c r="D654" s="75" t="n">
        <x:v>19</x:v>
      </x:c>
      <x:c r="E654" s="75" t="n">
        <x:v>33</x:v>
      </x:c>
      <x:c r="F654" s="75" t="n">
        <x:v>36</x:v>
      </x:c>
      <x:c r="G654" s="75" t="n">
        <x:v>42</x:v>
      </x:c>
      <x:c r="H654" s="75" t="n">
        <x:v>7</x:v>
      </x:c>
      <x:c r="I654" s="75" t="n">
        <x:v>12</x:v>
      </x:c>
      <x:c r="J654" s="75" t="n">
        <x:v>50</x:v>
      </x:c>
      <x:c r="K654" s="75" t="n">
        <x:v>12</x:v>
      </x:c>
      <x:c r="L654" s="75" t="str">
        <x:v>R3_5of50_2of12</x:v>
      </x:c>
      <x:c r="M654" s="213" t="str">
        <x:v>S1_pre_2024_studio_change_sensitivity_only</x:v>
      </x:c>
      <x:c r="N654" s="213" t="str">
        <x:v>Friday</x:v>
      </x:c>
      <x:c r="O654" s="213" t="str">
        <x:v>LottoMetrics full-history export</x:v>
      </x:c>
      <x:c r="P654" s="213" t="str">
        <x:v>Archive-sourced; calendar/range/uniqueness validated</x:v>
      </x:c>
      <x:c r="Q654" s="54" t="str"/>
    </x:row>
    <x:row r="655">
      <x:c r="A655" s="74" t="n">
        <x:v>652</x:v>
      </x:c>
      <x:c r="B655" s="217" t="n">
        <x:v>45097</x:v>
      </x:c>
      <x:c r="C655" s="75" t="n">
        <x:v>9</x:v>
      </x:c>
      <x:c r="D655" s="75" t="n">
        <x:v>18</x:v>
      </x:c>
      <x:c r="E655" s="75" t="n">
        <x:v>30</x:v>
      </x:c>
      <x:c r="F655" s="75" t="n">
        <x:v>34</x:v>
      </x:c>
      <x:c r="G655" s="75" t="n">
        <x:v>48</x:v>
      </x:c>
      <x:c r="H655" s="75" t="n">
        <x:v>1</x:v>
      </x:c>
      <x:c r="I655" s="75" t="n">
        <x:v>7</x:v>
      </x:c>
      <x:c r="J655" s="75" t="n">
        <x:v>50</x:v>
      </x:c>
      <x:c r="K655" s="75" t="n">
        <x:v>12</x:v>
      </x:c>
      <x:c r="L655" s="75" t="str">
        <x:v>R3_5of50_2of12</x:v>
      </x:c>
      <x:c r="M655" s="213" t="str">
        <x:v>S1_pre_2024_studio_change_sensitivity_only</x:v>
      </x:c>
      <x:c r="N655" s="213" t="str">
        <x:v>Tuesday</x:v>
      </x:c>
      <x:c r="O655" s="213" t="str">
        <x:v>LottoMetrics full-history export</x:v>
      </x:c>
      <x:c r="P655" s="213" t="str">
        <x:v>Archive-sourced; calendar/range/uniqueness validated</x:v>
      </x:c>
      <x:c r="Q655" s="54" t="str"/>
    </x:row>
    <x:row r="656">
      <x:c r="A656" s="74" t="n">
        <x:v>653</x:v>
      </x:c>
      <x:c r="B656" s="217" t="n">
        <x:v>45100</x:v>
      </x:c>
      <x:c r="C656" s="75" t="n">
        <x:v>2</x:v>
      </x:c>
      <x:c r="D656" s="75" t="n">
        <x:v>3</x:v>
      </x:c>
      <x:c r="E656" s="75" t="n">
        <x:v>18</x:v>
      </x:c>
      <x:c r="F656" s="75" t="n">
        <x:v>23</x:v>
      </x:c>
      <x:c r="G656" s="75" t="n">
        <x:v>39</x:v>
      </x:c>
      <x:c r="H656" s="75" t="n">
        <x:v>6</x:v>
      </x:c>
      <x:c r="I656" s="75" t="n">
        <x:v>8</x:v>
      </x:c>
      <x:c r="J656" s="75" t="n">
        <x:v>50</x:v>
      </x:c>
      <x:c r="K656" s="75" t="n">
        <x:v>12</x:v>
      </x:c>
      <x:c r="L656" s="75" t="str">
        <x:v>R3_5of50_2of12</x:v>
      </x:c>
      <x:c r="M656" s="213" t="str">
        <x:v>S1_pre_2024_studio_change_sensitivity_only</x:v>
      </x:c>
      <x:c r="N656" s="213" t="str">
        <x:v>Friday</x:v>
      </x:c>
      <x:c r="O656" s="213" t="str">
        <x:v>LottoMetrics full-history export</x:v>
      </x:c>
      <x:c r="P656" s="213" t="str">
        <x:v>Archive-sourced; calendar/range/uniqueness validated</x:v>
      </x:c>
      <x:c r="Q656" s="54" t="str"/>
    </x:row>
    <x:row r="657">
      <x:c r="A657" s="74" t="n">
        <x:v>654</x:v>
      </x:c>
      <x:c r="B657" s="217" t="n">
        <x:v>45104</x:v>
      </x:c>
      <x:c r="C657" s="75" t="n">
        <x:v>7</x:v>
      </x:c>
      <x:c r="D657" s="75" t="n">
        <x:v>10</x:v>
      </x:c>
      <x:c r="E657" s="75" t="n">
        <x:v>13</x:v>
      </x:c>
      <x:c r="F657" s="75" t="n">
        <x:v>34</x:v>
      </x:c>
      <x:c r="G657" s="75" t="n">
        <x:v>47</x:v>
      </x:c>
      <x:c r="H657" s="75" t="n">
        <x:v>5</x:v>
      </x:c>
      <x:c r="I657" s="75" t="n">
        <x:v>9</x:v>
      </x:c>
      <x:c r="J657" s="75" t="n">
        <x:v>50</x:v>
      </x:c>
      <x:c r="K657" s="75" t="n">
        <x:v>12</x:v>
      </x:c>
      <x:c r="L657" s="75" t="str">
        <x:v>R3_5of50_2of12</x:v>
      </x:c>
      <x:c r="M657" s="213" t="str">
        <x:v>S1_pre_2024_studio_change_sensitivity_only</x:v>
      </x:c>
      <x:c r="N657" s="213" t="str">
        <x:v>Tuesday</x:v>
      </x:c>
      <x:c r="O657" s="213" t="str">
        <x:v>LottoMetrics full-history export</x:v>
      </x:c>
      <x:c r="P657" s="213" t="str">
        <x:v>Archive-sourced; calendar/range/uniqueness validated</x:v>
      </x:c>
      <x:c r="Q657" s="54" t="str"/>
    </x:row>
    <x:row r="658">
      <x:c r="A658" s="74" t="n">
        <x:v>655</x:v>
      </x:c>
      <x:c r="B658" s="217" t="n">
        <x:v>45107</x:v>
      </x:c>
      <x:c r="C658" s="75" t="n">
        <x:v>3</x:v>
      </x:c>
      <x:c r="D658" s="75" t="n">
        <x:v>14</x:v>
      </x:c>
      <x:c r="E658" s="75" t="n">
        <x:v>23</x:v>
      </x:c>
      <x:c r="F658" s="75" t="n">
        <x:v>41</x:v>
      </x:c>
      <x:c r="G658" s="75" t="n">
        <x:v>43</x:v>
      </x:c>
      <x:c r="H658" s="75" t="n">
        <x:v>2</x:v>
      </x:c>
      <x:c r="I658" s="75" t="n">
        <x:v>6</x:v>
      </x:c>
      <x:c r="J658" s="75" t="n">
        <x:v>50</x:v>
      </x:c>
      <x:c r="K658" s="75" t="n">
        <x:v>12</x:v>
      </x:c>
      <x:c r="L658" s="75" t="str">
        <x:v>R3_5of50_2of12</x:v>
      </x:c>
      <x:c r="M658" s="213" t="str">
        <x:v>S1_pre_2024_studio_change_sensitivity_only</x:v>
      </x:c>
      <x:c r="N658" s="213" t="str">
        <x:v>Friday</x:v>
      </x:c>
      <x:c r="O658" s="213" t="str">
        <x:v>LottoMetrics full-history export</x:v>
      </x:c>
      <x:c r="P658" s="213" t="str">
        <x:v>Archive-sourced; calendar/range/uniqueness validated</x:v>
      </x:c>
      <x:c r="Q658" s="54" t="str"/>
    </x:row>
    <x:row r="659">
      <x:c r="A659" s="74" t="n">
        <x:v>656</x:v>
      </x:c>
      <x:c r="B659" s="217" t="n">
        <x:v>45111</x:v>
      </x:c>
      <x:c r="C659" s="75" t="n">
        <x:v>19</x:v>
      </x:c>
      <x:c r="D659" s="75" t="n">
        <x:v>21</x:v>
      </x:c>
      <x:c r="E659" s="75" t="n">
        <x:v>23</x:v>
      </x:c>
      <x:c r="F659" s="75" t="n">
        <x:v>36</x:v>
      </x:c>
      <x:c r="G659" s="75" t="n">
        <x:v>39</x:v>
      </x:c>
      <x:c r="H659" s="75" t="n">
        <x:v>5</x:v>
      </x:c>
      <x:c r="I659" s="75" t="n">
        <x:v>12</x:v>
      </x:c>
      <x:c r="J659" s="75" t="n">
        <x:v>50</x:v>
      </x:c>
      <x:c r="K659" s="75" t="n">
        <x:v>12</x:v>
      </x:c>
      <x:c r="L659" s="75" t="str">
        <x:v>R3_5of50_2of12</x:v>
      </x:c>
      <x:c r="M659" s="213" t="str">
        <x:v>S1_pre_2024_studio_change_sensitivity_only</x:v>
      </x:c>
      <x:c r="N659" s="213" t="str">
        <x:v>Tuesday</x:v>
      </x:c>
      <x:c r="O659" s="213" t="str">
        <x:v>LottoMetrics full-history export</x:v>
      </x:c>
      <x:c r="P659" s="213" t="str">
        <x:v>Archive-sourced; calendar/range/uniqueness validated</x:v>
      </x:c>
      <x:c r="Q659" s="54" t="str"/>
    </x:row>
    <x:row r="660">
      <x:c r="A660" s="74" t="n">
        <x:v>657</x:v>
      </x:c>
      <x:c r="B660" s="217" t="n">
        <x:v>45114</x:v>
      </x:c>
      <x:c r="C660" s="75" t="n">
        <x:v>9</x:v>
      </x:c>
      <x:c r="D660" s="75" t="n">
        <x:v>18</x:v>
      </x:c>
      <x:c r="E660" s="75" t="n">
        <x:v>20</x:v>
      </x:c>
      <x:c r="F660" s="75" t="n">
        <x:v>40</x:v>
      </x:c>
      <x:c r="G660" s="75" t="n">
        <x:v>41</x:v>
      </x:c>
      <x:c r="H660" s="75" t="n">
        <x:v>3</x:v>
      </x:c>
      <x:c r="I660" s="75" t="n">
        <x:v>9</x:v>
      </x:c>
      <x:c r="J660" s="75" t="n">
        <x:v>50</x:v>
      </x:c>
      <x:c r="K660" s="75" t="n">
        <x:v>12</x:v>
      </x:c>
      <x:c r="L660" s="75" t="str">
        <x:v>R3_5of50_2of12</x:v>
      </x:c>
      <x:c r="M660" s="213" t="str">
        <x:v>S1_pre_2024_studio_change_sensitivity_only</x:v>
      </x:c>
      <x:c r="N660" s="213" t="str">
        <x:v>Friday</x:v>
      </x:c>
      <x:c r="O660" s="213" t="str">
        <x:v>LottoMetrics full-history export</x:v>
      </x:c>
      <x:c r="P660" s="213" t="str">
        <x:v>Archive-sourced; calendar/range/uniqueness validated</x:v>
      </x:c>
      <x:c r="Q660" s="54" t="str"/>
    </x:row>
    <x:row r="661">
      <x:c r="A661" s="74" t="n">
        <x:v>658</x:v>
      </x:c>
      <x:c r="B661" s="217" t="n">
        <x:v>45118</x:v>
      </x:c>
      <x:c r="C661" s="75" t="n">
        <x:v>11</x:v>
      </x:c>
      <x:c r="D661" s="75" t="n">
        <x:v>15</x:v>
      </x:c>
      <x:c r="E661" s="75" t="n">
        <x:v>17</x:v>
      </x:c>
      <x:c r="F661" s="75" t="n">
        <x:v>24</x:v>
      </x:c>
      <x:c r="G661" s="75" t="n">
        <x:v>46</x:v>
      </x:c>
      <x:c r="H661" s="75" t="n">
        <x:v>2</x:v>
      </x:c>
      <x:c r="I661" s="75" t="n">
        <x:v>11</x:v>
      </x:c>
      <x:c r="J661" s="75" t="n">
        <x:v>50</x:v>
      </x:c>
      <x:c r="K661" s="75" t="n">
        <x:v>12</x:v>
      </x:c>
      <x:c r="L661" s="75" t="str">
        <x:v>R3_5of50_2of12</x:v>
      </x:c>
      <x:c r="M661" s="213" t="str">
        <x:v>S1_pre_2024_studio_change_sensitivity_only</x:v>
      </x:c>
      <x:c r="N661" s="213" t="str">
        <x:v>Tuesday</x:v>
      </x:c>
      <x:c r="O661" s="213" t="str">
        <x:v>LottoMetrics full-history export</x:v>
      </x:c>
      <x:c r="P661" s="213" t="str">
        <x:v>Archive-sourced; calendar/range/uniqueness validated</x:v>
      </x:c>
      <x:c r="Q661" s="54" t="str"/>
    </x:row>
    <x:row r="662">
      <x:c r="A662" s="74" t="n">
        <x:v>659</x:v>
      </x:c>
      <x:c r="B662" s="217" t="n">
        <x:v>45121</x:v>
      </x:c>
      <x:c r="C662" s="75" t="n">
        <x:v>2</x:v>
      </x:c>
      <x:c r="D662" s="75" t="n">
        <x:v>4</x:v>
      </x:c>
      <x:c r="E662" s="75" t="n">
        <x:v>12</x:v>
      </x:c>
      <x:c r="F662" s="75" t="n">
        <x:v>31</x:v>
      </x:c>
      <x:c r="G662" s="75" t="n">
        <x:v>50</x:v>
      </x:c>
      <x:c r="H662" s="75" t="n">
        <x:v>6</x:v>
      </x:c>
      <x:c r="I662" s="75" t="n">
        <x:v>8</x:v>
      </x:c>
      <x:c r="J662" s="75" t="n">
        <x:v>50</x:v>
      </x:c>
      <x:c r="K662" s="75" t="n">
        <x:v>12</x:v>
      </x:c>
      <x:c r="L662" s="75" t="str">
        <x:v>R3_5of50_2of12</x:v>
      </x:c>
      <x:c r="M662" s="213" t="str">
        <x:v>S1_pre_2024_studio_change_sensitivity_only</x:v>
      </x:c>
      <x:c r="N662" s="213" t="str">
        <x:v>Friday</x:v>
      </x:c>
      <x:c r="O662" s="213" t="str">
        <x:v>LottoMetrics full-history export</x:v>
      </x:c>
      <x:c r="P662" s="213" t="str">
        <x:v>Archive-sourced; calendar/range/uniqueness validated</x:v>
      </x:c>
      <x:c r="Q662" s="54" t="str"/>
    </x:row>
    <x:row r="663">
      <x:c r="A663" s="74" t="n">
        <x:v>660</x:v>
      </x:c>
      <x:c r="B663" s="217" t="n">
        <x:v>45125</x:v>
      </x:c>
      <x:c r="C663" s="75" t="n">
        <x:v>14</x:v>
      </x:c>
      <x:c r="D663" s="75" t="n">
        <x:v>16</x:v>
      </x:c>
      <x:c r="E663" s="75" t="n">
        <x:v>24</x:v>
      </x:c>
      <x:c r="F663" s="75" t="n">
        <x:v>40</x:v>
      </x:c>
      <x:c r="G663" s="75" t="n">
        <x:v>43</x:v>
      </x:c>
      <x:c r="H663" s="75" t="n">
        <x:v>1</x:v>
      </x:c>
      <x:c r="I663" s="75" t="n">
        <x:v>5</x:v>
      </x:c>
      <x:c r="J663" s="75" t="n">
        <x:v>50</x:v>
      </x:c>
      <x:c r="K663" s="75" t="n">
        <x:v>12</x:v>
      </x:c>
      <x:c r="L663" s="75" t="str">
        <x:v>R3_5of50_2of12</x:v>
      </x:c>
      <x:c r="M663" s="213" t="str">
        <x:v>S1_pre_2024_studio_change_sensitivity_only</x:v>
      </x:c>
      <x:c r="N663" s="213" t="str">
        <x:v>Tuesday</x:v>
      </x:c>
      <x:c r="O663" s="213" t="str">
        <x:v>LottoMetrics full-history export</x:v>
      </x:c>
      <x:c r="P663" s="213" t="str">
        <x:v>Archive-sourced; calendar/range/uniqueness validated</x:v>
      </x:c>
      <x:c r="Q663" s="54" t="str"/>
    </x:row>
    <x:row r="664">
      <x:c r="A664" s="74" t="n">
        <x:v>661</x:v>
      </x:c>
      <x:c r="B664" s="217" t="n">
        <x:v>45128</x:v>
      </x:c>
      <x:c r="C664" s="75" t="n">
        <x:v>7</x:v>
      </x:c>
      <x:c r="D664" s="75" t="n">
        <x:v>16</x:v>
      </x:c>
      <x:c r="E664" s="75" t="n">
        <x:v>22</x:v>
      </x:c>
      <x:c r="F664" s="75" t="n">
        <x:v>38</x:v>
      </x:c>
      <x:c r="G664" s="75" t="n">
        <x:v>41</x:v>
      </x:c>
      <x:c r="H664" s="75" t="n">
        <x:v>5</x:v>
      </x:c>
      <x:c r="I664" s="75" t="n">
        <x:v>9</x:v>
      </x:c>
      <x:c r="J664" s="75" t="n">
        <x:v>50</x:v>
      </x:c>
      <x:c r="K664" s="75" t="n">
        <x:v>12</x:v>
      </x:c>
      <x:c r="L664" s="75" t="str">
        <x:v>R3_5of50_2of12</x:v>
      </x:c>
      <x:c r="M664" s="213" t="str">
        <x:v>S1_pre_2024_studio_change_sensitivity_only</x:v>
      </x:c>
      <x:c r="N664" s="213" t="str">
        <x:v>Friday</x:v>
      </x:c>
      <x:c r="O664" s="213" t="str">
        <x:v>LottoMetrics full-history export</x:v>
      </x:c>
      <x:c r="P664" s="213" t="str">
        <x:v>Archive-sourced; calendar/range/uniqueness validated</x:v>
      </x:c>
      <x:c r="Q664" s="54" t="str"/>
    </x:row>
    <x:row r="665">
      <x:c r="A665" s="74" t="n">
        <x:v>662</x:v>
      </x:c>
      <x:c r="B665" s="217" t="n">
        <x:v>45132</x:v>
      </x:c>
      <x:c r="C665" s="75" t="n">
        <x:v>3</x:v>
      </x:c>
      <x:c r="D665" s="75" t="n">
        <x:v>9</x:v>
      </x:c>
      <x:c r="E665" s="75" t="n">
        <x:v>11</x:v>
      </x:c>
      <x:c r="F665" s="75" t="n">
        <x:v>20</x:v>
      </x:c>
      <x:c r="G665" s="75" t="n">
        <x:v>39</x:v>
      </x:c>
      <x:c r="H665" s="75" t="n">
        <x:v>2</x:v>
      </x:c>
      <x:c r="I665" s="75" t="n">
        <x:v>3</x:v>
      </x:c>
      <x:c r="J665" s="75" t="n">
        <x:v>50</x:v>
      </x:c>
      <x:c r="K665" s="75" t="n">
        <x:v>12</x:v>
      </x:c>
      <x:c r="L665" s="75" t="str">
        <x:v>R3_5of50_2of12</x:v>
      </x:c>
      <x:c r="M665" s="213" t="str">
        <x:v>S1_pre_2024_studio_change_sensitivity_only</x:v>
      </x:c>
      <x:c r="N665" s="213" t="str">
        <x:v>Tuesday</x:v>
      </x:c>
      <x:c r="O665" s="213" t="str">
        <x:v>LottoMetrics full-history export</x:v>
      </x:c>
      <x:c r="P665" s="213" t="str">
        <x:v>Archive-sourced; calendar/range/uniqueness validated</x:v>
      </x:c>
      <x:c r="Q665" s="54" t="str"/>
    </x:row>
    <x:row r="666">
      <x:c r="A666" s="74" t="n">
        <x:v>663</x:v>
      </x:c>
      <x:c r="B666" s="217" t="n">
        <x:v>45135</x:v>
      </x:c>
      <x:c r="C666" s="75" t="n">
        <x:v>10</x:v>
      </x:c>
      <x:c r="D666" s="75" t="n">
        <x:v>16</x:v>
      </x:c>
      <x:c r="E666" s="75" t="n">
        <x:v>34</x:v>
      </x:c>
      <x:c r="F666" s="75" t="n">
        <x:v>36</x:v>
      </x:c>
      <x:c r="G666" s="75" t="n">
        <x:v>49</x:v>
      </x:c>
      <x:c r="H666" s="75" t="n">
        <x:v>3</x:v>
      </x:c>
      <x:c r="I666" s="75" t="n">
        <x:v>7</x:v>
      </x:c>
      <x:c r="J666" s="75" t="n">
        <x:v>50</x:v>
      </x:c>
      <x:c r="K666" s="75" t="n">
        <x:v>12</x:v>
      </x:c>
      <x:c r="L666" s="75" t="str">
        <x:v>R3_5of50_2of12</x:v>
      </x:c>
      <x:c r="M666" s="213" t="str">
        <x:v>S1_pre_2024_studio_change_sensitivity_only</x:v>
      </x:c>
      <x:c r="N666" s="213" t="str">
        <x:v>Friday</x:v>
      </x:c>
      <x:c r="O666" s="213" t="str">
        <x:v>LottoMetrics full-history export</x:v>
      </x:c>
      <x:c r="P666" s="213" t="str">
        <x:v>Archive-sourced; calendar/range/uniqueness validated</x:v>
      </x:c>
      <x:c r="Q666" s="54" t="str"/>
    </x:row>
    <x:row r="667">
      <x:c r="A667" s="74" t="n">
        <x:v>664</x:v>
      </x:c>
      <x:c r="B667" s="217" t="n">
        <x:v>45139</x:v>
      </x:c>
      <x:c r="C667" s="75" t="n">
        <x:v>2</x:v>
      </x:c>
      <x:c r="D667" s="75" t="n">
        <x:v>9</x:v>
      </x:c>
      <x:c r="E667" s="75" t="n">
        <x:v>38</x:v>
      </x:c>
      <x:c r="F667" s="75" t="n">
        <x:v>40</x:v>
      </x:c>
      <x:c r="G667" s="75" t="n">
        <x:v>44</x:v>
      </x:c>
      <x:c r="H667" s="75" t="n">
        <x:v>5</x:v>
      </x:c>
      <x:c r="I667" s="75" t="n">
        <x:v>11</x:v>
      </x:c>
      <x:c r="J667" s="75" t="n">
        <x:v>50</x:v>
      </x:c>
      <x:c r="K667" s="75" t="n">
        <x:v>12</x:v>
      </x:c>
      <x:c r="L667" s="75" t="str">
        <x:v>R3_5of50_2of12</x:v>
      </x:c>
      <x:c r="M667" s="213" t="str">
        <x:v>S1_pre_2024_studio_change_sensitivity_only</x:v>
      </x:c>
      <x:c r="N667" s="213" t="str">
        <x:v>Tuesday</x:v>
      </x:c>
      <x:c r="O667" s="213" t="str">
        <x:v>LottoMetrics full-history export</x:v>
      </x:c>
      <x:c r="P667" s="213" t="str">
        <x:v>Archive-sourced; calendar/range/uniqueness validated</x:v>
      </x:c>
      <x:c r="Q667" s="54" t="str"/>
    </x:row>
    <x:row r="668">
      <x:c r="A668" s="74" t="n">
        <x:v>665</x:v>
      </x:c>
      <x:c r="B668" s="217" t="n">
        <x:v>45142</x:v>
      </x:c>
      <x:c r="C668" s="75" t="n">
        <x:v>3</x:v>
      </x:c>
      <x:c r="D668" s="75" t="n">
        <x:v>17</x:v>
      </x:c>
      <x:c r="E668" s="75" t="n">
        <x:v>19</x:v>
      </x:c>
      <x:c r="F668" s="75" t="n">
        <x:v>32</x:v>
      </x:c>
      <x:c r="G668" s="75" t="n">
        <x:v>38</x:v>
      </x:c>
      <x:c r="H668" s="75" t="n">
        <x:v>6</x:v>
      </x:c>
      <x:c r="I668" s="75" t="n">
        <x:v>7</x:v>
      </x:c>
      <x:c r="J668" s="75" t="n">
        <x:v>50</x:v>
      </x:c>
      <x:c r="K668" s="75" t="n">
        <x:v>12</x:v>
      </x:c>
      <x:c r="L668" s="75" t="str">
        <x:v>R3_5of50_2of12</x:v>
      </x:c>
      <x:c r="M668" s="213" t="str">
        <x:v>S1_pre_2024_studio_change_sensitivity_only</x:v>
      </x:c>
      <x:c r="N668" s="213" t="str">
        <x:v>Friday</x:v>
      </x:c>
      <x:c r="O668" s="213" t="str">
        <x:v>LottoMetrics full-history export</x:v>
      </x:c>
      <x:c r="P668" s="213" t="str">
        <x:v>Archive-sourced; calendar/range/uniqueness validated</x:v>
      </x:c>
      <x:c r="Q668" s="54" t="str"/>
    </x:row>
    <x:row r="669">
      <x:c r="A669" s="74" t="n">
        <x:v>666</x:v>
      </x:c>
      <x:c r="B669" s="217" t="n">
        <x:v>45146</x:v>
      </x:c>
      <x:c r="C669" s="75" t="n">
        <x:v>6</x:v>
      </x:c>
      <x:c r="D669" s="75" t="n">
        <x:v>12</x:v>
      </x:c>
      <x:c r="E669" s="75" t="n">
        <x:v>25</x:v>
      </x:c>
      <x:c r="F669" s="75" t="n">
        <x:v>31</x:v>
      </x:c>
      <x:c r="G669" s="75" t="n">
        <x:v>37</x:v>
      </x:c>
      <x:c r="H669" s="75" t="n">
        <x:v>6</x:v>
      </x:c>
      <x:c r="I669" s="75" t="n">
        <x:v>9</x:v>
      </x:c>
      <x:c r="J669" s="75" t="n">
        <x:v>50</x:v>
      </x:c>
      <x:c r="K669" s="75" t="n">
        <x:v>12</x:v>
      </x:c>
      <x:c r="L669" s="75" t="str">
        <x:v>R3_5of50_2of12</x:v>
      </x:c>
      <x:c r="M669" s="213" t="str">
        <x:v>S1_pre_2024_studio_change_sensitivity_only</x:v>
      </x:c>
      <x:c r="N669" s="213" t="str">
        <x:v>Tuesday</x:v>
      </x:c>
      <x:c r="O669" s="213" t="str">
        <x:v>LottoMetrics full-history export</x:v>
      </x:c>
      <x:c r="P669" s="213" t="str">
        <x:v>Archive-sourced; calendar/range/uniqueness validated</x:v>
      </x:c>
      <x:c r="Q669" s="54" t="str"/>
    </x:row>
    <x:row r="670">
      <x:c r="A670" s="74" t="n">
        <x:v>667</x:v>
      </x:c>
      <x:c r="B670" s="217" t="n">
        <x:v>45149</x:v>
      </x:c>
      <x:c r="C670" s="75" t="n">
        <x:v>1</x:v>
      </x:c>
      <x:c r="D670" s="75" t="n">
        <x:v>35</x:v>
      </x:c>
      <x:c r="E670" s="75" t="n">
        <x:v>36</x:v>
      </x:c>
      <x:c r="F670" s="75" t="n">
        <x:v>38</x:v>
      </x:c>
      <x:c r="G670" s="75" t="n">
        <x:v>39</x:v>
      </x:c>
      <x:c r="H670" s="75" t="n">
        <x:v>3</x:v>
      </x:c>
      <x:c r="I670" s="75" t="n">
        <x:v>10</x:v>
      </x:c>
      <x:c r="J670" s="75" t="n">
        <x:v>50</x:v>
      </x:c>
      <x:c r="K670" s="75" t="n">
        <x:v>12</x:v>
      </x:c>
      <x:c r="L670" s="75" t="str">
        <x:v>R3_5of50_2of12</x:v>
      </x:c>
      <x:c r="M670" s="213" t="str">
        <x:v>S1_pre_2024_studio_change_sensitivity_only</x:v>
      </x:c>
      <x:c r="N670" s="213" t="str">
        <x:v>Friday</x:v>
      </x:c>
      <x:c r="O670" s="213" t="str">
        <x:v>LottoMetrics full-history export</x:v>
      </x:c>
      <x:c r="P670" s="213" t="str">
        <x:v>Archive-sourced; calendar/range/uniqueness validated</x:v>
      </x:c>
      <x:c r="Q670" s="54" t="str"/>
    </x:row>
    <x:row r="671">
      <x:c r="A671" s="74" t="n">
        <x:v>668</x:v>
      </x:c>
      <x:c r="B671" s="217" t="n">
        <x:v>45153</x:v>
      </x:c>
      <x:c r="C671" s="75" t="n">
        <x:v>12</x:v>
      </x:c>
      <x:c r="D671" s="75" t="n">
        <x:v>21</x:v>
      </x:c>
      <x:c r="E671" s="75" t="n">
        <x:v>23</x:v>
      </x:c>
      <x:c r="F671" s="75" t="n">
        <x:v>26</x:v>
      </x:c>
      <x:c r="G671" s="75" t="n">
        <x:v>41</x:v>
      </x:c>
      <x:c r="H671" s="75" t="n">
        <x:v>5</x:v>
      </x:c>
      <x:c r="I671" s="75" t="n">
        <x:v>6</x:v>
      </x:c>
      <x:c r="J671" s="75" t="n">
        <x:v>50</x:v>
      </x:c>
      <x:c r="K671" s="75" t="n">
        <x:v>12</x:v>
      </x:c>
      <x:c r="L671" s="75" t="str">
        <x:v>R3_5of50_2of12</x:v>
      </x:c>
      <x:c r="M671" s="213" t="str">
        <x:v>S1_pre_2024_studio_change_sensitivity_only</x:v>
      </x:c>
      <x:c r="N671" s="213" t="str">
        <x:v>Tuesday</x:v>
      </x:c>
      <x:c r="O671" s="213" t="str">
        <x:v>LottoMetrics full-history export</x:v>
      </x:c>
      <x:c r="P671" s="213" t="str">
        <x:v>Archive-sourced; calendar/range/uniqueness validated</x:v>
      </x:c>
      <x:c r="Q671" s="54" t="str"/>
    </x:row>
    <x:row r="672">
      <x:c r="A672" s="74" t="n">
        <x:v>669</x:v>
      </x:c>
      <x:c r="B672" s="217" t="n">
        <x:v>45156</x:v>
      </x:c>
      <x:c r="C672" s="75" t="n">
        <x:v>2</x:v>
      </x:c>
      <x:c r="D672" s="75" t="n">
        <x:v>16</x:v>
      </x:c>
      <x:c r="E672" s="75" t="n">
        <x:v>22</x:v>
      </x:c>
      <x:c r="F672" s="75" t="n">
        <x:v>28</x:v>
      </x:c>
      <x:c r="G672" s="75" t="n">
        <x:v>46</x:v>
      </x:c>
      <x:c r="H672" s="75" t="n">
        <x:v>4</x:v>
      </x:c>
      <x:c r="I672" s="75" t="n">
        <x:v>8</x:v>
      </x:c>
      <x:c r="J672" s="75" t="n">
        <x:v>50</x:v>
      </x:c>
      <x:c r="K672" s="75" t="n">
        <x:v>12</x:v>
      </x:c>
      <x:c r="L672" s="75" t="str">
        <x:v>R3_5of50_2of12</x:v>
      </x:c>
      <x:c r="M672" s="213" t="str">
        <x:v>S1_pre_2024_studio_change_sensitivity_only</x:v>
      </x:c>
      <x:c r="N672" s="213" t="str">
        <x:v>Friday</x:v>
      </x:c>
      <x:c r="O672" s="213" t="str">
        <x:v>LottoMetrics full-history export</x:v>
      </x:c>
      <x:c r="P672" s="213" t="str">
        <x:v>Archive-sourced; calendar/range/uniqueness validated</x:v>
      </x:c>
      <x:c r="Q672" s="54" t="str"/>
    </x:row>
    <x:row r="673">
      <x:c r="A673" s="74" t="n">
        <x:v>670</x:v>
      </x:c>
      <x:c r="B673" s="217" t="n">
        <x:v>45160</x:v>
      </x:c>
      <x:c r="C673" s="75" t="n">
        <x:v>8</x:v>
      </x:c>
      <x:c r="D673" s="75" t="n">
        <x:v>40</x:v>
      </x:c>
      <x:c r="E673" s="75" t="n">
        <x:v>41</x:v>
      </x:c>
      <x:c r="F673" s="75" t="n">
        <x:v>46</x:v>
      </x:c>
      <x:c r="G673" s="75" t="n">
        <x:v>47</x:v>
      </x:c>
      <x:c r="H673" s="75" t="n">
        <x:v>3</x:v>
      </x:c>
      <x:c r="I673" s="75" t="n">
        <x:v>11</x:v>
      </x:c>
      <x:c r="J673" s="75" t="n">
        <x:v>50</x:v>
      </x:c>
      <x:c r="K673" s="75" t="n">
        <x:v>12</x:v>
      </x:c>
      <x:c r="L673" s="75" t="str">
        <x:v>R3_5of50_2of12</x:v>
      </x:c>
      <x:c r="M673" s="213" t="str">
        <x:v>S1_pre_2024_studio_change_sensitivity_only</x:v>
      </x:c>
      <x:c r="N673" s="213" t="str">
        <x:v>Tuesday</x:v>
      </x:c>
      <x:c r="O673" s="213" t="str">
        <x:v>LottoMetrics full-history export</x:v>
      </x:c>
      <x:c r="P673" s="213" t="str">
        <x:v>Archive-sourced; calendar/range/uniqueness validated</x:v>
      </x:c>
      <x:c r="Q673" s="54" t="str"/>
    </x:row>
    <x:row r="674">
      <x:c r="A674" s="74" t="n">
        <x:v>671</x:v>
      </x:c>
      <x:c r="B674" s="217" t="n">
        <x:v>45163</x:v>
      </x:c>
      <x:c r="C674" s="75" t="n">
        <x:v>2</x:v>
      </x:c>
      <x:c r="D674" s="75" t="n">
        <x:v>5</x:v>
      </x:c>
      <x:c r="E674" s="75" t="n">
        <x:v>11</x:v>
      </x:c>
      <x:c r="F674" s="75" t="n">
        <x:v>27</x:v>
      </x:c>
      <x:c r="G674" s="75" t="n">
        <x:v>38</x:v>
      </x:c>
      <x:c r="H674" s="75" t="n">
        <x:v>10</x:v>
      </x:c>
      <x:c r="I674" s="75" t="n">
        <x:v>12</x:v>
      </x:c>
      <x:c r="J674" s="75" t="n">
        <x:v>50</x:v>
      </x:c>
      <x:c r="K674" s="75" t="n">
        <x:v>12</x:v>
      </x:c>
      <x:c r="L674" s="75" t="str">
        <x:v>R3_5of50_2of12</x:v>
      </x:c>
      <x:c r="M674" s="213" t="str">
        <x:v>S1_pre_2024_studio_change_sensitivity_only</x:v>
      </x:c>
      <x:c r="N674" s="213" t="str">
        <x:v>Friday</x:v>
      </x:c>
      <x:c r="O674" s="213" t="str">
        <x:v>LottoMetrics full-history export</x:v>
      </x:c>
      <x:c r="P674" s="213" t="str">
        <x:v>Archive-sourced; calendar/range/uniqueness validated</x:v>
      </x:c>
      <x:c r="Q674" s="54" t="str"/>
    </x:row>
    <x:row r="675">
      <x:c r="A675" s="74" t="n">
        <x:v>672</x:v>
      </x:c>
      <x:c r="B675" s="217" t="n">
        <x:v>45167</x:v>
      </x:c>
      <x:c r="C675" s="75" t="n">
        <x:v>14</x:v>
      </x:c>
      <x:c r="D675" s="75" t="n">
        <x:v>18</x:v>
      </x:c>
      <x:c r="E675" s="75" t="n">
        <x:v>20</x:v>
      </x:c>
      <x:c r="F675" s="75" t="n">
        <x:v>39</x:v>
      </x:c>
      <x:c r="G675" s="75" t="n">
        <x:v>42</x:v>
      </x:c>
      <x:c r="H675" s="75" t="n">
        <x:v>6</x:v>
      </x:c>
      <x:c r="I675" s="75" t="n">
        <x:v>9</x:v>
      </x:c>
      <x:c r="J675" s="75" t="n">
        <x:v>50</x:v>
      </x:c>
      <x:c r="K675" s="75" t="n">
        <x:v>12</x:v>
      </x:c>
      <x:c r="L675" s="75" t="str">
        <x:v>R3_5of50_2of12</x:v>
      </x:c>
      <x:c r="M675" s="213" t="str">
        <x:v>S1_pre_2024_studio_change_sensitivity_only</x:v>
      </x:c>
      <x:c r="N675" s="213" t="str">
        <x:v>Tuesday</x:v>
      </x:c>
      <x:c r="O675" s="213" t="str">
        <x:v>LottoMetrics full-history export</x:v>
      </x:c>
      <x:c r="P675" s="213" t="str">
        <x:v>Archive-sourced; calendar/range/uniqueness validated</x:v>
      </x:c>
      <x:c r="Q675" s="54" t="str"/>
    </x:row>
    <x:row r="676">
      <x:c r="A676" s="74" t="n">
        <x:v>673</x:v>
      </x:c>
      <x:c r="B676" s="217" t="n">
        <x:v>45170</x:v>
      </x:c>
      <x:c r="C676" s="75" t="n">
        <x:v>1</x:v>
      </x:c>
      <x:c r="D676" s="75" t="n">
        <x:v>13</x:v>
      </x:c>
      <x:c r="E676" s="75" t="n">
        <x:v>16</x:v>
      </x:c>
      <x:c r="F676" s="75" t="n">
        <x:v>23</x:v>
      </x:c>
      <x:c r="G676" s="75" t="n">
        <x:v>27</x:v>
      </x:c>
      <x:c r="H676" s="75" t="n">
        <x:v>10</x:v>
      </x:c>
      <x:c r="I676" s="75" t="n">
        <x:v>11</x:v>
      </x:c>
      <x:c r="J676" s="75" t="n">
        <x:v>50</x:v>
      </x:c>
      <x:c r="K676" s="75" t="n">
        <x:v>12</x:v>
      </x:c>
      <x:c r="L676" s="75" t="str">
        <x:v>R3_5of50_2of12</x:v>
      </x:c>
      <x:c r="M676" s="213" t="str">
        <x:v>S1_pre_2024_studio_change_sensitivity_only</x:v>
      </x:c>
      <x:c r="N676" s="213" t="str">
        <x:v>Friday</x:v>
      </x:c>
      <x:c r="O676" s="213" t="str">
        <x:v>LottoMetrics full-history export</x:v>
      </x:c>
      <x:c r="P676" s="213" t="str">
        <x:v>Archive-sourced; calendar/range/uniqueness validated</x:v>
      </x:c>
      <x:c r="Q676" s="54" t="str"/>
    </x:row>
    <x:row r="677">
      <x:c r="A677" s="74" t="n">
        <x:v>674</x:v>
      </x:c>
      <x:c r="B677" s="217" t="n">
        <x:v>45174</x:v>
      </x:c>
      <x:c r="C677" s="75" t="n">
        <x:v>9</x:v>
      </x:c>
      <x:c r="D677" s="75" t="n">
        <x:v>11</x:v>
      </x:c>
      <x:c r="E677" s="75" t="n">
        <x:v>13</x:v>
      </x:c>
      <x:c r="F677" s="75" t="n">
        <x:v>15</x:v>
      </x:c>
      <x:c r="G677" s="75" t="n">
        <x:v>25</x:v>
      </x:c>
      <x:c r="H677" s="75" t="n">
        <x:v>4</x:v>
      </x:c>
      <x:c r="I677" s="75" t="n">
        <x:v>9</x:v>
      </x:c>
      <x:c r="J677" s="75" t="n">
        <x:v>50</x:v>
      </x:c>
      <x:c r="K677" s="75" t="n">
        <x:v>12</x:v>
      </x:c>
      <x:c r="L677" s="75" t="str">
        <x:v>R3_5of50_2of12</x:v>
      </x:c>
      <x:c r="M677" s="213" t="str">
        <x:v>S1_pre_2024_studio_change_sensitivity_only</x:v>
      </x:c>
      <x:c r="N677" s="213" t="str">
        <x:v>Tuesday</x:v>
      </x:c>
      <x:c r="O677" s="213" t="str">
        <x:v>LottoMetrics full-history export</x:v>
      </x:c>
      <x:c r="P677" s="213" t="str">
        <x:v>Archive-sourced; calendar/range/uniqueness validated</x:v>
      </x:c>
      <x:c r="Q677" s="54" t="str"/>
    </x:row>
    <x:row r="678">
      <x:c r="A678" s="74" t="n">
        <x:v>675</x:v>
      </x:c>
      <x:c r="B678" s="217" t="n">
        <x:v>45177</x:v>
      </x:c>
      <x:c r="C678" s="75" t="n">
        <x:v>21</x:v>
      </x:c>
      <x:c r="D678" s="75" t="n">
        <x:v>29</x:v>
      </x:c>
      <x:c r="E678" s="75" t="n">
        <x:v>31</x:v>
      </x:c>
      <x:c r="F678" s="75" t="n">
        <x:v>46</x:v>
      </x:c>
      <x:c r="G678" s="75" t="n">
        <x:v>49</x:v>
      </x:c>
      <x:c r="H678" s="75" t="n">
        <x:v>5</x:v>
      </x:c>
      <x:c r="I678" s="75" t="n">
        <x:v>6</x:v>
      </x:c>
      <x:c r="J678" s="75" t="n">
        <x:v>50</x:v>
      </x:c>
      <x:c r="K678" s="75" t="n">
        <x:v>12</x:v>
      </x:c>
      <x:c r="L678" s="75" t="str">
        <x:v>R3_5of50_2of12</x:v>
      </x:c>
      <x:c r="M678" s="213" t="str">
        <x:v>S1_pre_2024_studio_change_sensitivity_only</x:v>
      </x:c>
      <x:c r="N678" s="213" t="str">
        <x:v>Friday</x:v>
      </x:c>
      <x:c r="O678" s="213" t="str">
        <x:v>LottoMetrics full-history export</x:v>
      </x:c>
      <x:c r="P678" s="213" t="str">
        <x:v>Archive-sourced; calendar/range/uniqueness validated</x:v>
      </x:c>
      <x:c r="Q678" s="54" t="str"/>
    </x:row>
    <x:row r="679">
      <x:c r="A679" s="74" t="n">
        <x:v>676</x:v>
      </x:c>
      <x:c r="B679" s="217" t="n">
        <x:v>45181</x:v>
      </x:c>
      <x:c r="C679" s="75" t="n">
        <x:v>5</x:v>
      </x:c>
      <x:c r="D679" s="75" t="n">
        <x:v>13</x:v>
      </x:c>
      <x:c r="E679" s="75" t="n">
        <x:v>43</x:v>
      </x:c>
      <x:c r="F679" s="75" t="n">
        <x:v>45</x:v>
      </x:c>
      <x:c r="G679" s="75" t="n">
        <x:v>50</x:v>
      </x:c>
      <x:c r="H679" s="75" t="n">
        <x:v>1</x:v>
      </x:c>
      <x:c r="I679" s="75" t="n">
        <x:v>10</x:v>
      </x:c>
      <x:c r="J679" s="75" t="n">
        <x:v>50</x:v>
      </x:c>
      <x:c r="K679" s="75" t="n">
        <x:v>12</x:v>
      </x:c>
      <x:c r="L679" s="75" t="str">
        <x:v>R3_5of50_2of12</x:v>
      </x:c>
      <x:c r="M679" s="213" t="str">
        <x:v>S1_pre_2024_studio_change_sensitivity_only</x:v>
      </x:c>
      <x:c r="N679" s="213" t="str">
        <x:v>Tuesday</x:v>
      </x:c>
      <x:c r="O679" s="213" t="str">
        <x:v>LottoMetrics full-history export</x:v>
      </x:c>
      <x:c r="P679" s="213" t="str">
        <x:v>Archive-sourced; calendar/range/uniqueness validated</x:v>
      </x:c>
      <x:c r="Q679" s="54" t="str"/>
    </x:row>
    <x:row r="680">
      <x:c r="A680" s="74" t="n">
        <x:v>677</x:v>
      </x:c>
      <x:c r="B680" s="217" t="n">
        <x:v>45184</x:v>
      </x:c>
      <x:c r="C680" s="75" t="n">
        <x:v>3</x:v>
      </x:c>
      <x:c r="D680" s="75" t="n">
        <x:v>8</x:v>
      </x:c>
      <x:c r="E680" s="75" t="n">
        <x:v>10</x:v>
      </x:c>
      <x:c r="F680" s="75" t="n">
        <x:v>31</x:v>
      </x:c>
      <x:c r="G680" s="75" t="n">
        <x:v>36</x:v>
      </x:c>
      <x:c r="H680" s="75" t="n">
        <x:v>2</x:v>
      </x:c>
      <x:c r="I680" s="75" t="n">
        <x:v>3</x:v>
      </x:c>
      <x:c r="J680" s="75" t="n">
        <x:v>50</x:v>
      </x:c>
      <x:c r="K680" s="75" t="n">
        <x:v>12</x:v>
      </x:c>
      <x:c r="L680" s="75" t="str">
        <x:v>R3_5of50_2of12</x:v>
      </x:c>
      <x:c r="M680" s="213" t="str">
        <x:v>S1_pre_2024_studio_change_sensitivity_only</x:v>
      </x:c>
      <x:c r="N680" s="213" t="str">
        <x:v>Friday</x:v>
      </x:c>
      <x:c r="O680" s="213" t="str">
        <x:v>LottoMetrics full-history export</x:v>
      </x:c>
      <x:c r="P680" s="213" t="str">
        <x:v>Archive-sourced; calendar/range/uniqueness validated</x:v>
      </x:c>
      <x:c r="Q680" s="54" t="str"/>
    </x:row>
    <x:row r="681">
      <x:c r="A681" s="74" t="n">
        <x:v>678</x:v>
      </x:c>
      <x:c r="B681" s="217" t="n">
        <x:v>45188</x:v>
      </x:c>
      <x:c r="C681" s="75" t="n">
        <x:v>8</x:v>
      </x:c>
      <x:c r="D681" s="75" t="n">
        <x:v>18</x:v>
      </x:c>
      <x:c r="E681" s="75" t="n">
        <x:v>26</x:v>
      </x:c>
      <x:c r="F681" s="75" t="n">
        <x:v>38</x:v>
      </x:c>
      <x:c r="G681" s="75" t="n">
        <x:v>39</x:v>
      </x:c>
      <x:c r="H681" s="75" t="n">
        <x:v>4</x:v>
      </x:c>
      <x:c r="I681" s="75" t="n">
        <x:v>12</x:v>
      </x:c>
      <x:c r="J681" s="75" t="n">
        <x:v>50</x:v>
      </x:c>
      <x:c r="K681" s="75" t="n">
        <x:v>12</x:v>
      </x:c>
      <x:c r="L681" s="75" t="str">
        <x:v>R3_5of50_2of12</x:v>
      </x:c>
      <x:c r="M681" s="213" t="str">
        <x:v>S1_pre_2024_studio_change_sensitivity_only</x:v>
      </x:c>
      <x:c r="N681" s="213" t="str">
        <x:v>Tuesday</x:v>
      </x:c>
      <x:c r="O681" s="213" t="str">
        <x:v>LottoMetrics full-history export</x:v>
      </x:c>
      <x:c r="P681" s="213" t="str">
        <x:v>Archive-sourced; calendar/range/uniqueness validated</x:v>
      </x:c>
      <x:c r="Q681" s="54" t="str"/>
    </x:row>
    <x:row r="682">
      <x:c r="A682" s="74" t="n">
        <x:v>679</x:v>
      </x:c>
      <x:c r="B682" s="217" t="n">
        <x:v>45191</x:v>
      </x:c>
      <x:c r="C682" s="75" t="n">
        <x:v>14</x:v>
      </x:c>
      <x:c r="D682" s="75" t="n">
        <x:v>24</x:v>
      </x:c>
      <x:c r="E682" s="75" t="n">
        <x:v>31</x:v>
      </x:c>
      <x:c r="F682" s="75" t="n">
        <x:v>44</x:v>
      </x:c>
      <x:c r="G682" s="75" t="n">
        <x:v>45</x:v>
      </x:c>
      <x:c r="H682" s="75" t="n">
        <x:v>7</x:v>
      </x:c>
      <x:c r="I682" s="75" t="n">
        <x:v>11</x:v>
      </x:c>
      <x:c r="J682" s="75" t="n">
        <x:v>50</x:v>
      </x:c>
      <x:c r="K682" s="75" t="n">
        <x:v>12</x:v>
      </x:c>
      <x:c r="L682" s="75" t="str">
        <x:v>R3_5of50_2of12</x:v>
      </x:c>
      <x:c r="M682" s="213" t="str">
        <x:v>S1_pre_2024_studio_change_sensitivity_only</x:v>
      </x:c>
      <x:c r="N682" s="213" t="str">
        <x:v>Friday</x:v>
      </x:c>
      <x:c r="O682" s="213" t="str">
        <x:v>LottoMetrics full-history export</x:v>
      </x:c>
      <x:c r="P682" s="213" t="str">
        <x:v>Archive-sourced; calendar/range/uniqueness validated</x:v>
      </x:c>
      <x:c r="Q682" s="54" t="str"/>
    </x:row>
    <x:row r="683">
      <x:c r="A683" s="74" t="n">
        <x:v>680</x:v>
      </x:c>
      <x:c r="B683" s="217" t="n">
        <x:v>45195</x:v>
      </x:c>
      <x:c r="C683" s="75" t="n">
        <x:v>23</x:v>
      </x:c>
      <x:c r="D683" s="75" t="n">
        <x:v>24</x:v>
      </x:c>
      <x:c r="E683" s="75" t="n">
        <x:v>38</x:v>
      </x:c>
      <x:c r="F683" s="75" t="n">
        <x:v>42</x:v>
      </x:c>
      <x:c r="G683" s="75" t="n">
        <x:v>44</x:v>
      </x:c>
      <x:c r="H683" s="75" t="n">
        <x:v>1</x:v>
      </x:c>
      <x:c r="I683" s="75" t="n">
        <x:v>10</x:v>
      </x:c>
      <x:c r="J683" s="75" t="n">
        <x:v>50</x:v>
      </x:c>
      <x:c r="K683" s="75" t="n">
        <x:v>12</x:v>
      </x:c>
      <x:c r="L683" s="75" t="str">
        <x:v>R3_5of50_2of12</x:v>
      </x:c>
      <x:c r="M683" s="213" t="str">
        <x:v>S1_pre_2024_studio_change_sensitivity_only</x:v>
      </x:c>
      <x:c r="N683" s="213" t="str">
        <x:v>Tuesday</x:v>
      </x:c>
      <x:c r="O683" s="213" t="str">
        <x:v>LottoMetrics full-history export</x:v>
      </x:c>
      <x:c r="P683" s="213" t="str">
        <x:v>Archive-sourced; calendar/range/uniqueness validated</x:v>
      </x:c>
      <x:c r="Q683" s="54" t="str"/>
    </x:row>
    <x:row r="684">
      <x:c r="A684" s="74" t="n">
        <x:v>681</x:v>
      </x:c>
      <x:c r="B684" s="217" t="n">
        <x:v>45198</x:v>
      </x:c>
      <x:c r="C684" s="75" t="n">
        <x:v>14</x:v>
      </x:c>
      <x:c r="D684" s="75" t="n">
        <x:v>24</x:v>
      </x:c>
      <x:c r="E684" s="75" t="n">
        <x:v>29</x:v>
      </x:c>
      <x:c r="F684" s="75" t="n">
        <x:v>45</x:v>
      </x:c>
      <x:c r="G684" s="75" t="n">
        <x:v>48</x:v>
      </x:c>
      <x:c r="H684" s="75" t="n">
        <x:v>3</x:v>
      </x:c>
      <x:c r="I684" s="75" t="n">
        <x:v>9</x:v>
      </x:c>
      <x:c r="J684" s="75" t="n">
        <x:v>50</x:v>
      </x:c>
      <x:c r="K684" s="75" t="n">
        <x:v>12</x:v>
      </x:c>
      <x:c r="L684" s="75" t="str">
        <x:v>R3_5of50_2of12</x:v>
      </x:c>
      <x:c r="M684" s="213" t="str">
        <x:v>S1_pre_2024_studio_change_sensitivity_only</x:v>
      </x:c>
      <x:c r="N684" s="213" t="str">
        <x:v>Friday</x:v>
      </x:c>
      <x:c r="O684" s="213" t="str">
        <x:v>LottoMetrics full-history export</x:v>
      </x:c>
      <x:c r="P684" s="213" t="str">
        <x:v>Archive-sourced; calendar/range/uniqueness validated</x:v>
      </x:c>
      <x:c r="Q684" s="54" t="str"/>
    </x:row>
    <x:row r="685">
      <x:c r="A685" s="74" t="n">
        <x:v>682</x:v>
      </x:c>
      <x:c r="B685" s="217" t="n">
        <x:v>45202</x:v>
      </x:c>
      <x:c r="C685" s="75" t="n">
        <x:v>13</x:v>
      </x:c>
      <x:c r="D685" s="75" t="n">
        <x:v>28</x:v>
      </x:c>
      <x:c r="E685" s="75" t="n">
        <x:v>29</x:v>
      </x:c>
      <x:c r="F685" s="75" t="n">
        <x:v>31</x:v>
      </x:c>
      <x:c r="G685" s="75" t="n">
        <x:v>47</x:v>
      </x:c>
      <x:c r="H685" s="75" t="n">
        <x:v>8</x:v>
      </x:c>
      <x:c r="I685" s="75" t="n">
        <x:v>9</x:v>
      </x:c>
      <x:c r="J685" s="75" t="n">
        <x:v>50</x:v>
      </x:c>
      <x:c r="K685" s="75" t="n">
        <x:v>12</x:v>
      </x:c>
      <x:c r="L685" s="75" t="str">
        <x:v>R3_5of50_2of12</x:v>
      </x:c>
      <x:c r="M685" s="213" t="str">
        <x:v>S1_pre_2024_studio_change_sensitivity_only</x:v>
      </x:c>
      <x:c r="N685" s="213" t="str">
        <x:v>Tuesday</x:v>
      </x:c>
      <x:c r="O685" s="213" t="str">
        <x:v>LottoMetrics full-history export</x:v>
      </x:c>
      <x:c r="P685" s="213" t="str">
        <x:v>Archive-sourced; calendar/range/uniqueness validated</x:v>
      </x:c>
      <x:c r="Q685" s="54" t="str"/>
    </x:row>
    <x:row r="686">
      <x:c r="A686" s="74" t="n">
        <x:v>683</x:v>
      </x:c>
      <x:c r="B686" s="217" t="n">
        <x:v>45205</x:v>
      </x:c>
      <x:c r="C686" s="75" t="n">
        <x:v>17</x:v>
      </x:c>
      <x:c r="D686" s="75" t="n">
        <x:v>18</x:v>
      </x:c>
      <x:c r="E686" s="75" t="n">
        <x:v>40</x:v>
      </x:c>
      <x:c r="F686" s="75" t="n">
        <x:v>43</x:v>
      </x:c>
      <x:c r="G686" s="75" t="n">
        <x:v>50</x:v>
      </x:c>
      <x:c r="H686" s="75" t="n">
        <x:v>9</x:v>
      </x:c>
      <x:c r="I686" s="75" t="n">
        <x:v>11</x:v>
      </x:c>
      <x:c r="J686" s="75" t="n">
        <x:v>50</x:v>
      </x:c>
      <x:c r="K686" s="75" t="n">
        <x:v>12</x:v>
      </x:c>
      <x:c r="L686" s="75" t="str">
        <x:v>R3_5of50_2of12</x:v>
      </x:c>
      <x:c r="M686" s="213" t="str">
        <x:v>S1_pre_2024_studio_change_sensitivity_only</x:v>
      </x:c>
      <x:c r="N686" s="213" t="str">
        <x:v>Friday</x:v>
      </x:c>
      <x:c r="O686" s="213" t="str">
        <x:v>LottoMetrics full-history export</x:v>
      </x:c>
      <x:c r="P686" s="213" t="str">
        <x:v>Archive-sourced; calendar/range/uniqueness validated</x:v>
      </x:c>
      <x:c r="Q686" s="54" t="str"/>
    </x:row>
    <x:row r="687">
      <x:c r="A687" s="74" t="n">
        <x:v>684</x:v>
      </x:c>
      <x:c r="B687" s="217" t="n">
        <x:v>45209</x:v>
      </x:c>
      <x:c r="C687" s="75" t="n">
        <x:v>7</x:v>
      </x:c>
      <x:c r="D687" s="75" t="n">
        <x:v>8</x:v>
      </x:c>
      <x:c r="E687" s="75" t="n">
        <x:v>12</x:v>
      </x:c>
      <x:c r="F687" s="75" t="n">
        <x:v>21</x:v>
      </x:c>
      <x:c r="G687" s="75" t="n">
        <x:v>43</x:v>
      </x:c>
      <x:c r="H687" s="75" t="n">
        <x:v>4</x:v>
      </x:c>
      <x:c r="I687" s="75" t="n">
        <x:v>11</x:v>
      </x:c>
      <x:c r="J687" s="75" t="n">
        <x:v>50</x:v>
      </x:c>
      <x:c r="K687" s="75" t="n">
        <x:v>12</x:v>
      </x:c>
      <x:c r="L687" s="75" t="str">
        <x:v>R3_5of50_2of12</x:v>
      </x:c>
      <x:c r="M687" s="213" t="str">
        <x:v>S1_pre_2024_studio_change_sensitivity_only</x:v>
      </x:c>
      <x:c r="N687" s="213" t="str">
        <x:v>Tuesday</x:v>
      </x:c>
      <x:c r="O687" s="213" t="str">
        <x:v>LottoMetrics full-history export</x:v>
      </x:c>
      <x:c r="P687" s="213" t="str">
        <x:v>Archive-sourced; calendar/range/uniqueness validated</x:v>
      </x:c>
      <x:c r="Q687" s="54" t="str"/>
    </x:row>
    <x:row r="688">
      <x:c r="A688" s="74" t="n">
        <x:v>685</x:v>
      </x:c>
      <x:c r="B688" s="217" t="n">
        <x:v>45212</x:v>
      </x:c>
      <x:c r="C688" s="75" t="n">
        <x:v>16</x:v>
      </x:c>
      <x:c r="D688" s="75" t="n">
        <x:v>23</x:v>
      </x:c>
      <x:c r="E688" s="75" t="n">
        <x:v>30</x:v>
      </x:c>
      <x:c r="F688" s="75" t="n">
        <x:v>37</x:v>
      </x:c>
      <x:c r="G688" s="75" t="n">
        <x:v>41</x:v>
      </x:c>
      <x:c r="H688" s="75" t="n">
        <x:v>2</x:v>
      </x:c>
      <x:c r="I688" s="75" t="n">
        <x:v>9</x:v>
      </x:c>
      <x:c r="J688" s="75" t="n">
        <x:v>50</x:v>
      </x:c>
      <x:c r="K688" s="75" t="n">
        <x:v>12</x:v>
      </x:c>
      <x:c r="L688" s="75" t="str">
        <x:v>R3_5of50_2of12</x:v>
      </x:c>
      <x:c r="M688" s="213" t="str">
        <x:v>S1_pre_2024_studio_change_sensitivity_only</x:v>
      </x:c>
      <x:c r="N688" s="213" t="str">
        <x:v>Friday</x:v>
      </x:c>
      <x:c r="O688" s="213" t="str">
        <x:v>LottoMetrics full-history export</x:v>
      </x:c>
      <x:c r="P688" s="213" t="str">
        <x:v>Archive-sourced; calendar/range/uniqueness validated</x:v>
      </x:c>
      <x:c r="Q688" s="54" t="str"/>
    </x:row>
    <x:row r="689">
      <x:c r="A689" s="74" t="n">
        <x:v>686</x:v>
      </x:c>
      <x:c r="B689" s="217" t="n">
        <x:v>45216</x:v>
      </x:c>
      <x:c r="C689" s="75" t="n">
        <x:v>6</x:v>
      </x:c>
      <x:c r="D689" s="75" t="n">
        <x:v>8</x:v>
      </x:c>
      <x:c r="E689" s="75" t="n">
        <x:v>42</x:v>
      </x:c>
      <x:c r="F689" s="75" t="n">
        <x:v>49</x:v>
      </x:c>
      <x:c r="G689" s="75" t="n">
        <x:v>50</x:v>
      </x:c>
      <x:c r="H689" s="75" t="n">
        <x:v>3</x:v>
      </x:c>
      <x:c r="I689" s="75" t="n">
        <x:v>5</x:v>
      </x:c>
      <x:c r="J689" s="75" t="n">
        <x:v>50</x:v>
      </x:c>
      <x:c r="K689" s="75" t="n">
        <x:v>12</x:v>
      </x:c>
      <x:c r="L689" s="75" t="str">
        <x:v>R3_5of50_2of12</x:v>
      </x:c>
      <x:c r="M689" s="213" t="str">
        <x:v>S1_pre_2024_studio_change_sensitivity_only</x:v>
      </x:c>
      <x:c r="N689" s="213" t="str">
        <x:v>Tuesday</x:v>
      </x:c>
      <x:c r="O689" s="213" t="str">
        <x:v>LottoMetrics full-history export</x:v>
      </x:c>
      <x:c r="P689" s="213" t="str">
        <x:v>Archive-sourced; calendar/range/uniqueness validated</x:v>
      </x:c>
      <x:c r="Q689" s="54" t="str"/>
    </x:row>
    <x:row r="690">
      <x:c r="A690" s="74" t="n">
        <x:v>687</x:v>
      </x:c>
      <x:c r="B690" s="217" t="n">
        <x:v>45219</x:v>
      </x:c>
      <x:c r="C690" s="75" t="n">
        <x:v>11</x:v>
      </x:c>
      <x:c r="D690" s="75" t="n">
        <x:v>16</x:v>
      </x:c>
      <x:c r="E690" s="75" t="n">
        <x:v>22</x:v>
      </x:c>
      <x:c r="F690" s="75" t="n">
        <x:v>34</x:v>
      </x:c>
      <x:c r="G690" s="75" t="n">
        <x:v>46</x:v>
      </x:c>
      <x:c r="H690" s="75" t="n">
        <x:v>2</x:v>
      </x:c>
      <x:c r="I690" s="75" t="n">
        <x:v>5</x:v>
      </x:c>
      <x:c r="J690" s="75" t="n">
        <x:v>50</x:v>
      </x:c>
      <x:c r="K690" s="75" t="n">
        <x:v>12</x:v>
      </x:c>
      <x:c r="L690" s="75" t="str">
        <x:v>R3_5of50_2of12</x:v>
      </x:c>
      <x:c r="M690" s="213" t="str">
        <x:v>S1_pre_2024_studio_change_sensitivity_only</x:v>
      </x:c>
      <x:c r="N690" s="213" t="str">
        <x:v>Friday</x:v>
      </x:c>
      <x:c r="O690" s="213" t="str">
        <x:v>LottoMetrics full-history export</x:v>
      </x:c>
      <x:c r="P690" s="213" t="str">
        <x:v>Archive-sourced; calendar/range/uniqueness validated</x:v>
      </x:c>
      <x:c r="Q690" s="54" t="str"/>
    </x:row>
    <x:row r="691">
      <x:c r="A691" s="74" t="n">
        <x:v>688</x:v>
      </x:c>
      <x:c r="B691" s="217" t="n">
        <x:v>45223</x:v>
      </x:c>
      <x:c r="C691" s="75" t="n">
        <x:v>5</x:v>
      </x:c>
      <x:c r="D691" s="75" t="n">
        <x:v>14</x:v>
      </x:c>
      <x:c r="E691" s="75" t="n">
        <x:v>35</x:v>
      </x:c>
      <x:c r="F691" s="75" t="n">
        <x:v>40</x:v>
      </x:c>
      <x:c r="G691" s="75" t="n">
        <x:v>47</x:v>
      </x:c>
      <x:c r="H691" s="75" t="n">
        <x:v>1</x:v>
      </x:c>
      <x:c r="I691" s="75" t="n">
        <x:v>3</x:v>
      </x:c>
      <x:c r="J691" s="75" t="n">
        <x:v>50</x:v>
      </x:c>
      <x:c r="K691" s="75" t="n">
        <x:v>12</x:v>
      </x:c>
      <x:c r="L691" s="75" t="str">
        <x:v>R3_5of50_2of12</x:v>
      </x:c>
      <x:c r="M691" s="213" t="str">
        <x:v>S1_pre_2024_studio_change_sensitivity_only</x:v>
      </x:c>
      <x:c r="N691" s="213" t="str">
        <x:v>Tuesday</x:v>
      </x:c>
      <x:c r="O691" s="213" t="str">
        <x:v>LottoMetrics full-history export</x:v>
      </x:c>
      <x:c r="P691" s="213" t="str">
        <x:v>Archive-sourced; calendar/range/uniqueness validated</x:v>
      </x:c>
      <x:c r="Q691" s="54" t="str"/>
    </x:row>
    <x:row r="692">
      <x:c r="A692" s="74" t="n">
        <x:v>689</x:v>
      </x:c>
      <x:c r="B692" s="217" t="n">
        <x:v>45226</x:v>
      </x:c>
      <x:c r="C692" s="75" t="n">
        <x:v>6</x:v>
      </x:c>
      <x:c r="D692" s="75" t="n">
        <x:v>13</x:v>
      </x:c>
      <x:c r="E692" s="75" t="n">
        <x:v>15</x:v>
      </x:c>
      <x:c r="F692" s="75" t="n">
        <x:v>20</x:v>
      </x:c>
      <x:c r="G692" s="75" t="n">
        <x:v>40</x:v>
      </x:c>
      <x:c r="H692" s="75" t="n">
        <x:v>2</x:v>
      </x:c>
      <x:c r="I692" s="75" t="n">
        <x:v>8</x:v>
      </x:c>
      <x:c r="J692" s="75" t="n">
        <x:v>50</x:v>
      </x:c>
      <x:c r="K692" s="75" t="n">
        <x:v>12</x:v>
      </x:c>
      <x:c r="L692" s="75" t="str">
        <x:v>R3_5of50_2of12</x:v>
      </x:c>
      <x:c r="M692" s="213" t="str">
        <x:v>S1_pre_2024_studio_change_sensitivity_only</x:v>
      </x:c>
      <x:c r="N692" s="213" t="str">
        <x:v>Friday</x:v>
      </x:c>
      <x:c r="O692" s="213" t="str">
        <x:v>LottoMetrics full-history export</x:v>
      </x:c>
      <x:c r="P692" s="213" t="str">
        <x:v>Archive-sourced; calendar/range/uniqueness validated</x:v>
      </x:c>
      <x:c r="Q692" s="54" t="str"/>
    </x:row>
    <x:row r="693">
      <x:c r="A693" s="74" t="n">
        <x:v>690</x:v>
      </x:c>
      <x:c r="B693" s="217" t="n">
        <x:v>45230</x:v>
      </x:c>
      <x:c r="C693" s="75" t="n">
        <x:v>6</x:v>
      </x:c>
      <x:c r="D693" s="75" t="n">
        <x:v>15</x:v>
      </x:c>
      <x:c r="E693" s="75" t="n">
        <x:v>21</x:v>
      </x:c>
      <x:c r="F693" s="75" t="n">
        <x:v>34</x:v>
      </x:c>
      <x:c r="G693" s="75" t="n">
        <x:v>48</x:v>
      </x:c>
      <x:c r="H693" s="75" t="n">
        <x:v>1</x:v>
      </x:c>
      <x:c r="I693" s="75" t="n">
        <x:v>5</x:v>
      </x:c>
      <x:c r="J693" s="75" t="n">
        <x:v>50</x:v>
      </x:c>
      <x:c r="K693" s="75" t="n">
        <x:v>12</x:v>
      </x:c>
      <x:c r="L693" s="75" t="str">
        <x:v>R3_5of50_2of12</x:v>
      </x:c>
      <x:c r="M693" s="213" t="str">
        <x:v>S1_pre_2024_studio_change_sensitivity_only</x:v>
      </x:c>
      <x:c r="N693" s="213" t="str">
        <x:v>Tuesday</x:v>
      </x:c>
      <x:c r="O693" s="213" t="str">
        <x:v>LottoMetrics full-history export</x:v>
      </x:c>
      <x:c r="P693" s="213" t="str">
        <x:v>Archive-sourced; calendar/range/uniqueness validated</x:v>
      </x:c>
      <x:c r="Q693" s="54" t="str"/>
    </x:row>
    <x:row r="694">
      <x:c r="A694" s="74" t="n">
        <x:v>691</x:v>
      </x:c>
      <x:c r="B694" s="217" t="n">
        <x:v>45233</x:v>
      </x:c>
      <x:c r="C694" s="75" t="n">
        <x:v>6</x:v>
      </x:c>
      <x:c r="D694" s="75" t="n">
        <x:v>21</x:v>
      </x:c>
      <x:c r="E694" s="75" t="n">
        <x:v>23</x:v>
      </x:c>
      <x:c r="F694" s="75" t="n">
        <x:v>31</x:v>
      </x:c>
      <x:c r="G694" s="75" t="n">
        <x:v>39</x:v>
      </x:c>
      <x:c r="H694" s="75" t="n">
        <x:v>1</x:v>
      </x:c>
      <x:c r="I694" s="75" t="n">
        <x:v>5</x:v>
      </x:c>
      <x:c r="J694" s="75" t="n">
        <x:v>50</x:v>
      </x:c>
      <x:c r="K694" s="75" t="n">
        <x:v>12</x:v>
      </x:c>
      <x:c r="L694" s="75" t="str">
        <x:v>R3_5of50_2of12</x:v>
      </x:c>
      <x:c r="M694" s="213" t="str">
        <x:v>S1_pre_2024_studio_change_sensitivity_only</x:v>
      </x:c>
      <x:c r="N694" s="213" t="str">
        <x:v>Friday</x:v>
      </x:c>
      <x:c r="O694" s="213" t="str">
        <x:v>LottoMetrics full-history export</x:v>
      </x:c>
      <x:c r="P694" s="213" t="str">
        <x:v>Archive-sourced; calendar/range/uniqueness validated</x:v>
      </x:c>
      <x:c r="Q694" s="54" t="str"/>
    </x:row>
    <x:row r="695">
      <x:c r="A695" s="74" t="n">
        <x:v>692</x:v>
      </x:c>
      <x:c r="B695" s="217" t="n">
        <x:v>45237</x:v>
      </x:c>
      <x:c r="C695" s="75" t="n">
        <x:v>26</x:v>
      </x:c>
      <x:c r="D695" s="75" t="n">
        <x:v>36</x:v>
      </x:c>
      <x:c r="E695" s="75" t="n">
        <x:v>43</x:v>
      </x:c>
      <x:c r="F695" s="75" t="n">
        <x:v>47</x:v>
      </x:c>
      <x:c r="G695" s="75" t="n">
        <x:v>49</x:v>
      </x:c>
      <x:c r="H695" s="75" t="n">
        <x:v>4</x:v>
      </x:c>
      <x:c r="I695" s="75" t="n">
        <x:v>7</x:v>
      </x:c>
      <x:c r="J695" s="75" t="n">
        <x:v>50</x:v>
      </x:c>
      <x:c r="K695" s="75" t="n">
        <x:v>12</x:v>
      </x:c>
      <x:c r="L695" s="75" t="str">
        <x:v>R3_5of50_2of12</x:v>
      </x:c>
      <x:c r="M695" s="213" t="str">
        <x:v>S1_pre_2024_studio_change_sensitivity_only</x:v>
      </x:c>
      <x:c r="N695" s="213" t="str">
        <x:v>Tuesday</x:v>
      </x:c>
      <x:c r="O695" s="213" t="str">
        <x:v>LottoMetrics full-history export</x:v>
      </x:c>
      <x:c r="P695" s="213" t="str">
        <x:v>Archive-sourced; calendar/range/uniqueness validated</x:v>
      </x:c>
      <x:c r="Q695" s="54" t="str"/>
    </x:row>
    <x:row r="696">
      <x:c r="A696" s="74" t="n">
        <x:v>693</x:v>
      </x:c>
      <x:c r="B696" s="217" t="n">
        <x:v>45240</x:v>
      </x:c>
      <x:c r="C696" s="75" t="n">
        <x:v>1</x:v>
      </x:c>
      <x:c r="D696" s="75" t="n">
        <x:v>17</x:v>
      </x:c>
      <x:c r="E696" s="75" t="n">
        <x:v>22</x:v>
      </x:c>
      <x:c r="F696" s="75" t="n">
        <x:v>29</x:v>
      </x:c>
      <x:c r="G696" s="75" t="n">
        <x:v>31</x:v>
      </x:c>
      <x:c r="H696" s="75" t="n">
        <x:v>5</x:v>
      </x:c>
      <x:c r="I696" s="75" t="n">
        <x:v>6</x:v>
      </x:c>
      <x:c r="J696" s="75" t="n">
        <x:v>50</x:v>
      </x:c>
      <x:c r="K696" s="75" t="n">
        <x:v>12</x:v>
      </x:c>
      <x:c r="L696" s="75" t="str">
        <x:v>R3_5of50_2of12</x:v>
      </x:c>
      <x:c r="M696" s="213" t="str">
        <x:v>S1_pre_2024_studio_change_sensitivity_only</x:v>
      </x:c>
      <x:c r="N696" s="213" t="str">
        <x:v>Friday</x:v>
      </x:c>
      <x:c r="O696" s="213" t="str">
        <x:v>LottoMetrics full-history export</x:v>
      </x:c>
      <x:c r="P696" s="213" t="str">
        <x:v>Archive-sourced; calendar/range/uniqueness validated</x:v>
      </x:c>
      <x:c r="Q696" s="54" t="str"/>
    </x:row>
    <x:row r="697">
      <x:c r="A697" s="74" t="n">
        <x:v>694</x:v>
      </x:c>
      <x:c r="B697" s="217" t="n">
        <x:v>45244</x:v>
      </x:c>
      <x:c r="C697" s="75" t="n">
        <x:v>9</x:v>
      </x:c>
      <x:c r="D697" s="75" t="n">
        <x:v>30</x:v>
      </x:c>
      <x:c r="E697" s="75" t="n">
        <x:v>34</x:v>
      </x:c>
      <x:c r="F697" s="75" t="n">
        <x:v>38</x:v>
      </x:c>
      <x:c r="G697" s="75" t="n">
        <x:v>48</x:v>
      </x:c>
      <x:c r="H697" s="75" t="n">
        <x:v>2</x:v>
      </x:c>
      <x:c r="I697" s="75" t="n">
        <x:v>3</x:v>
      </x:c>
      <x:c r="J697" s="75" t="n">
        <x:v>50</x:v>
      </x:c>
      <x:c r="K697" s="75" t="n">
        <x:v>12</x:v>
      </x:c>
      <x:c r="L697" s="75" t="str">
        <x:v>R3_5of50_2of12</x:v>
      </x:c>
      <x:c r="M697" s="213" t="str">
        <x:v>S1_pre_2024_studio_change_sensitivity_only</x:v>
      </x:c>
      <x:c r="N697" s="213" t="str">
        <x:v>Tuesday</x:v>
      </x:c>
      <x:c r="O697" s="213" t="str">
        <x:v>LottoMetrics full-history export</x:v>
      </x:c>
      <x:c r="P697" s="213" t="str">
        <x:v>Archive-sourced; calendar/range/uniqueness validated</x:v>
      </x:c>
      <x:c r="Q697" s="54" t="str"/>
    </x:row>
    <x:row r="698">
      <x:c r="A698" s="74" t="n">
        <x:v>695</x:v>
      </x:c>
      <x:c r="B698" s="217" t="n">
        <x:v>45247</x:v>
      </x:c>
      <x:c r="C698" s="75" t="n">
        <x:v>4</x:v>
      </x:c>
      <x:c r="D698" s="75" t="n">
        <x:v>14</x:v>
      </x:c>
      <x:c r="E698" s="75" t="n">
        <x:v>15</x:v>
      </x:c>
      <x:c r="F698" s="75" t="n">
        <x:v>20</x:v>
      </x:c>
      <x:c r="G698" s="75" t="n">
        <x:v>28</x:v>
      </x:c>
      <x:c r="H698" s="75" t="n">
        <x:v>7</x:v>
      </x:c>
      <x:c r="I698" s="75" t="n">
        <x:v>9</x:v>
      </x:c>
      <x:c r="J698" s="75" t="n">
        <x:v>50</x:v>
      </x:c>
      <x:c r="K698" s="75" t="n">
        <x:v>12</x:v>
      </x:c>
      <x:c r="L698" s="75" t="str">
        <x:v>R3_5of50_2of12</x:v>
      </x:c>
      <x:c r="M698" s="213" t="str">
        <x:v>S1_pre_2024_studio_change_sensitivity_only</x:v>
      </x:c>
      <x:c r="N698" s="213" t="str">
        <x:v>Friday</x:v>
      </x:c>
      <x:c r="O698" s="213" t="str">
        <x:v>LottoMetrics full-history export</x:v>
      </x:c>
      <x:c r="P698" s="213" t="str">
        <x:v>Archive-sourced; calendar/range/uniqueness validated</x:v>
      </x:c>
      <x:c r="Q698" s="54" t="str"/>
    </x:row>
    <x:row r="699">
      <x:c r="A699" s="74" t="n">
        <x:v>696</x:v>
      </x:c>
      <x:c r="B699" s="217" t="n">
        <x:v>45251</x:v>
      </x:c>
      <x:c r="C699" s="75" t="n">
        <x:v>9</x:v>
      </x:c>
      <x:c r="D699" s="75" t="n">
        <x:v>20</x:v>
      </x:c>
      <x:c r="E699" s="75" t="n">
        <x:v>21</x:v>
      </x:c>
      <x:c r="F699" s="75" t="n">
        <x:v>22</x:v>
      </x:c>
      <x:c r="G699" s="75" t="n">
        <x:v>38</x:v>
      </x:c>
      <x:c r="H699" s="75" t="n">
        <x:v>3</x:v>
      </x:c>
      <x:c r="I699" s="75" t="n">
        <x:v>12</x:v>
      </x:c>
      <x:c r="J699" s="75" t="n">
        <x:v>50</x:v>
      </x:c>
      <x:c r="K699" s="75" t="n">
        <x:v>12</x:v>
      </x:c>
      <x:c r="L699" s="75" t="str">
        <x:v>R3_5of50_2of12</x:v>
      </x:c>
      <x:c r="M699" s="213" t="str">
        <x:v>S1_pre_2024_studio_change_sensitivity_only</x:v>
      </x:c>
      <x:c r="N699" s="213" t="str">
        <x:v>Tuesday</x:v>
      </x:c>
      <x:c r="O699" s="213" t="str">
        <x:v>LottoMetrics full-history export</x:v>
      </x:c>
      <x:c r="P699" s="213" t="str">
        <x:v>Archive-sourced; calendar/range/uniqueness validated</x:v>
      </x:c>
      <x:c r="Q699" s="54" t="str"/>
    </x:row>
    <x:row r="700">
      <x:c r="A700" s="74" t="n">
        <x:v>697</x:v>
      </x:c>
      <x:c r="B700" s="217" t="n">
        <x:v>45254</x:v>
      </x:c>
      <x:c r="C700" s="75" t="n">
        <x:v>16</x:v>
      </x:c>
      <x:c r="D700" s="75" t="n">
        <x:v>27</x:v>
      </x:c>
      <x:c r="E700" s="75" t="n">
        <x:v>33</x:v>
      </x:c>
      <x:c r="F700" s="75" t="n">
        <x:v>34</x:v>
      </x:c>
      <x:c r="G700" s="75" t="n">
        <x:v>39</x:v>
      </x:c>
      <x:c r="H700" s="75" t="n">
        <x:v>2</x:v>
      </x:c>
      <x:c r="I700" s="75" t="n">
        <x:v>7</x:v>
      </x:c>
      <x:c r="J700" s="75" t="n">
        <x:v>50</x:v>
      </x:c>
      <x:c r="K700" s="75" t="n">
        <x:v>12</x:v>
      </x:c>
      <x:c r="L700" s="75" t="str">
        <x:v>R3_5of50_2of12</x:v>
      </x:c>
      <x:c r="M700" s="213" t="str">
        <x:v>S1_pre_2024_studio_change_sensitivity_only</x:v>
      </x:c>
      <x:c r="N700" s="213" t="str">
        <x:v>Friday</x:v>
      </x:c>
      <x:c r="O700" s="213" t="str">
        <x:v>LottoMetrics full-history export</x:v>
      </x:c>
      <x:c r="P700" s="213" t="str">
        <x:v>Archive-sourced; calendar/range/uniqueness validated</x:v>
      </x:c>
      <x:c r="Q700" s="54" t="str"/>
    </x:row>
    <x:row r="701">
      <x:c r="A701" s="74" t="n">
        <x:v>698</x:v>
      </x:c>
      <x:c r="B701" s="217" t="n">
        <x:v>45258</x:v>
      </x:c>
      <x:c r="C701" s="75" t="n">
        <x:v>11</x:v>
      </x:c>
      <x:c r="D701" s="75" t="n">
        <x:v>12</x:v>
      </x:c>
      <x:c r="E701" s="75" t="n">
        <x:v>13</x:v>
      </x:c>
      <x:c r="F701" s="75" t="n">
        <x:v>23</x:v>
      </x:c>
      <x:c r="G701" s="75" t="n">
        <x:v>36</x:v>
      </x:c>
      <x:c r="H701" s="75" t="n">
        <x:v>3</x:v>
      </x:c>
      <x:c r="I701" s="75" t="n">
        <x:v>8</x:v>
      </x:c>
      <x:c r="J701" s="75" t="n">
        <x:v>50</x:v>
      </x:c>
      <x:c r="K701" s="75" t="n">
        <x:v>12</x:v>
      </x:c>
      <x:c r="L701" s="75" t="str">
        <x:v>R3_5of50_2of12</x:v>
      </x:c>
      <x:c r="M701" s="213" t="str">
        <x:v>S1_pre_2024_studio_change_sensitivity_only</x:v>
      </x:c>
      <x:c r="N701" s="213" t="str">
        <x:v>Tuesday</x:v>
      </x:c>
      <x:c r="O701" s="213" t="str">
        <x:v>LottoMetrics full-history export</x:v>
      </x:c>
      <x:c r="P701" s="213" t="str">
        <x:v>Archive-sourced; calendar/range/uniqueness validated</x:v>
      </x:c>
      <x:c r="Q701" s="54" t="str"/>
    </x:row>
    <x:row r="702">
      <x:c r="A702" s="74" t="n">
        <x:v>699</x:v>
      </x:c>
      <x:c r="B702" s="217" t="n">
        <x:v>45261</x:v>
      </x:c>
      <x:c r="C702" s="75" t="n">
        <x:v>23</x:v>
      </x:c>
      <x:c r="D702" s="75" t="n">
        <x:v>32</x:v>
      </x:c>
      <x:c r="E702" s="75" t="n">
        <x:v>38</x:v>
      </x:c>
      <x:c r="F702" s="75" t="n">
        <x:v>45</x:v>
      </x:c>
      <x:c r="G702" s="75" t="n">
        <x:v>49</x:v>
      </x:c>
      <x:c r="H702" s="75" t="n">
        <x:v>1</x:v>
      </x:c>
      <x:c r="I702" s="75" t="n">
        <x:v>9</x:v>
      </x:c>
      <x:c r="J702" s="75" t="n">
        <x:v>50</x:v>
      </x:c>
      <x:c r="K702" s="75" t="n">
        <x:v>12</x:v>
      </x:c>
      <x:c r="L702" s="75" t="str">
        <x:v>R3_5of50_2of12</x:v>
      </x:c>
      <x:c r="M702" s="213" t="str">
        <x:v>S1_pre_2024_studio_change_sensitivity_only</x:v>
      </x:c>
      <x:c r="N702" s="213" t="str">
        <x:v>Friday</x:v>
      </x:c>
      <x:c r="O702" s="213" t="str">
        <x:v>LottoMetrics full-history export</x:v>
      </x:c>
      <x:c r="P702" s="213" t="str">
        <x:v>Archive-sourced; calendar/range/uniqueness validated</x:v>
      </x:c>
      <x:c r="Q702" s="54" t="str"/>
    </x:row>
    <x:row r="703">
      <x:c r="A703" s="74" t="n">
        <x:v>700</x:v>
      </x:c>
      <x:c r="B703" s="217" t="n">
        <x:v>45265</x:v>
      </x:c>
      <x:c r="C703" s="75" t="n">
        <x:v>6</x:v>
      </x:c>
      <x:c r="D703" s="75" t="n">
        <x:v>11</x:v>
      </x:c>
      <x:c r="E703" s="75" t="n">
        <x:v>16</x:v>
      </x:c>
      <x:c r="F703" s="75" t="n">
        <x:v>26</x:v>
      </x:c>
      <x:c r="G703" s="75" t="n">
        <x:v>49</x:v>
      </x:c>
      <x:c r="H703" s="75" t="n">
        <x:v>2</x:v>
      </x:c>
      <x:c r="I703" s="75" t="n">
        <x:v>9</x:v>
      </x:c>
      <x:c r="J703" s="75" t="n">
        <x:v>50</x:v>
      </x:c>
      <x:c r="K703" s="75" t="n">
        <x:v>12</x:v>
      </x:c>
      <x:c r="L703" s="75" t="str">
        <x:v>R3_5of50_2of12</x:v>
      </x:c>
      <x:c r="M703" s="213" t="str">
        <x:v>S1_pre_2024_studio_change_sensitivity_only</x:v>
      </x:c>
      <x:c r="N703" s="213" t="str">
        <x:v>Tuesday</x:v>
      </x:c>
      <x:c r="O703" s="213" t="str">
        <x:v>LottoMetrics full-history export</x:v>
      </x:c>
      <x:c r="P703" s="213" t="str">
        <x:v>Archive-sourced; calendar/range/uniqueness validated</x:v>
      </x:c>
      <x:c r="Q703" s="54" t="str"/>
    </x:row>
    <x:row r="704">
      <x:c r="A704" s="74" t="n">
        <x:v>701</x:v>
      </x:c>
      <x:c r="B704" s="217" t="n">
        <x:v>45268</x:v>
      </x:c>
      <x:c r="C704" s="75" t="n">
        <x:v>2</x:v>
      </x:c>
      <x:c r="D704" s="75" t="n">
        <x:v>8</x:v>
      </x:c>
      <x:c r="E704" s="75" t="n">
        <x:v>28</x:v>
      </x:c>
      <x:c r="F704" s="75" t="n">
        <x:v>32</x:v>
      </x:c>
      <x:c r="G704" s="75" t="n">
        <x:v>37</x:v>
      </x:c>
      <x:c r="H704" s="75" t="n">
        <x:v>3</x:v>
      </x:c>
      <x:c r="I704" s="75" t="n">
        <x:v>6</x:v>
      </x:c>
      <x:c r="J704" s="75" t="n">
        <x:v>50</x:v>
      </x:c>
      <x:c r="K704" s="75" t="n">
        <x:v>12</x:v>
      </x:c>
      <x:c r="L704" s="75" t="str">
        <x:v>R3_5of50_2of12</x:v>
      </x:c>
      <x:c r="M704" s="213" t="str">
        <x:v>S1_pre_2024_studio_change_sensitivity_only</x:v>
      </x:c>
      <x:c r="N704" s="213" t="str">
        <x:v>Friday</x:v>
      </x:c>
      <x:c r="O704" s="213" t="str">
        <x:v>LottoMetrics full-history export</x:v>
      </x:c>
      <x:c r="P704" s="213" t="str">
        <x:v>Archive-sourced; calendar/range/uniqueness validated</x:v>
      </x:c>
      <x:c r="Q704" s="54" t="str"/>
    </x:row>
    <x:row r="705">
      <x:c r="A705" s="74" t="n">
        <x:v>702</x:v>
      </x:c>
      <x:c r="B705" s="217" t="n">
        <x:v>45272</x:v>
      </x:c>
      <x:c r="C705" s="75" t="n">
        <x:v>2</x:v>
      </x:c>
      <x:c r="D705" s="75" t="n">
        <x:v>8</x:v>
      </x:c>
      <x:c r="E705" s="75" t="n">
        <x:v>20</x:v>
      </x:c>
      <x:c r="F705" s="75" t="n">
        <x:v>34</x:v>
      </x:c>
      <x:c r="G705" s="75" t="n">
        <x:v>40</x:v>
      </x:c>
      <x:c r="H705" s="75" t="n">
        <x:v>9</x:v>
      </x:c>
      <x:c r="I705" s="75" t="n">
        <x:v>12</x:v>
      </x:c>
      <x:c r="J705" s="75" t="n">
        <x:v>50</x:v>
      </x:c>
      <x:c r="K705" s="75" t="n">
        <x:v>12</x:v>
      </x:c>
      <x:c r="L705" s="75" t="str">
        <x:v>R3_5of50_2of12</x:v>
      </x:c>
      <x:c r="M705" s="213" t="str">
        <x:v>S1_pre_2024_studio_change_sensitivity_only</x:v>
      </x:c>
      <x:c r="N705" s="213" t="str">
        <x:v>Tuesday</x:v>
      </x:c>
      <x:c r="O705" s="213" t="str">
        <x:v>LottoMetrics full-history export</x:v>
      </x:c>
      <x:c r="P705" s="213" t="str">
        <x:v>Archive-sourced; calendar/range/uniqueness validated</x:v>
      </x:c>
      <x:c r="Q705" s="54" t="str"/>
    </x:row>
    <x:row r="706">
      <x:c r="A706" s="74" t="n">
        <x:v>703</x:v>
      </x:c>
      <x:c r="B706" s="217" t="n">
        <x:v>45275</x:v>
      </x:c>
      <x:c r="C706" s="75" t="n">
        <x:v>7</x:v>
      </x:c>
      <x:c r="D706" s="75" t="n">
        <x:v>15</x:v>
      </x:c>
      <x:c r="E706" s="75" t="n">
        <x:v>17</x:v>
      </x:c>
      <x:c r="F706" s="75" t="n">
        <x:v>18</x:v>
      </x:c>
      <x:c r="G706" s="75" t="n">
        <x:v>39</x:v>
      </x:c>
      <x:c r="H706" s="75" t="n">
        <x:v>1</x:v>
      </x:c>
      <x:c r="I706" s="75" t="n">
        <x:v>10</x:v>
      </x:c>
      <x:c r="J706" s="75" t="n">
        <x:v>50</x:v>
      </x:c>
      <x:c r="K706" s="75" t="n">
        <x:v>12</x:v>
      </x:c>
      <x:c r="L706" s="75" t="str">
        <x:v>R3_5of50_2of12</x:v>
      </x:c>
      <x:c r="M706" s="213" t="str">
        <x:v>S1_pre_2024_studio_change_sensitivity_only</x:v>
      </x:c>
      <x:c r="N706" s="213" t="str">
        <x:v>Friday</x:v>
      </x:c>
      <x:c r="O706" s="213" t="str">
        <x:v>LottoMetrics full-history export</x:v>
      </x:c>
      <x:c r="P706" s="213" t="str">
        <x:v>Archive-sourced; calendar/range/uniqueness validated</x:v>
      </x:c>
      <x:c r="Q706" s="54" t="str"/>
    </x:row>
    <x:row r="707">
      <x:c r="A707" s="74" t="n">
        <x:v>704</x:v>
      </x:c>
      <x:c r="B707" s="217" t="n">
        <x:v>45279</x:v>
      </x:c>
      <x:c r="C707" s="75" t="n">
        <x:v>4</x:v>
      </x:c>
      <x:c r="D707" s="75" t="n">
        <x:v>6</x:v>
      </x:c>
      <x:c r="E707" s="75" t="n">
        <x:v>17</x:v>
      </x:c>
      <x:c r="F707" s="75" t="n">
        <x:v>31</x:v>
      </x:c>
      <x:c r="G707" s="75" t="n">
        <x:v>45</x:v>
      </x:c>
      <x:c r="H707" s="75" t="n">
        <x:v>6</x:v>
      </x:c>
      <x:c r="I707" s="75" t="n">
        <x:v>12</x:v>
      </x:c>
      <x:c r="J707" s="75" t="n">
        <x:v>50</x:v>
      </x:c>
      <x:c r="K707" s="75" t="n">
        <x:v>12</x:v>
      </x:c>
      <x:c r="L707" s="75" t="str">
        <x:v>R3_5of50_2of12</x:v>
      </x:c>
      <x:c r="M707" s="213" t="str">
        <x:v>S1_pre_2024_studio_change_sensitivity_only</x:v>
      </x:c>
      <x:c r="N707" s="213" t="str">
        <x:v>Tuesday</x:v>
      </x:c>
      <x:c r="O707" s="213" t="str">
        <x:v>LottoMetrics full-history export</x:v>
      </x:c>
      <x:c r="P707" s="213" t="str">
        <x:v>Archive-sourced; calendar/range/uniqueness validated</x:v>
      </x:c>
      <x:c r="Q707" s="54" t="str"/>
    </x:row>
    <x:row r="708">
      <x:c r="A708" s="74" t="n">
        <x:v>705</x:v>
      </x:c>
      <x:c r="B708" s="217" t="n">
        <x:v>45282</x:v>
      </x:c>
      <x:c r="C708" s="75" t="n">
        <x:v>4</x:v>
      </x:c>
      <x:c r="D708" s="75" t="n">
        <x:v>6</x:v>
      </x:c>
      <x:c r="E708" s="75" t="n">
        <x:v>12</x:v>
      </x:c>
      <x:c r="F708" s="75" t="n">
        <x:v>31</x:v>
      </x:c>
      <x:c r="G708" s="75" t="n">
        <x:v>38</x:v>
      </x:c>
      <x:c r="H708" s="75" t="n">
        <x:v>2</x:v>
      </x:c>
      <x:c r="I708" s="75" t="n">
        <x:v>12</x:v>
      </x:c>
      <x:c r="J708" s="75" t="n">
        <x:v>50</x:v>
      </x:c>
      <x:c r="K708" s="75" t="n">
        <x:v>12</x:v>
      </x:c>
      <x:c r="L708" s="75" t="str">
        <x:v>R3_5of50_2of12</x:v>
      </x:c>
      <x:c r="M708" s="213" t="str">
        <x:v>S1_pre_2024_studio_change_sensitivity_only</x:v>
      </x:c>
      <x:c r="N708" s="213" t="str">
        <x:v>Friday</x:v>
      </x:c>
      <x:c r="O708" s="213" t="str">
        <x:v>LottoMetrics full-history export</x:v>
      </x:c>
      <x:c r="P708" s="213" t="str">
        <x:v>Archive-sourced; calendar/range/uniqueness validated</x:v>
      </x:c>
      <x:c r="Q708" s="54" t="str"/>
    </x:row>
    <x:row r="709">
      <x:c r="A709" s="74" t="n">
        <x:v>706</x:v>
      </x:c>
      <x:c r="B709" s="217" t="n">
        <x:v>45286</x:v>
      </x:c>
      <x:c r="C709" s="75" t="n">
        <x:v>4</x:v>
      </x:c>
      <x:c r="D709" s="75" t="n">
        <x:v>13</x:v>
      </x:c>
      <x:c r="E709" s="75" t="n">
        <x:v>16</x:v>
      </x:c>
      <x:c r="F709" s="75" t="n">
        <x:v>22</x:v>
      </x:c>
      <x:c r="G709" s="75" t="n">
        <x:v>27</x:v>
      </x:c>
      <x:c r="H709" s="75" t="n">
        <x:v>1</x:v>
      </x:c>
      <x:c r="I709" s="75" t="n">
        <x:v>10</x:v>
      </x:c>
      <x:c r="J709" s="75" t="n">
        <x:v>50</x:v>
      </x:c>
      <x:c r="K709" s="75" t="n">
        <x:v>12</x:v>
      </x:c>
      <x:c r="L709" s="75" t="str">
        <x:v>R3_5of50_2of12</x:v>
      </x:c>
      <x:c r="M709" s="213" t="str">
        <x:v>S1_pre_2024_studio_change_sensitivity_only</x:v>
      </x:c>
      <x:c r="N709" s="213" t="str">
        <x:v>Tuesday</x:v>
      </x:c>
      <x:c r="O709" s="213" t="str">
        <x:v>LottoMetrics full-history export</x:v>
      </x:c>
      <x:c r="P709" s="213" t="str">
        <x:v>Archive-sourced; calendar/range/uniqueness validated</x:v>
      </x:c>
      <x:c r="Q709" s="54" t="str"/>
    </x:row>
    <x:row r="710">
      <x:c r="A710" s="74" t="n">
        <x:v>707</x:v>
      </x:c>
      <x:c r="B710" s="217" t="n">
        <x:v>45289</x:v>
      </x:c>
      <x:c r="C710" s="75" t="n">
        <x:v>2</x:v>
      </x:c>
      <x:c r="D710" s="75" t="n">
        <x:v>21</x:v>
      </x:c>
      <x:c r="E710" s="75" t="n">
        <x:v>34</x:v>
      </x:c>
      <x:c r="F710" s="75" t="n">
        <x:v>40</x:v>
      </x:c>
      <x:c r="G710" s="75" t="n">
        <x:v>48</x:v>
      </x:c>
      <x:c r="H710" s="75" t="n">
        <x:v>2</x:v>
      </x:c>
      <x:c r="I710" s="75" t="n">
        <x:v>6</x:v>
      </x:c>
      <x:c r="J710" s="75" t="n">
        <x:v>50</x:v>
      </x:c>
      <x:c r="K710" s="75" t="n">
        <x:v>12</x:v>
      </x:c>
      <x:c r="L710" s="75" t="str">
        <x:v>R3_5of50_2of12</x:v>
      </x:c>
      <x:c r="M710" s="213" t="str">
        <x:v>S1_pre_2024_studio_change_sensitivity_only</x:v>
      </x:c>
      <x:c r="N710" s="213" t="str">
        <x:v>Friday</x:v>
      </x:c>
      <x:c r="O710" s="213" t="str">
        <x:v>LottoMetrics full-history export</x:v>
      </x:c>
      <x:c r="P710" s="213" t="str">
        <x:v>Archive-sourced; calendar/range/uniqueness validated</x:v>
      </x:c>
      <x:c r="Q710" s="54" t="str"/>
    </x:row>
    <x:row r="711">
      <x:c r="A711" s="74" t="n">
        <x:v>708</x:v>
      </x:c>
      <x:c r="B711" s="217" t="n">
        <x:v>45293</x:v>
      </x:c>
      <x:c r="C711" s="75" t="n">
        <x:v>19</x:v>
      </x:c>
      <x:c r="D711" s="75" t="n">
        <x:v>26</x:v>
      </x:c>
      <x:c r="E711" s="75" t="n">
        <x:v>36</x:v>
      </x:c>
      <x:c r="F711" s="75" t="n">
        <x:v>48</x:v>
      </x:c>
      <x:c r="G711" s="75" t="n">
        <x:v>49</x:v>
      </x:c>
      <x:c r="H711" s="75" t="n">
        <x:v>10</x:v>
      </x:c>
      <x:c r="I711" s="75" t="n">
        <x:v>11</x:v>
      </x:c>
      <x:c r="J711" s="75" t="n">
        <x:v>50</x:v>
      </x:c>
      <x:c r="K711" s="75" t="n">
        <x:v>12</x:v>
      </x:c>
      <x:c r="L711" s="75" t="str">
        <x:v>R3_5of50_2of12</x:v>
      </x:c>
      <x:c r="M711" s="213" t="str">
        <x:v>S1_pre_2024_studio_change_sensitivity_only</x:v>
      </x:c>
      <x:c r="N711" s="213" t="str">
        <x:v>Tuesday</x:v>
      </x:c>
      <x:c r="O711" s="213" t="str">
        <x:v>LottoMetrics full-history export</x:v>
      </x:c>
      <x:c r="P711" s="213" t="str">
        <x:v>Cross-checked: OPAP uploads + public archive</x:v>
      </x:c>
      <x:c r="Q711" s="54" t="str"/>
    </x:row>
    <x:row r="712">
      <x:c r="A712" s="74" t="n">
        <x:v>709</x:v>
      </x:c>
      <x:c r="B712" s="217" t="n">
        <x:v>45296</x:v>
      </x:c>
      <x:c r="C712" s="75" t="n">
        <x:v>11</x:v>
      </x:c>
      <x:c r="D712" s="75" t="n">
        <x:v>30</x:v>
      </x:c>
      <x:c r="E712" s="75" t="n">
        <x:v>32</x:v>
      </x:c>
      <x:c r="F712" s="75" t="n">
        <x:v>45</x:v>
      </x:c>
      <x:c r="G712" s="75" t="n">
        <x:v>47</x:v>
      </x:c>
      <x:c r="H712" s="75" t="n">
        <x:v>3</x:v>
      </x:c>
      <x:c r="I712" s="75" t="n">
        <x:v>10</x:v>
      </x:c>
      <x:c r="J712" s="75" t="n">
        <x:v>50</x:v>
      </x:c>
      <x:c r="K712" s="75" t="n">
        <x:v>12</x:v>
      </x:c>
      <x:c r="L712" s="75" t="str">
        <x:v>R3_5of50_2of12</x:v>
      </x:c>
      <x:c r="M712" s="213" t="str">
        <x:v>S1_pre_2024_studio_change_sensitivity_only</x:v>
      </x:c>
      <x:c r="N712" s="213" t="str">
        <x:v>Friday</x:v>
      </x:c>
      <x:c r="O712" s="213" t="str">
        <x:v>LottoMetrics full-history export</x:v>
      </x:c>
      <x:c r="P712" s="213" t="str">
        <x:v>Cross-checked: OPAP uploads + public archive</x:v>
      </x:c>
      <x:c r="Q712" s="54" t="str"/>
    </x:row>
    <x:row r="713">
      <x:c r="A713" s="74" t="n">
        <x:v>710</x:v>
      </x:c>
      <x:c r="B713" s="217" t="n">
        <x:v>45300</x:v>
      </x:c>
      <x:c r="C713" s="75" t="n">
        <x:v>9</x:v>
      </x:c>
      <x:c r="D713" s="75" t="n">
        <x:v>12</x:v>
      </x:c>
      <x:c r="E713" s="75" t="n">
        <x:v>26</x:v>
      </x:c>
      <x:c r="F713" s="75" t="n">
        <x:v>41</x:v>
      </x:c>
      <x:c r="G713" s="75" t="n">
        <x:v>47</x:v>
      </x:c>
      <x:c r="H713" s="75" t="n">
        <x:v>7</x:v>
      </x:c>
      <x:c r="I713" s="75" t="n">
        <x:v>10</x:v>
      </x:c>
      <x:c r="J713" s="75" t="n">
        <x:v>50</x:v>
      </x:c>
      <x:c r="K713" s="75" t="n">
        <x:v>12</x:v>
      </x:c>
      <x:c r="L713" s="75" t="str">
        <x:v>R3_5of50_2of12</x:v>
      </x:c>
      <x:c r="M713" s="213" t="str">
        <x:v>S1_pre_2024_studio_change_sensitivity_only</x:v>
      </x:c>
      <x:c r="N713" s="213" t="str">
        <x:v>Tuesday</x:v>
      </x:c>
      <x:c r="O713" s="213" t="str">
        <x:v>LottoMetrics full-history export</x:v>
      </x:c>
      <x:c r="P713" s="213" t="str">
        <x:v>Cross-checked: OPAP uploads + public archive</x:v>
      </x:c>
      <x:c r="Q713" s="54" t="str"/>
    </x:row>
    <x:row r="714">
      <x:c r="A714" s="74" t="n">
        <x:v>711</x:v>
      </x:c>
      <x:c r="B714" s="217" t="n">
        <x:v>45303</x:v>
      </x:c>
      <x:c r="C714" s="75" t="n">
        <x:v>3</x:v>
      </x:c>
      <x:c r="D714" s="75" t="n">
        <x:v>31</x:v>
      </x:c>
      <x:c r="E714" s="75" t="n">
        <x:v>34</x:v>
      </x:c>
      <x:c r="F714" s="75" t="n">
        <x:v>43</x:v>
      </x:c>
      <x:c r="G714" s="75" t="n">
        <x:v>45</x:v>
      </x:c>
      <x:c r="H714" s="75" t="n">
        <x:v>6</x:v>
      </x:c>
      <x:c r="I714" s="75" t="n">
        <x:v>9</x:v>
      </x:c>
      <x:c r="J714" s="75" t="n">
        <x:v>50</x:v>
      </x:c>
      <x:c r="K714" s="75" t="n">
        <x:v>12</x:v>
      </x:c>
      <x:c r="L714" s="75" t="str">
        <x:v>R3_5of50_2of12</x:v>
      </x:c>
      <x:c r="M714" s="213" t="str">
        <x:v>S1_pre_2024_studio_change_sensitivity_only</x:v>
      </x:c>
      <x:c r="N714" s="213" t="str">
        <x:v>Friday</x:v>
      </x:c>
      <x:c r="O714" s="213" t="str">
        <x:v>LottoMetrics full-history export</x:v>
      </x:c>
      <x:c r="P714" s="213" t="str">
        <x:v>Cross-checked: OPAP uploads + public archive</x:v>
      </x:c>
      <x:c r="Q714" s="54" t="str"/>
    </x:row>
    <x:row r="715">
      <x:c r="A715" s="74" t="n">
        <x:v>712</x:v>
      </x:c>
      <x:c r="B715" s="217" t="n">
        <x:v>45307</x:v>
      </x:c>
      <x:c r="C715" s="75" t="n">
        <x:v>6</x:v>
      </x:c>
      <x:c r="D715" s="75" t="n">
        <x:v>19</x:v>
      </x:c>
      <x:c r="E715" s="75" t="n">
        <x:v>32</x:v>
      </x:c>
      <x:c r="F715" s="75" t="n">
        <x:v>39</x:v>
      </x:c>
      <x:c r="G715" s="75" t="n">
        <x:v>42</x:v>
      </x:c>
      <x:c r="H715" s="75" t="n">
        <x:v>4</x:v>
      </x:c>
      <x:c r="I715" s="75" t="n">
        <x:v>9</x:v>
      </x:c>
      <x:c r="J715" s="75" t="n">
        <x:v>50</x:v>
      </x:c>
      <x:c r="K715" s="75" t="n">
        <x:v>12</x:v>
      </x:c>
      <x:c r="L715" s="75" t="str">
        <x:v>R3_5of50_2of12</x:v>
      </x:c>
      <x:c r="M715" s="213" t="str">
        <x:v>S1_pre_2024_studio_change_sensitivity_only</x:v>
      </x:c>
      <x:c r="N715" s="213" t="str">
        <x:v>Tuesday</x:v>
      </x:c>
      <x:c r="O715" s="213" t="str">
        <x:v>LottoMetrics full-history export</x:v>
      </x:c>
      <x:c r="P715" s="213" t="str">
        <x:v>Cross-checked: OPAP uploads + public archive</x:v>
      </x:c>
      <x:c r="Q715" s="54" t="str"/>
    </x:row>
    <x:row r="716">
      <x:c r="A716" s="74" t="n">
        <x:v>713</x:v>
      </x:c>
      <x:c r="B716" s="217" t="n">
        <x:v>45310</x:v>
      </x:c>
      <x:c r="C716" s="75" t="n">
        <x:v>10</x:v>
      </x:c>
      <x:c r="D716" s="75" t="n">
        <x:v>12</x:v>
      </x:c>
      <x:c r="E716" s="75" t="n">
        <x:v>18</x:v>
      </x:c>
      <x:c r="F716" s="75" t="n">
        <x:v>33</x:v>
      </x:c>
      <x:c r="G716" s="75" t="n">
        <x:v>47</x:v>
      </x:c>
      <x:c r="H716" s="75" t="n">
        <x:v>7</x:v>
      </x:c>
      <x:c r="I716" s="75" t="n">
        <x:v>10</x:v>
      </x:c>
      <x:c r="J716" s="75" t="n">
        <x:v>50</x:v>
      </x:c>
      <x:c r="K716" s="75" t="n">
        <x:v>12</x:v>
      </x:c>
      <x:c r="L716" s="75" t="str">
        <x:v>R3_5of50_2of12</x:v>
      </x:c>
      <x:c r="M716" s="213" t="str">
        <x:v>S1_pre_2024_studio_change_sensitivity_only</x:v>
      </x:c>
      <x:c r="N716" s="213" t="str">
        <x:v>Friday</x:v>
      </x:c>
      <x:c r="O716" s="213" t="str">
        <x:v>LottoMetrics full-history export</x:v>
      </x:c>
      <x:c r="P716" s="213" t="str">
        <x:v>Cross-checked: OPAP uploads + public archive</x:v>
      </x:c>
      <x:c r="Q716" s="54" t="str"/>
    </x:row>
    <x:row r="717">
      <x:c r="A717" s="74" t="n">
        <x:v>714</x:v>
      </x:c>
      <x:c r="B717" s="217" t="n">
        <x:v>45314</x:v>
      </x:c>
      <x:c r="C717" s="75" t="n">
        <x:v>9</x:v>
      </x:c>
      <x:c r="D717" s="75" t="n">
        <x:v>18</x:v>
      </x:c>
      <x:c r="E717" s="75" t="n">
        <x:v>20</x:v>
      </x:c>
      <x:c r="F717" s="75" t="n">
        <x:v>32</x:v>
      </x:c>
      <x:c r="G717" s="75" t="n">
        <x:v>39</x:v>
      </x:c>
      <x:c r="H717" s="75" t="n">
        <x:v>5</x:v>
      </x:c>
      <x:c r="I717" s="75" t="n">
        <x:v>8</x:v>
      </x:c>
      <x:c r="J717" s="75" t="n">
        <x:v>50</x:v>
      </x:c>
      <x:c r="K717" s="75" t="n">
        <x:v>12</x:v>
      </x:c>
      <x:c r="L717" s="75" t="str">
        <x:v>R3_5of50_2of12</x:v>
      </x:c>
      <x:c r="M717" s="213" t="str">
        <x:v>S1_pre_2024_studio_change_sensitivity_only</x:v>
      </x:c>
      <x:c r="N717" s="213" t="str">
        <x:v>Tuesday</x:v>
      </x:c>
      <x:c r="O717" s="213" t="str">
        <x:v>LottoMetrics full-history export</x:v>
      </x:c>
      <x:c r="P717" s="213" t="str">
        <x:v>Cross-checked: OPAP uploads + public archive</x:v>
      </x:c>
      <x:c r="Q717" s="54" t="str"/>
    </x:row>
    <x:row r="718">
      <x:c r="A718" s="74" t="n">
        <x:v>715</x:v>
      </x:c>
      <x:c r="B718" s="217" t="n">
        <x:v>45317</x:v>
      </x:c>
      <x:c r="C718" s="75" t="n">
        <x:v>18</x:v>
      </x:c>
      <x:c r="D718" s="75" t="n">
        <x:v>23</x:v>
      </x:c>
      <x:c r="E718" s="75" t="n">
        <x:v>35</x:v>
      </x:c>
      <x:c r="F718" s="75" t="n">
        <x:v>37</x:v>
      </x:c>
      <x:c r="G718" s="75" t="n">
        <x:v>41</x:v>
      </x:c>
      <x:c r="H718" s="75" t="n">
        <x:v>6</x:v>
      </x:c>
      <x:c r="I718" s="75" t="n">
        <x:v>7</x:v>
      </x:c>
      <x:c r="J718" s="75" t="n">
        <x:v>50</x:v>
      </x:c>
      <x:c r="K718" s="75" t="n">
        <x:v>12</x:v>
      </x:c>
      <x:c r="L718" s="75" t="str">
        <x:v>R3_5of50_2of12</x:v>
      </x:c>
      <x:c r="M718" s="213" t="str">
        <x:v>S1_pre_2024_studio_change_sensitivity_only</x:v>
      </x:c>
      <x:c r="N718" s="213" t="str">
        <x:v>Friday</x:v>
      </x:c>
      <x:c r="O718" s="213" t="str">
        <x:v>LottoMetrics full-history export</x:v>
      </x:c>
      <x:c r="P718" s="213" t="str">
        <x:v>Cross-checked: OPAP uploads + public archive</x:v>
      </x:c>
      <x:c r="Q718" s="54" t="str"/>
    </x:row>
    <x:row r="719">
      <x:c r="A719" s="74" t="n">
        <x:v>716</x:v>
      </x:c>
      <x:c r="B719" s="217" t="n">
        <x:v>45321</x:v>
      </x:c>
      <x:c r="C719" s="75" t="n">
        <x:v>10</x:v>
      </x:c>
      <x:c r="D719" s="75" t="n">
        <x:v>12</x:v>
      </x:c>
      <x:c r="E719" s="75" t="n">
        <x:v>15</x:v>
      </x:c>
      <x:c r="F719" s="75" t="n">
        <x:v>46</x:v>
      </x:c>
      <x:c r="G719" s="75" t="n">
        <x:v>48</x:v>
      </x:c>
      <x:c r="H719" s="75" t="n">
        <x:v>9</x:v>
      </x:c>
      <x:c r="I719" s="75" t="n">
        <x:v>11</x:v>
      </x:c>
      <x:c r="J719" s="75" t="n">
        <x:v>50</x:v>
      </x:c>
      <x:c r="K719" s="75" t="n">
        <x:v>12</x:v>
      </x:c>
      <x:c r="L719" s="75" t="str">
        <x:v>R3_5of50_2of12</x:v>
      </x:c>
      <x:c r="M719" s="213" t="str">
        <x:v>S1_pre_2024_studio_change_sensitivity_only</x:v>
      </x:c>
      <x:c r="N719" s="213" t="str">
        <x:v>Tuesday</x:v>
      </x:c>
      <x:c r="O719" s="213" t="str">
        <x:v>LottoMetrics full-history export</x:v>
      </x:c>
      <x:c r="P719" s="213" t="str">
        <x:v>Cross-checked: OPAP uploads + public archive</x:v>
      </x:c>
      <x:c r="Q719" s="54" t="str"/>
    </x:row>
    <x:row r="720">
      <x:c r="A720" s="74" t="n">
        <x:v>717</x:v>
      </x:c>
      <x:c r="B720" s="217" t="n">
        <x:v>45324</x:v>
      </x:c>
      <x:c r="C720" s="75" t="n">
        <x:v>13</x:v>
      </x:c>
      <x:c r="D720" s="75" t="n">
        <x:v>17</x:v>
      </x:c>
      <x:c r="E720" s="75" t="n">
        <x:v>21</x:v>
      </x:c>
      <x:c r="F720" s="75" t="n">
        <x:v>30</x:v>
      </x:c>
      <x:c r="G720" s="75" t="n">
        <x:v>39</x:v>
      </x:c>
      <x:c r="H720" s="75" t="n">
        <x:v>8</x:v>
      </x:c>
      <x:c r="I720" s="75" t="n">
        <x:v>11</x:v>
      </x:c>
      <x:c r="J720" s="75" t="n">
        <x:v>50</x:v>
      </x:c>
      <x:c r="K720" s="75" t="n">
        <x:v>12</x:v>
      </x:c>
      <x:c r="L720" s="75" t="str">
        <x:v>R3_5of50_2of12</x:v>
      </x:c>
      <x:c r="M720" s="213" t="str">
        <x:v>S1_pre_2024_studio_change_sensitivity_only</x:v>
      </x:c>
      <x:c r="N720" s="213" t="str">
        <x:v>Friday</x:v>
      </x:c>
      <x:c r="O720" s="213" t="str">
        <x:v>LottoMetrics full-history export</x:v>
      </x:c>
      <x:c r="P720" s="213" t="str">
        <x:v>Cross-checked: OPAP uploads + public archive</x:v>
      </x:c>
      <x:c r="Q720" s="54" t="str"/>
    </x:row>
    <x:row r="721">
      <x:c r="A721" s="74" t="n">
        <x:v>718</x:v>
      </x:c>
      <x:c r="B721" s="217" t="n">
        <x:v>45328</x:v>
      </x:c>
      <x:c r="C721" s="75" t="n">
        <x:v>16</x:v>
      </x:c>
      <x:c r="D721" s="75" t="n">
        <x:v>19</x:v>
      </x:c>
      <x:c r="E721" s="75" t="n">
        <x:v>20</x:v>
      </x:c>
      <x:c r="F721" s="75" t="n">
        <x:v>26</x:v>
      </x:c>
      <x:c r="G721" s="75" t="n">
        <x:v>44</x:v>
      </x:c>
      <x:c r="H721" s="75" t="n">
        <x:v>1</x:v>
      </x:c>
      <x:c r="I721" s="75" t="n">
        <x:v>4</x:v>
      </x:c>
      <x:c r="J721" s="75" t="n">
        <x:v>50</x:v>
      </x:c>
      <x:c r="K721" s="75" t="n">
        <x:v>12</x:v>
      </x:c>
      <x:c r="L721" s="75" t="str">
        <x:v>R3_5of50_2of12</x:v>
      </x:c>
      <x:c r="M721" s="213" t="str">
        <x:v>S1_pre_2024_studio_change_sensitivity_only</x:v>
      </x:c>
      <x:c r="N721" s="213" t="str">
        <x:v>Tuesday</x:v>
      </x:c>
      <x:c r="O721" s="213" t="str">
        <x:v>LottoMetrics full-history export</x:v>
      </x:c>
      <x:c r="P721" s="213" t="str">
        <x:v>Cross-checked: OPAP uploads + public archive</x:v>
      </x:c>
      <x:c r="Q721" s="54" t="str"/>
    </x:row>
    <x:row r="722">
      <x:c r="A722" s="74" t="n">
        <x:v>719</x:v>
      </x:c>
      <x:c r="B722" s="217" t="n">
        <x:v>45331</x:v>
      </x:c>
      <x:c r="C722" s="75" t="n">
        <x:v>4</x:v>
      </x:c>
      <x:c r="D722" s="75" t="n">
        <x:v>10</x:v>
      </x:c>
      <x:c r="E722" s="75" t="n">
        <x:v>11</x:v>
      </x:c>
      <x:c r="F722" s="75" t="n">
        <x:v>20</x:v>
      </x:c>
      <x:c r="G722" s="75" t="n">
        <x:v>22</x:v>
      </x:c>
      <x:c r="H722" s="75" t="n">
        <x:v>7</x:v>
      </x:c>
      <x:c r="I722" s="75" t="n">
        <x:v>10</x:v>
      </x:c>
      <x:c r="J722" s="75" t="n">
        <x:v>50</x:v>
      </x:c>
      <x:c r="K722" s="75" t="n">
        <x:v>12</x:v>
      </x:c>
      <x:c r="L722" s="75" t="str">
        <x:v>R3_5of50_2of12</x:v>
      </x:c>
      <x:c r="M722" s="213" t="str">
        <x:v>S1_pre_2024_studio_change_sensitivity_only</x:v>
      </x:c>
      <x:c r="N722" s="213" t="str">
        <x:v>Friday</x:v>
      </x:c>
      <x:c r="O722" s="213" t="str">
        <x:v>LottoMetrics full-history export</x:v>
      </x:c>
      <x:c r="P722" s="213" t="str">
        <x:v>Cross-checked: OPAP uploads + public archive</x:v>
      </x:c>
      <x:c r="Q722" s="54" t="str"/>
    </x:row>
    <x:row r="723">
      <x:c r="A723" s="74" t="n">
        <x:v>720</x:v>
      </x:c>
      <x:c r="B723" s="217" t="n">
        <x:v>45335</x:v>
      </x:c>
      <x:c r="C723" s="75" t="n">
        <x:v>7</x:v>
      </x:c>
      <x:c r="D723" s="75" t="n">
        <x:v>20</x:v>
      </x:c>
      <x:c r="E723" s="75" t="n">
        <x:v>22</x:v>
      </x:c>
      <x:c r="F723" s="75" t="n">
        <x:v>45</x:v>
      </x:c>
      <x:c r="G723" s="75" t="n">
        <x:v>48</x:v>
      </x:c>
      <x:c r="H723" s="75" t="n">
        <x:v>10</x:v>
      </x:c>
      <x:c r="I723" s="75" t="n">
        <x:v>12</x:v>
      </x:c>
      <x:c r="J723" s="75" t="n">
        <x:v>50</x:v>
      </x:c>
      <x:c r="K723" s="75" t="n">
        <x:v>12</x:v>
      </x:c>
      <x:c r="L723" s="75" t="str">
        <x:v>R3_5of50_2of12</x:v>
      </x:c>
      <x:c r="M723" s="213" t="str">
        <x:v>S1_pre_2024_studio_change_sensitivity_only</x:v>
      </x:c>
      <x:c r="N723" s="213" t="str">
        <x:v>Tuesday</x:v>
      </x:c>
      <x:c r="O723" s="213" t="str">
        <x:v>LottoMetrics full-history export</x:v>
      </x:c>
      <x:c r="P723" s="213" t="str">
        <x:v>Cross-checked: OPAP uploads + public archive</x:v>
      </x:c>
      <x:c r="Q723" s="54" t="str"/>
    </x:row>
    <x:row r="724">
      <x:c r="A724" s="74" t="n">
        <x:v>721</x:v>
      </x:c>
      <x:c r="B724" s="217" t="n">
        <x:v>45338</x:v>
      </x:c>
      <x:c r="C724" s="75" t="n">
        <x:v>7</x:v>
      </x:c>
      <x:c r="D724" s="75" t="n">
        <x:v>11</x:v>
      </x:c>
      <x:c r="E724" s="75" t="n">
        <x:v>17</x:v>
      </x:c>
      <x:c r="F724" s="75" t="n">
        <x:v>18</x:v>
      </x:c>
      <x:c r="G724" s="75" t="n">
        <x:v>34</x:v>
      </x:c>
      <x:c r="H724" s="75" t="n">
        <x:v>3</x:v>
      </x:c>
      <x:c r="I724" s="75" t="n">
        <x:v>5</x:v>
      </x:c>
      <x:c r="J724" s="75" t="n">
        <x:v>50</x:v>
      </x:c>
      <x:c r="K724" s="75" t="n">
        <x:v>12</x:v>
      </x:c>
      <x:c r="L724" s="75" t="str">
        <x:v>R3_5of50_2of12</x:v>
      </x:c>
      <x:c r="M724" s="213" t="str">
        <x:v>S1_pre_2024_studio_change_sensitivity_only</x:v>
      </x:c>
      <x:c r="N724" s="213" t="str">
        <x:v>Friday</x:v>
      </x:c>
      <x:c r="O724" s="213" t="str">
        <x:v>LottoMetrics full-history export</x:v>
      </x:c>
      <x:c r="P724" s="213" t="str">
        <x:v>Cross-checked: OPAP uploads + public archive</x:v>
      </x:c>
      <x:c r="Q724" s="54" t="str"/>
    </x:row>
    <x:row r="725">
      <x:c r="A725" s="74" t="n">
        <x:v>722</x:v>
      </x:c>
      <x:c r="B725" s="217" t="n">
        <x:v>45342</x:v>
      </x:c>
      <x:c r="C725" s="75" t="n">
        <x:v>1</x:v>
      </x:c>
      <x:c r="D725" s="75" t="n">
        <x:v>3</x:v>
      </x:c>
      <x:c r="E725" s="75" t="n">
        <x:v>11</x:v>
      </x:c>
      <x:c r="F725" s="75" t="n">
        <x:v>15</x:v>
      </x:c>
      <x:c r="G725" s="75" t="n">
        <x:v>30</x:v>
      </x:c>
      <x:c r="H725" s="75" t="n">
        <x:v>4</x:v>
      </x:c>
      <x:c r="I725" s="75" t="n">
        <x:v>10</x:v>
      </x:c>
      <x:c r="J725" s="75" t="n">
        <x:v>50</x:v>
      </x:c>
      <x:c r="K725" s="75" t="n">
        <x:v>12</x:v>
      </x:c>
      <x:c r="L725" s="75" t="str">
        <x:v>R3_5of50_2of12</x:v>
      </x:c>
      <x:c r="M725" s="213" t="str">
        <x:v>S1_pre_2024_studio_change_sensitivity_only</x:v>
      </x:c>
      <x:c r="N725" s="213" t="str">
        <x:v>Tuesday</x:v>
      </x:c>
      <x:c r="O725" s="213" t="str">
        <x:v>LottoMetrics full-history export</x:v>
      </x:c>
      <x:c r="P725" s="213" t="str">
        <x:v>Cross-checked: OPAP uploads + public archive</x:v>
      </x:c>
      <x:c r="Q725" s="54" t="str"/>
    </x:row>
    <x:row r="726">
      <x:c r="A726" s="74" t="n">
        <x:v>723</x:v>
      </x:c>
      <x:c r="B726" s="217" t="n">
        <x:v>45345</x:v>
      </x:c>
      <x:c r="C726" s="75" t="n">
        <x:v>10</x:v>
      </x:c>
      <x:c r="D726" s="75" t="n">
        <x:v>19</x:v>
      </x:c>
      <x:c r="E726" s="75" t="n">
        <x:v>22</x:v>
      </x:c>
      <x:c r="F726" s="75" t="n">
        <x:v>37</x:v>
      </x:c>
      <x:c r="G726" s="75" t="n">
        <x:v>41</x:v>
      </x:c>
      <x:c r="H726" s="75" t="n">
        <x:v>2</x:v>
      </x:c>
      <x:c r="I726" s="75" t="n">
        <x:v>6</x:v>
      </x:c>
      <x:c r="J726" s="75" t="n">
        <x:v>50</x:v>
      </x:c>
      <x:c r="K726" s="75" t="n">
        <x:v>12</x:v>
      </x:c>
      <x:c r="L726" s="75" t="str">
        <x:v>R3_5of50_2of12</x:v>
      </x:c>
      <x:c r="M726" s="213" t="str">
        <x:v>S1_pre_2024_studio_change_sensitivity_only</x:v>
      </x:c>
      <x:c r="N726" s="213" t="str">
        <x:v>Friday</x:v>
      </x:c>
      <x:c r="O726" s="213" t="str">
        <x:v>LottoMetrics full-history export</x:v>
      </x:c>
      <x:c r="P726" s="213" t="str">
        <x:v>Cross-checked: OPAP uploads + public archive</x:v>
      </x:c>
      <x:c r="Q726" s="54" t="str"/>
    </x:row>
    <x:row r="727">
      <x:c r="A727" s="74" t="n">
        <x:v>724</x:v>
      </x:c>
      <x:c r="B727" s="217" t="n">
        <x:v>45349</x:v>
      </x:c>
      <x:c r="C727" s="75" t="n">
        <x:v>15</x:v>
      </x:c>
      <x:c r="D727" s="75" t="n">
        <x:v>17</x:v>
      </x:c>
      <x:c r="E727" s="75" t="n">
        <x:v>30</x:v>
      </x:c>
      <x:c r="F727" s="75" t="n">
        <x:v>38</x:v>
      </x:c>
      <x:c r="G727" s="75" t="n">
        <x:v>49</x:v>
      </x:c>
      <x:c r="H727" s="75" t="n">
        <x:v>1</x:v>
      </x:c>
      <x:c r="I727" s="75" t="n">
        <x:v>11</x:v>
      </x:c>
      <x:c r="J727" s="75" t="n">
        <x:v>50</x:v>
      </x:c>
      <x:c r="K727" s="75" t="n">
        <x:v>12</x:v>
      </x:c>
      <x:c r="L727" s="75" t="str">
        <x:v>R3_5of50_2of12</x:v>
      </x:c>
      <x:c r="M727" s="213" t="str">
        <x:v>S1_pre_2024_studio_change_sensitivity_only</x:v>
      </x:c>
      <x:c r="N727" s="213" t="str">
        <x:v>Tuesday</x:v>
      </x:c>
      <x:c r="O727" s="213" t="str">
        <x:v>LottoMetrics full-history export</x:v>
      </x:c>
      <x:c r="P727" s="213" t="str">
        <x:v>Cross-checked: OPAP uploads + public archive</x:v>
      </x:c>
      <x:c r="Q727" s="54" t="str"/>
    </x:row>
    <x:row r="728">
      <x:c r="A728" s="74" t="n">
        <x:v>725</x:v>
      </x:c>
      <x:c r="B728" s="217" t="n">
        <x:v>45352</x:v>
      </x:c>
      <x:c r="C728" s="75" t="n">
        <x:v>13</x:v>
      </x:c>
      <x:c r="D728" s="75" t="n">
        <x:v>26</x:v>
      </x:c>
      <x:c r="E728" s="75" t="n">
        <x:v>30</x:v>
      </x:c>
      <x:c r="F728" s="75" t="n">
        <x:v>34</x:v>
      </x:c>
      <x:c r="G728" s="75" t="n">
        <x:v>41</x:v>
      </x:c>
      <x:c r="H728" s="75" t="n">
        <x:v>3</x:v>
      </x:c>
      <x:c r="I728" s="75" t="n">
        <x:v>7</x:v>
      </x:c>
      <x:c r="J728" s="75" t="n">
        <x:v>50</x:v>
      </x:c>
      <x:c r="K728" s="75" t="n">
        <x:v>12</x:v>
      </x:c>
      <x:c r="L728" s="75" t="str">
        <x:v>R3_5of50_2of12</x:v>
      </x:c>
      <x:c r="M728" s="213" t="str">
        <x:v>S1_pre_2024_studio_change_sensitivity_only</x:v>
      </x:c>
      <x:c r="N728" s="213" t="str">
        <x:v>Friday</x:v>
      </x:c>
      <x:c r="O728" s="213" t="str">
        <x:v>LottoMetrics full-history export</x:v>
      </x:c>
      <x:c r="P728" s="213" t="str">
        <x:v>Cross-checked: OPAP uploads + public archive</x:v>
      </x:c>
      <x:c r="Q728" s="54" t="str"/>
    </x:row>
    <x:row r="729">
      <x:c r="A729" s="74" t="n">
        <x:v>726</x:v>
      </x:c>
      <x:c r="B729" s="217" t="n">
        <x:v>45356</x:v>
      </x:c>
      <x:c r="C729" s="75" t="n">
        <x:v>2</x:v>
      </x:c>
      <x:c r="D729" s="75" t="n">
        <x:v>20</x:v>
      </x:c>
      <x:c r="E729" s="75" t="n">
        <x:v>30</x:v>
      </x:c>
      <x:c r="F729" s="75" t="n">
        <x:v>31</x:v>
      </x:c>
      <x:c r="G729" s="75" t="n">
        <x:v>40</x:v>
      </x:c>
      <x:c r="H729" s="75" t="n">
        <x:v>8</x:v>
      </x:c>
      <x:c r="I729" s="75" t="n">
        <x:v>12</x:v>
      </x:c>
      <x:c r="J729" s="75" t="n">
        <x:v>50</x:v>
      </x:c>
      <x:c r="K729" s="75" t="n">
        <x:v>12</x:v>
      </x:c>
      <x:c r="L729" s="75" t="str">
        <x:v>R3_5of50_2of12</x:v>
      </x:c>
      <x:c r="M729" s="213" t="str">
        <x:v>S1_pre_2024_studio_change_sensitivity_only</x:v>
      </x:c>
      <x:c r="N729" s="213" t="str">
        <x:v>Tuesday</x:v>
      </x:c>
      <x:c r="O729" s="213" t="str">
        <x:v>LottoMetrics full-history export</x:v>
      </x:c>
      <x:c r="P729" s="213" t="str">
        <x:v>Cross-checked: OPAP uploads + public archive</x:v>
      </x:c>
      <x:c r="Q729" s="54" t="str"/>
    </x:row>
    <x:row r="730">
      <x:c r="A730" s="74" t="n">
        <x:v>727</x:v>
      </x:c>
      <x:c r="B730" s="217" t="n">
        <x:v>45359</x:v>
      </x:c>
      <x:c r="C730" s="75" t="n">
        <x:v>2</x:v>
      </x:c>
      <x:c r="D730" s="75" t="n">
        <x:v>11</x:v>
      </x:c>
      <x:c r="E730" s="75" t="n">
        <x:v>17</x:v>
      </x:c>
      <x:c r="F730" s="75" t="n">
        <x:v>23</x:v>
      </x:c>
      <x:c r="G730" s="75" t="n">
        <x:v>49</x:v>
      </x:c>
      <x:c r="H730" s="75" t="n">
        <x:v>4</x:v>
      </x:c>
      <x:c r="I730" s="75" t="n">
        <x:v>12</x:v>
      </x:c>
      <x:c r="J730" s="75" t="n">
        <x:v>50</x:v>
      </x:c>
      <x:c r="K730" s="75" t="n">
        <x:v>12</x:v>
      </x:c>
      <x:c r="L730" s="75" t="str">
        <x:v>R3_5of50_2of12</x:v>
      </x:c>
      <x:c r="M730" s="213" t="str">
        <x:v>S2_post_2024_studio_change_sensitivity_only</x:v>
      </x:c>
      <x:c r="N730" s="213" t="str">
        <x:v>Friday</x:v>
      </x:c>
      <x:c r="O730" s="213" t="str">
        <x:v>LottoMetrics full-history export</x:v>
      </x:c>
      <x:c r="P730" s="213" t="str">
        <x:v>Cross-checked: OPAP uploads + public archive</x:v>
      </x:c>
      <x:c r="Q730" s="54" t="str"/>
    </x:row>
    <x:row r="731">
      <x:c r="A731" s="74" t="n">
        <x:v>728</x:v>
      </x:c>
      <x:c r="B731" s="217" t="n">
        <x:v>45363</x:v>
      </x:c>
      <x:c r="C731" s="75" t="n">
        <x:v>2</x:v>
      </x:c>
      <x:c r="D731" s="75" t="n">
        <x:v>8</x:v>
      </x:c>
      <x:c r="E731" s="75" t="n">
        <x:v>11</x:v>
      </x:c>
      <x:c r="F731" s="75" t="n">
        <x:v>16</x:v>
      </x:c>
      <x:c r="G731" s="75" t="n">
        <x:v>20</x:v>
      </x:c>
      <x:c r="H731" s="75" t="n">
        <x:v>4</x:v>
      </x:c>
      <x:c r="I731" s="75" t="n">
        <x:v>10</x:v>
      </x:c>
      <x:c r="J731" s="75" t="n">
        <x:v>50</x:v>
      </x:c>
      <x:c r="K731" s="75" t="n">
        <x:v>12</x:v>
      </x:c>
      <x:c r="L731" s="75" t="str">
        <x:v>R3_5of50_2of12</x:v>
      </x:c>
      <x:c r="M731" s="213" t="str">
        <x:v>S2_post_2024_studio_change_sensitivity_only</x:v>
      </x:c>
      <x:c r="N731" s="213" t="str">
        <x:v>Tuesday</x:v>
      </x:c>
      <x:c r="O731" s="213" t="str">
        <x:v>LottoMetrics full-history export</x:v>
      </x:c>
      <x:c r="P731" s="213" t="str">
        <x:v>Cross-checked: OPAP uploads + public archive</x:v>
      </x:c>
      <x:c r="Q731" s="54" t="str"/>
    </x:row>
    <x:row r="732">
      <x:c r="A732" s="74" t="n">
        <x:v>729</x:v>
      </x:c>
      <x:c r="B732" s="217" t="n">
        <x:v>45366</x:v>
      </x:c>
      <x:c r="C732" s="75" t="n">
        <x:v>16</x:v>
      </x:c>
      <x:c r="D732" s="75" t="n">
        <x:v>20</x:v>
      </x:c>
      <x:c r="E732" s="75" t="n">
        <x:v>25</x:v>
      </x:c>
      <x:c r="F732" s="75" t="n">
        <x:v>30</x:v>
      </x:c>
      <x:c r="G732" s="75" t="n">
        <x:v>49</x:v>
      </x:c>
      <x:c r="H732" s="75" t="n">
        <x:v>3</x:v>
      </x:c>
      <x:c r="I732" s="75" t="n">
        <x:v>10</x:v>
      </x:c>
      <x:c r="J732" s="75" t="n">
        <x:v>50</x:v>
      </x:c>
      <x:c r="K732" s="75" t="n">
        <x:v>12</x:v>
      </x:c>
      <x:c r="L732" s="75" t="str">
        <x:v>R3_5of50_2of12</x:v>
      </x:c>
      <x:c r="M732" s="213" t="str">
        <x:v>S2_post_2024_studio_change_sensitivity_only</x:v>
      </x:c>
      <x:c r="N732" s="213" t="str">
        <x:v>Friday</x:v>
      </x:c>
      <x:c r="O732" s="213" t="str">
        <x:v>LottoMetrics full-history export</x:v>
      </x:c>
      <x:c r="P732" s="213" t="str">
        <x:v>Cross-checked: OPAP uploads + public archive</x:v>
      </x:c>
      <x:c r="Q732" s="54" t="str"/>
    </x:row>
    <x:row r="733">
      <x:c r="A733" s="74" t="n">
        <x:v>730</x:v>
      </x:c>
      <x:c r="B733" s="217" t="n">
        <x:v>45370</x:v>
      </x:c>
      <x:c r="C733" s="75" t="n">
        <x:v>1</x:v>
      </x:c>
      <x:c r="D733" s="75" t="n">
        <x:v>20</x:v>
      </x:c>
      <x:c r="E733" s="75" t="n">
        <x:v>28</x:v>
      </x:c>
      <x:c r="F733" s="75" t="n">
        <x:v>32</x:v>
      </x:c>
      <x:c r="G733" s="75" t="n">
        <x:v>49</x:v>
      </x:c>
      <x:c r="H733" s="75" t="n">
        <x:v>3</x:v>
      </x:c>
      <x:c r="I733" s="75" t="n">
        <x:v>10</x:v>
      </x:c>
      <x:c r="J733" s="75" t="n">
        <x:v>50</x:v>
      </x:c>
      <x:c r="K733" s="75" t="n">
        <x:v>12</x:v>
      </x:c>
      <x:c r="L733" s="75" t="str">
        <x:v>R3_5of50_2of12</x:v>
      </x:c>
      <x:c r="M733" s="213" t="str">
        <x:v>S2_post_2024_studio_change_sensitivity_only</x:v>
      </x:c>
      <x:c r="N733" s="213" t="str">
        <x:v>Tuesday</x:v>
      </x:c>
      <x:c r="O733" s="213" t="str">
        <x:v>LottoMetrics full-history export</x:v>
      </x:c>
      <x:c r="P733" s="213" t="str">
        <x:v>Cross-checked: OPAP uploads + public archive</x:v>
      </x:c>
      <x:c r="Q733" s="54" t="str"/>
    </x:row>
    <x:row r="734">
      <x:c r="A734" s="74" t="n">
        <x:v>731</x:v>
      </x:c>
      <x:c r="B734" s="217" t="n">
        <x:v>45373</x:v>
      </x:c>
      <x:c r="C734" s="75" t="n">
        <x:v>5</x:v>
      </x:c>
      <x:c r="D734" s="75" t="n">
        <x:v>17</x:v>
      </x:c>
      <x:c r="E734" s="75" t="n">
        <x:v>36</x:v>
      </x:c>
      <x:c r="F734" s="75" t="n">
        <x:v>37</x:v>
      </x:c>
      <x:c r="G734" s="75" t="n">
        <x:v>50</x:v>
      </x:c>
      <x:c r="H734" s="75" t="n">
        <x:v>3</x:v>
      </x:c>
      <x:c r="I734" s="75" t="n">
        <x:v>7</x:v>
      </x:c>
      <x:c r="J734" s="75" t="n">
        <x:v>50</x:v>
      </x:c>
      <x:c r="K734" s="75" t="n">
        <x:v>12</x:v>
      </x:c>
      <x:c r="L734" s="75" t="str">
        <x:v>R3_5of50_2of12</x:v>
      </x:c>
      <x:c r="M734" s="213" t="str">
        <x:v>S2_post_2024_studio_change_sensitivity_only</x:v>
      </x:c>
      <x:c r="N734" s="213" t="str">
        <x:v>Friday</x:v>
      </x:c>
      <x:c r="O734" s="213" t="str">
        <x:v>LottoMetrics full-history export</x:v>
      </x:c>
      <x:c r="P734" s="213" t="str">
        <x:v>Cross-checked: OPAP uploads + public archive</x:v>
      </x:c>
      <x:c r="Q734" s="54" t="str"/>
    </x:row>
    <x:row r="735">
      <x:c r="A735" s="74" t="n">
        <x:v>732</x:v>
      </x:c>
      <x:c r="B735" s="217" t="n">
        <x:v>45377</x:v>
      </x:c>
      <x:c r="C735" s="75" t="n">
        <x:v>12</x:v>
      </x:c>
      <x:c r="D735" s="75" t="n">
        <x:v>15</x:v>
      </x:c>
      <x:c r="E735" s="75" t="n">
        <x:v>17</x:v>
      </x:c>
      <x:c r="F735" s="75" t="n">
        <x:v>30</x:v>
      </x:c>
      <x:c r="G735" s="75" t="n">
        <x:v>32</x:v>
      </x:c>
      <x:c r="H735" s="75" t="n">
        <x:v>1</x:v>
      </x:c>
      <x:c r="I735" s="75" t="n">
        <x:v>6</x:v>
      </x:c>
      <x:c r="J735" s="75" t="n">
        <x:v>50</x:v>
      </x:c>
      <x:c r="K735" s="75" t="n">
        <x:v>12</x:v>
      </x:c>
      <x:c r="L735" s="75" t="str">
        <x:v>R3_5of50_2of12</x:v>
      </x:c>
      <x:c r="M735" s="213" t="str">
        <x:v>S2_post_2024_studio_change_sensitivity_only</x:v>
      </x:c>
      <x:c r="N735" s="213" t="str">
        <x:v>Tuesday</x:v>
      </x:c>
      <x:c r="O735" s="213" t="str">
        <x:v>LottoMetrics full-history export</x:v>
      </x:c>
      <x:c r="P735" s="213" t="str">
        <x:v>Cross-checked: OPAP uploads + public archive</x:v>
      </x:c>
      <x:c r="Q735" s="54" t="str"/>
    </x:row>
    <x:row r="736">
      <x:c r="A736" s="74" t="n">
        <x:v>733</x:v>
      </x:c>
      <x:c r="B736" s="217" t="n">
        <x:v>45380</x:v>
      </x:c>
      <x:c r="C736" s="75" t="n">
        <x:v>7</x:v>
      </x:c>
      <x:c r="D736" s="75" t="n">
        <x:v>11</x:v>
      </x:c>
      <x:c r="E736" s="75" t="n">
        <x:v>30</x:v>
      </x:c>
      <x:c r="F736" s="75" t="n">
        <x:v>31</x:v>
      </x:c>
      <x:c r="G736" s="75" t="n">
        <x:v>39</x:v>
      </x:c>
      <x:c r="H736" s="75" t="n">
        <x:v>5</x:v>
      </x:c>
      <x:c r="I736" s="75" t="n">
        <x:v>10</x:v>
      </x:c>
      <x:c r="J736" s="75" t="n">
        <x:v>50</x:v>
      </x:c>
      <x:c r="K736" s="75" t="n">
        <x:v>12</x:v>
      </x:c>
      <x:c r="L736" s="75" t="str">
        <x:v>R3_5of50_2of12</x:v>
      </x:c>
      <x:c r="M736" s="213" t="str">
        <x:v>S2_post_2024_studio_change_sensitivity_only</x:v>
      </x:c>
      <x:c r="N736" s="213" t="str">
        <x:v>Friday</x:v>
      </x:c>
      <x:c r="O736" s="213" t="str">
        <x:v>LottoMetrics full-history export</x:v>
      </x:c>
      <x:c r="P736" s="213" t="str">
        <x:v>Cross-checked: OPAP uploads + public archive</x:v>
      </x:c>
      <x:c r="Q736" s="54" t="str"/>
    </x:row>
    <x:row r="737">
      <x:c r="A737" s="74" t="n">
        <x:v>734</x:v>
      </x:c>
      <x:c r="B737" s="217" t="n">
        <x:v>45384</x:v>
      </x:c>
      <x:c r="C737" s="75" t="n">
        <x:v>14</x:v>
      </x:c>
      <x:c r="D737" s="75" t="n">
        <x:v>17</x:v>
      </x:c>
      <x:c r="E737" s="75" t="n">
        <x:v>29</x:v>
      </x:c>
      <x:c r="F737" s="75" t="n">
        <x:v>32</x:v>
      </x:c>
      <x:c r="G737" s="75" t="n">
        <x:v>45</x:v>
      </x:c>
      <x:c r="H737" s="75" t="n">
        <x:v>1</x:v>
      </x:c>
      <x:c r="I737" s="75" t="n">
        <x:v>2</x:v>
      </x:c>
      <x:c r="J737" s="75" t="n">
        <x:v>50</x:v>
      </x:c>
      <x:c r="K737" s="75" t="n">
        <x:v>12</x:v>
      </x:c>
      <x:c r="L737" s="75" t="str">
        <x:v>R3_5of50_2of12</x:v>
      </x:c>
      <x:c r="M737" s="213" t="str">
        <x:v>S2_post_2024_studio_change_sensitivity_only</x:v>
      </x:c>
      <x:c r="N737" s="213" t="str">
        <x:v>Tuesday</x:v>
      </x:c>
      <x:c r="O737" s="213" t="str">
        <x:v>LottoMetrics full-history export</x:v>
      </x:c>
      <x:c r="P737" s="213" t="str">
        <x:v>Cross-checked: OPAP uploads + public archive</x:v>
      </x:c>
      <x:c r="Q737" s="54" t="str"/>
    </x:row>
    <x:row r="738">
      <x:c r="A738" s="74" t="n">
        <x:v>735</x:v>
      </x:c>
      <x:c r="B738" s="217" t="n">
        <x:v>45387</x:v>
      </x:c>
      <x:c r="C738" s="75" t="n">
        <x:v>5</x:v>
      </x:c>
      <x:c r="D738" s="75" t="n">
        <x:v>8</x:v>
      </x:c>
      <x:c r="E738" s="75" t="n">
        <x:v>16</x:v>
      </x:c>
      <x:c r="F738" s="75" t="n">
        <x:v>30</x:v>
      </x:c>
      <x:c r="G738" s="75" t="n">
        <x:v>37</x:v>
      </x:c>
      <x:c r="H738" s="75" t="n">
        <x:v>1</x:v>
      </x:c>
      <x:c r="I738" s="75" t="n">
        <x:v>10</x:v>
      </x:c>
      <x:c r="J738" s="75" t="n">
        <x:v>50</x:v>
      </x:c>
      <x:c r="K738" s="75" t="n">
        <x:v>12</x:v>
      </x:c>
      <x:c r="L738" s="75" t="str">
        <x:v>R3_5of50_2of12</x:v>
      </x:c>
      <x:c r="M738" s="213" t="str">
        <x:v>S2_post_2024_studio_change_sensitivity_only</x:v>
      </x:c>
      <x:c r="N738" s="213" t="str">
        <x:v>Friday</x:v>
      </x:c>
      <x:c r="O738" s="213" t="str">
        <x:v>LottoMetrics full-history export</x:v>
      </x:c>
      <x:c r="P738" s="213" t="str">
        <x:v>Cross-checked: OPAP uploads + public archive</x:v>
      </x:c>
      <x:c r="Q738" s="54" t="str"/>
    </x:row>
    <x:row r="739">
      <x:c r="A739" s="74" t="n">
        <x:v>736</x:v>
      </x:c>
      <x:c r="B739" s="217" t="n">
        <x:v>45391</x:v>
      </x:c>
      <x:c r="C739" s="75" t="n">
        <x:v>1</x:v>
      </x:c>
      <x:c r="D739" s="75" t="n">
        <x:v>7</x:v>
      </x:c>
      <x:c r="E739" s="75" t="n">
        <x:v>21</x:v>
      </x:c>
      <x:c r="F739" s="75" t="n">
        <x:v>27</x:v>
      </x:c>
      <x:c r="G739" s="75" t="n">
        <x:v>43</x:v>
      </x:c>
      <x:c r="H739" s="75" t="n">
        <x:v>1</x:v>
      </x:c>
      <x:c r="I739" s="75" t="n">
        <x:v>3</x:v>
      </x:c>
      <x:c r="J739" s="75" t="n">
        <x:v>50</x:v>
      </x:c>
      <x:c r="K739" s="75" t="n">
        <x:v>12</x:v>
      </x:c>
      <x:c r="L739" s="75" t="str">
        <x:v>R3_5of50_2of12</x:v>
      </x:c>
      <x:c r="M739" s="213" t="str">
        <x:v>S2_post_2024_studio_change_sensitivity_only</x:v>
      </x:c>
      <x:c r="N739" s="213" t="str">
        <x:v>Tuesday</x:v>
      </x:c>
      <x:c r="O739" s="213" t="str">
        <x:v>LottoMetrics full-history export</x:v>
      </x:c>
      <x:c r="P739" s="213" t="str">
        <x:v>Cross-checked: OPAP uploads + public archive</x:v>
      </x:c>
      <x:c r="Q739" s="54" t="str"/>
    </x:row>
    <x:row r="740">
      <x:c r="A740" s="74" t="n">
        <x:v>737</x:v>
      </x:c>
      <x:c r="B740" s="217" t="n">
        <x:v>45394</x:v>
      </x:c>
      <x:c r="C740" s="75" t="n">
        <x:v>1</x:v>
      </x:c>
      <x:c r="D740" s="75" t="n">
        <x:v>34</x:v>
      </x:c>
      <x:c r="E740" s="75" t="n">
        <x:v>39</x:v>
      </x:c>
      <x:c r="F740" s="75" t="n">
        <x:v>47</x:v>
      </x:c>
      <x:c r="G740" s="75" t="n">
        <x:v>49</x:v>
      </x:c>
      <x:c r="H740" s="75" t="n">
        <x:v>1</x:v>
      </x:c>
      <x:c r="I740" s="75" t="n">
        <x:v>12</x:v>
      </x:c>
      <x:c r="J740" s="75" t="n">
        <x:v>50</x:v>
      </x:c>
      <x:c r="K740" s="75" t="n">
        <x:v>12</x:v>
      </x:c>
      <x:c r="L740" s="75" t="str">
        <x:v>R3_5of50_2of12</x:v>
      </x:c>
      <x:c r="M740" s="213" t="str">
        <x:v>S2_post_2024_studio_change_sensitivity_only</x:v>
      </x:c>
      <x:c r="N740" s="213" t="str">
        <x:v>Friday</x:v>
      </x:c>
      <x:c r="O740" s="213" t="str">
        <x:v>LottoMetrics full-history export</x:v>
      </x:c>
      <x:c r="P740" s="213" t="str">
        <x:v>Cross-checked: OPAP uploads + public archive</x:v>
      </x:c>
      <x:c r="Q740" s="54" t="str"/>
    </x:row>
    <x:row r="741">
      <x:c r="A741" s="74" t="n">
        <x:v>738</x:v>
      </x:c>
      <x:c r="B741" s="217" t="n">
        <x:v>45398</x:v>
      </x:c>
      <x:c r="C741" s="75" t="n">
        <x:v>35</x:v>
      </x:c>
      <x:c r="D741" s="75" t="n">
        <x:v>36</x:v>
      </x:c>
      <x:c r="E741" s="75" t="n">
        <x:v>37</x:v>
      </x:c>
      <x:c r="F741" s="75" t="n">
        <x:v>41</x:v>
      </x:c>
      <x:c r="G741" s="75" t="n">
        <x:v>48</x:v>
      </x:c>
      <x:c r="H741" s="75" t="n">
        <x:v>1</x:v>
      </x:c>
      <x:c r="I741" s="75" t="n">
        <x:v>12</x:v>
      </x:c>
      <x:c r="J741" s="75" t="n">
        <x:v>50</x:v>
      </x:c>
      <x:c r="K741" s="75" t="n">
        <x:v>12</x:v>
      </x:c>
      <x:c r="L741" s="75" t="str">
        <x:v>R3_5of50_2of12</x:v>
      </x:c>
      <x:c r="M741" s="213" t="str">
        <x:v>S2_post_2024_studio_change_sensitivity_only</x:v>
      </x:c>
      <x:c r="N741" s="213" t="str">
        <x:v>Tuesday</x:v>
      </x:c>
      <x:c r="O741" s="213" t="str">
        <x:v>LottoMetrics full-history export</x:v>
      </x:c>
      <x:c r="P741" s="213" t="str">
        <x:v>Cross-checked: OPAP uploads + public archive</x:v>
      </x:c>
      <x:c r="Q741" s="54" t="str"/>
    </x:row>
    <x:row r="742">
      <x:c r="A742" s="74" t="n">
        <x:v>739</x:v>
      </x:c>
      <x:c r="B742" s="217" t="n">
        <x:v>45401</x:v>
      </x:c>
      <x:c r="C742" s="75" t="n">
        <x:v>8</x:v>
      </x:c>
      <x:c r="D742" s="75" t="n">
        <x:v>14</x:v>
      </x:c>
      <x:c r="E742" s="75" t="n">
        <x:v>21</x:v>
      </x:c>
      <x:c r="F742" s="75" t="n">
        <x:v>34</x:v>
      </x:c>
      <x:c r="G742" s="75" t="n">
        <x:v>36</x:v>
      </x:c>
      <x:c r="H742" s="75" t="n">
        <x:v>1</x:v>
      </x:c>
      <x:c r="I742" s="75" t="n">
        <x:v>2</x:v>
      </x:c>
      <x:c r="J742" s="75" t="n">
        <x:v>50</x:v>
      </x:c>
      <x:c r="K742" s="75" t="n">
        <x:v>12</x:v>
      </x:c>
      <x:c r="L742" s="75" t="str">
        <x:v>R3_5of50_2of12</x:v>
      </x:c>
      <x:c r="M742" s="213" t="str">
        <x:v>S2_post_2024_studio_change_sensitivity_only</x:v>
      </x:c>
      <x:c r="N742" s="213" t="str">
        <x:v>Friday</x:v>
      </x:c>
      <x:c r="O742" s="213" t="str">
        <x:v>LottoMetrics full-history export</x:v>
      </x:c>
      <x:c r="P742" s="213" t="str">
        <x:v>Cross-checked: OPAP uploads + public archive</x:v>
      </x:c>
      <x:c r="Q742" s="54" t="str"/>
    </x:row>
    <x:row r="743">
      <x:c r="A743" s="74" t="n">
        <x:v>740</x:v>
      </x:c>
      <x:c r="B743" s="217" t="n">
        <x:v>45405</x:v>
      </x:c>
      <x:c r="C743" s="75" t="n">
        <x:v>2</x:v>
      </x:c>
      <x:c r="D743" s="75" t="n">
        <x:v>3</x:v>
      </x:c>
      <x:c r="E743" s="75" t="n">
        <x:v>6</x:v>
      </x:c>
      <x:c r="F743" s="75" t="n">
        <x:v>15</x:v>
      </x:c>
      <x:c r="G743" s="75" t="n">
        <x:v>35</x:v>
      </x:c>
      <x:c r="H743" s="75" t="n">
        <x:v>1</x:v>
      </x:c>
      <x:c r="I743" s="75" t="n">
        <x:v>3</x:v>
      </x:c>
      <x:c r="J743" s="75" t="n">
        <x:v>50</x:v>
      </x:c>
      <x:c r="K743" s="75" t="n">
        <x:v>12</x:v>
      </x:c>
      <x:c r="L743" s="75" t="str">
        <x:v>R3_5of50_2of12</x:v>
      </x:c>
      <x:c r="M743" s="213" t="str">
        <x:v>S2_post_2024_studio_change_sensitivity_only</x:v>
      </x:c>
      <x:c r="N743" s="213" t="str">
        <x:v>Tuesday</x:v>
      </x:c>
      <x:c r="O743" s="213" t="str">
        <x:v>LottoMetrics full-history export</x:v>
      </x:c>
      <x:c r="P743" s="213" t="str">
        <x:v>Cross-checked: OPAP uploads + public archive</x:v>
      </x:c>
      <x:c r="Q743" s="54" t="str"/>
    </x:row>
    <x:row r="744">
      <x:c r="A744" s="74" t="n">
        <x:v>741</x:v>
      </x:c>
      <x:c r="B744" s="217" t="n">
        <x:v>45408</x:v>
      </x:c>
      <x:c r="C744" s="75" t="n">
        <x:v>3</x:v>
      </x:c>
      <x:c r="D744" s="75" t="n">
        <x:v>18</x:v>
      </x:c>
      <x:c r="E744" s="75" t="n">
        <x:v>23</x:v>
      </x:c>
      <x:c r="F744" s="75" t="n">
        <x:v>29</x:v>
      </x:c>
      <x:c r="G744" s="75" t="n">
        <x:v>47</x:v>
      </x:c>
      <x:c r="H744" s="75" t="n">
        <x:v>5</x:v>
      </x:c>
      <x:c r="I744" s="75" t="n">
        <x:v>12</x:v>
      </x:c>
      <x:c r="J744" s="75" t="n">
        <x:v>50</x:v>
      </x:c>
      <x:c r="K744" s="75" t="n">
        <x:v>12</x:v>
      </x:c>
      <x:c r="L744" s="75" t="str">
        <x:v>R3_5of50_2of12</x:v>
      </x:c>
      <x:c r="M744" s="213" t="str">
        <x:v>S2_post_2024_studio_change_sensitivity_only</x:v>
      </x:c>
      <x:c r="N744" s="213" t="str">
        <x:v>Friday</x:v>
      </x:c>
      <x:c r="O744" s="213" t="str">
        <x:v>LottoMetrics full-history export</x:v>
      </x:c>
      <x:c r="P744" s="213" t="str">
        <x:v>Cross-checked: OPAP uploads + public archive</x:v>
      </x:c>
      <x:c r="Q744" s="54" t="str"/>
    </x:row>
    <x:row r="745">
      <x:c r="A745" s="74" t="n">
        <x:v>742</x:v>
      </x:c>
      <x:c r="B745" s="217" t="n">
        <x:v>45412</x:v>
      </x:c>
      <x:c r="C745" s="75" t="n">
        <x:v>4</x:v>
      </x:c>
      <x:c r="D745" s="75" t="n">
        <x:v>20</x:v>
      </x:c>
      <x:c r="E745" s="75" t="n">
        <x:v>33</x:v>
      </x:c>
      <x:c r="F745" s="75" t="n">
        <x:v>37</x:v>
      </x:c>
      <x:c r="G745" s="75" t="n">
        <x:v>45</x:v>
      </x:c>
      <x:c r="H745" s="75" t="n">
        <x:v>8</x:v>
      </x:c>
      <x:c r="I745" s="75" t="n">
        <x:v>9</x:v>
      </x:c>
      <x:c r="J745" s="75" t="n">
        <x:v>50</x:v>
      </x:c>
      <x:c r="K745" s="75" t="n">
        <x:v>12</x:v>
      </x:c>
      <x:c r="L745" s="75" t="str">
        <x:v>R3_5of50_2of12</x:v>
      </x:c>
      <x:c r="M745" s="213" t="str">
        <x:v>S2_post_2024_studio_change_sensitivity_only</x:v>
      </x:c>
      <x:c r="N745" s="213" t="str">
        <x:v>Tuesday</x:v>
      </x:c>
      <x:c r="O745" s="213" t="str">
        <x:v>LottoMetrics full-history export</x:v>
      </x:c>
      <x:c r="P745" s="213" t="str">
        <x:v>Cross-checked: OPAP uploads + public archive</x:v>
      </x:c>
      <x:c r="Q745" s="54" t="str"/>
    </x:row>
    <x:row r="746">
      <x:c r="A746" s="74" t="n">
        <x:v>743</x:v>
      </x:c>
      <x:c r="B746" s="217" t="n">
        <x:v>45415</x:v>
      </x:c>
      <x:c r="C746" s="75" t="n">
        <x:v>9</x:v>
      </x:c>
      <x:c r="D746" s="75" t="n">
        <x:v>17</x:v>
      </x:c>
      <x:c r="E746" s="75" t="n">
        <x:v>36</x:v>
      </x:c>
      <x:c r="F746" s="75" t="n">
        <x:v>40</x:v>
      </x:c>
      <x:c r="G746" s="75" t="n">
        <x:v>45</x:v>
      </x:c>
      <x:c r="H746" s="75" t="n">
        <x:v>5</x:v>
      </x:c>
      <x:c r="I746" s="75" t="n">
        <x:v>7</x:v>
      </x:c>
      <x:c r="J746" s="75" t="n">
        <x:v>50</x:v>
      </x:c>
      <x:c r="K746" s="75" t="n">
        <x:v>12</x:v>
      </x:c>
      <x:c r="L746" s="75" t="str">
        <x:v>R3_5of50_2of12</x:v>
      </x:c>
      <x:c r="M746" s="213" t="str">
        <x:v>S2_post_2024_studio_change_sensitivity_only</x:v>
      </x:c>
      <x:c r="N746" s="213" t="str">
        <x:v>Friday</x:v>
      </x:c>
      <x:c r="O746" s="213" t="str">
        <x:v>LottoMetrics full-history export</x:v>
      </x:c>
      <x:c r="P746" s="213" t="str">
        <x:v>Cross-checked: OPAP uploads + public archive</x:v>
      </x:c>
      <x:c r="Q746" s="54" t="str"/>
    </x:row>
    <x:row r="747">
      <x:c r="A747" s="74" t="n">
        <x:v>744</x:v>
      </x:c>
      <x:c r="B747" s="217" t="n">
        <x:v>45419</x:v>
      </x:c>
      <x:c r="C747" s="75" t="n">
        <x:v>3</x:v>
      </x:c>
      <x:c r="D747" s="75" t="n">
        <x:v>11</x:v>
      </x:c>
      <x:c r="E747" s="75" t="n">
        <x:v>32</x:v>
      </x:c>
      <x:c r="F747" s="75" t="n">
        <x:v>33</x:v>
      </x:c>
      <x:c r="G747" s="75" t="n">
        <x:v>35</x:v>
      </x:c>
      <x:c r="H747" s="75" t="n">
        <x:v>3</x:v>
      </x:c>
      <x:c r="I747" s="75" t="n">
        <x:v>11</x:v>
      </x:c>
      <x:c r="J747" s="75" t="n">
        <x:v>50</x:v>
      </x:c>
      <x:c r="K747" s="75" t="n">
        <x:v>12</x:v>
      </x:c>
      <x:c r="L747" s="75" t="str">
        <x:v>R3_5of50_2of12</x:v>
      </x:c>
      <x:c r="M747" s="213" t="str">
        <x:v>S2_post_2024_studio_change_sensitivity_only</x:v>
      </x:c>
      <x:c r="N747" s="213" t="str">
        <x:v>Tuesday</x:v>
      </x:c>
      <x:c r="O747" s="213" t="str">
        <x:v>LottoMetrics full-history export</x:v>
      </x:c>
      <x:c r="P747" s="213" t="str">
        <x:v>Cross-checked: OPAP uploads + public archive</x:v>
      </x:c>
      <x:c r="Q747" s="54" t="str"/>
    </x:row>
    <x:row r="748">
      <x:c r="A748" s="74" t="n">
        <x:v>745</x:v>
      </x:c>
      <x:c r="B748" s="217" t="n">
        <x:v>45422</x:v>
      </x:c>
      <x:c r="C748" s="75" t="n">
        <x:v>28</x:v>
      </x:c>
      <x:c r="D748" s="75" t="n">
        <x:v>31</x:v>
      </x:c>
      <x:c r="E748" s="75" t="n">
        <x:v>39</x:v>
      </x:c>
      <x:c r="F748" s="75" t="n">
        <x:v>45</x:v>
      </x:c>
      <x:c r="G748" s="75" t="n">
        <x:v>49</x:v>
      </x:c>
      <x:c r="H748" s="75" t="n">
        <x:v>8</x:v>
      </x:c>
      <x:c r="I748" s="75" t="n">
        <x:v>11</x:v>
      </x:c>
      <x:c r="J748" s="75" t="n">
        <x:v>50</x:v>
      </x:c>
      <x:c r="K748" s="75" t="n">
        <x:v>12</x:v>
      </x:c>
      <x:c r="L748" s="75" t="str">
        <x:v>R3_5of50_2of12</x:v>
      </x:c>
      <x:c r="M748" s="213" t="str">
        <x:v>S2_post_2024_studio_change_sensitivity_only</x:v>
      </x:c>
      <x:c r="N748" s="213" t="str">
        <x:v>Friday</x:v>
      </x:c>
      <x:c r="O748" s="213" t="str">
        <x:v>LottoMetrics full-history export</x:v>
      </x:c>
      <x:c r="P748" s="213" t="str">
        <x:v>Cross-checked: OPAP uploads + public archive</x:v>
      </x:c>
      <x:c r="Q748" s="54" t="str"/>
    </x:row>
    <x:row r="749">
      <x:c r="A749" s="74" t="n">
        <x:v>746</x:v>
      </x:c>
      <x:c r="B749" s="217" t="n">
        <x:v>45426</x:v>
      </x:c>
      <x:c r="C749" s="75" t="n">
        <x:v>19</x:v>
      </x:c>
      <x:c r="D749" s="75" t="n">
        <x:v>22</x:v>
      </x:c>
      <x:c r="E749" s="75" t="n">
        <x:v>23</x:v>
      </x:c>
      <x:c r="F749" s="75" t="n">
        <x:v>24</x:v>
      </x:c>
      <x:c r="G749" s="75" t="n">
        <x:v>27</x:v>
      </x:c>
      <x:c r="H749" s="75" t="n">
        <x:v>1</x:v>
      </x:c>
      <x:c r="I749" s="75" t="n">
        <x:v>6</x:v>
      </x:c>
      <x:c r="J749" s="75" t="n">
        <x:v>50</x:v>
      </x:c>
      <x:c r="K749" s="75" t="n">
        <x:v>12</x:v>
      </x:c>
      <x:c r="L749" s="75" t="str">
        <x:v>R3_5of50_2of12</x:v>
      </x:c>
      <x:c r="M749" s="213" t="str">
        <x:v>S2_post_2024_studio_change_sensitivity_only</x:v>
      </x:c>
      <x:c r="N749" s="213" t="str">
        <x:v>Tuesday</x:v>
      </x:c>
      <x:c r="O749" s="213" t="str">
        <x:v>LottoMetrics full-history export</x:v>
      </x:c>
      <x:c r="P749" s="213" t="str">
        <x:v>Cross-checked: OPAP uploads + public archive</x:v>
      </x:c>
      <x:c r="Q749" s="54" t="str"/>
    </x:row>
    <x:row r="750">
      <x:c r="A750" s="74" t="n">
        <x:v>747</x:v>
      </x:c>
      <x:c r="B750" s="217" t="n">
        <x:v>45429</x:v>
      </x:c>
      <x:c r="C750" s="75" t="n">
        <x:v>1</x:v>
      </x:c>
      <x:c r="D750" s="75" t="n">
        <x:v>2</x:v>
      </x:c>
      <x:c r="E750" s="75" t="n">
        <x:v>29</x:v>
      </x:c>
      <x:c r="F750" s="75" t="n">
        <x:v>36</x:v>
      </x:c>
      <x:c r="G750" s="75" t="n">
        <x:v>48</x:v>
      </x:c>
      <x:c r="H750" s="75" t="n">
        <x:v>1</x:v>
      </x:c>
      <x:c r="I750" s="75" t="n">
        <x:v>11</x:v>
      </x:c>
      <x:c r="J750" s="75" t="n">
        <x:v>50</x:v>
      </x:c>
      <x:c r="K750" s="75" t="n">
        <x:v>12</x:v>
      </x:c>
      <x:c r="L750" s="75" t="str">
        <x:v>R3_5of50_2of12</x:v>
      </x:c>
      <x:c r="M750" s="213" t="str">
        <x:v>S2_post_2024_studio_change_sensitivity_only</x:v>
      </x:c>
      <x:c r="N750" s="213" t="str">
        <x:v>Friday</x:v>
      </x:c>
      <x:c r="O750" s="213" t="str">
        <x:v>LottoMetrics full-history export</x:v>
      </x:c>
      <x:c r="P750" s="213" t="str">
        <x:v>Cross-checked: OPAP uploads + public archive</x:v>
      </x:c>
      <x:c r="Q750" s="54" t="str"/>
    </x:row>
    <x:row r="751">
      <x:c r="A751" s="74" t="n">
        <x:v>748</x:v>
      </x:c>
      <x:c r="B751" s="217" t="n">
        <x:v>45433</x:v>
      </x:c>
      <x:c r="C751" s="75" t="n">
        <x:v>7</x:v>
      </x:c>
      <x:c r="D751" s="75" t="n">
        <x:v>23</x:v>
      </x:c>
      <x:c r="E751" s="75" t="n">
        <x:v>31</x:v>
      </x:c>
      <x:c r="F751" s="75" t="n">
        <x:v>33</x:v>
      </x:c>
      <x:c r="G751" s="75" t="n">
        <x:v>38</x:v>
      </x:c>
      <x:c r="H751" s="75" t="n">
        <x:v>10</x:v>
      </x:c>
      <x:c r="I751" s="75" t="n">
        <x:v>11</x:v>
      </x:c>
      <x:c r="J751" s="75" t="n">
        <x:v>50</x:v>
      </x:c>
      <x:c r="K751" s="75" t="n">
        <x:v>12</x:v>
      </x:c>
      <x:c r="L751" s="75" t="str">
        <x:v>R3_5of50_2of12</x:v>
      </x:c>
      <x:c r="M751" s="213" t="str">
        <x:v>S2_post_2024_studio_change_sensitivity_only</x:v>
      </x:c>
      <x:c r="N751" s="213" t="str">
        <x:v>Tuesday</x:v>
      </x:c>
      <x:c r="O751" s="213" t="str">
        <x:v>LottoMetrics full-history export</x:v>
      </x:c>
      <x:c r="P751" s="213" t="str">
        <x:v>Cross-checked: OPAP uploads + public archive</x:v>
      </x:c>
      <x:c r="Q751" s="54" t="str"/>
    </x:row>
    <x:row r="752">
      <x:c r="A752" s="74" t="n">
        <x:v>749</x:v>
      </x:c>
      <x:c r="B752" s="217" t="n">
        <x:v>45436</x:v>
      </x:c>
      <x:c r="C752" s="75" t="n">
        <x:v>2</x:v>
      </x:c>
      <x:c r="D752" s="75" t="n">
        <x:v>3</x:v>
      </x:c>
      <x:c r="E752" s="75" t="n">
        <x:v>4</x:v>
      </x:c>
      <x:c r="F752" s="75" t="n">
        <x:v>21</x:v>
      </x:c>
      <x:c r="G752" s="75" t="n">
        <x:v>45</x:v>
      </x:c>
      <x:c r="H752" s="75" t="n">
        <x:v>6</x:v>
      </x:c>
      <x:c r="I752" s="75" t="n">
        <x:v>12</x:v>
      </x:c>
      <x:c r="J752" s="75" t="n">
        <x:v>50</x:v>
      </x:c>
      <x:c r="K752" s="75" t="n">
        <x:v>12</x:v>
      </x:c>
      <x:c r="L752" s="75" t="str">
        <x:v>R3_5of50_2of12</x:v>
      </x:c>
      <x:c r="M752" s="213" t="str">
        <x:v>S2_post_2024_studio_change_sensitivity_only</x:v>
      </x:c>
      <x:c r="N752" s="213" t="str">
        <x:v>Friday</x:v>
      </x:c>
      <x:c r="O752" s="213" t="str">
        <x:v>LottoMetrics full-history export</x:v>
      </x:c>
      <x:c r="P752" s="213" t="str">
        <x:v>Cross-checked: OPAP uploads + public archive</x:v>
      </x:c>
      <x:c r="Q752" s="54" t="str"/>
    </x:row>
    <x:row r="753">
      <x:c r="A753" s="74" t="n">
        <x:v>750</x:v>
      </x:c>
      <x:c r="B753" s="217" t="n">
        <x:v>45440</x:v>
      </x:c>
      <x:c r="C753" s="75" t="n">
        <x:v>13</x:v>
      </x:c>
      <x:c r="D753" s="75" t="n">
        <x:v>26</x:v>
      </x:c>
      <x:c r="E753" s="75" t="n">
        <x:v>27</x:v>
      </x:c>
      <x:c r="F753" s="75" t="n">
        <x:v>35</x:v>
      </x:c>
      <x:c r="G753" s="75" t="n">
        <x:v>46</x:v>
      </x:c>
      <x:c r="H753" s="75" t="n">
        <x:v>3</x:v>
      </x:c>
      <x:c r="I753" s="75" t="n">
        <x:v>4</x:v>
      </x:c>
      <x:c r="J753" s="75" t="n">
        <x:v>50</x:v>
      </x:c>
      <x:c r="K753" s="75" t="n">
        <x:v>12</x:v>
      </x:c>
      <x:c r="L753" s="75" t="str">
        <x:v>R3_5of50_2of12</x:v>
      </x:c>
      <x:c r="M753" s="213" t="str">
        <x:v>S2_post_2024_studio_change_sensitivity_only</x:v>
      </x:c>
      <x:c r="N753" s="213" t="str">
        <x:v>Tuesday</x:v>
      </x:c>
      <x:c r="O753" s="213" t="str">
        <x:v>LottoMetrics full-history export</x:v>
      </x:c>
      <x:c r="P753" s="213" t="str">
        <x:v>Cross-checked: OPAP uploads + public archive</x:v>
      </x:c>
      <x:c r="Q753" s="54" t="str"/>
    </x:row>
    <x:row r="754">
      <x:c r="A754" s="74" t="n">
        <x:v>751</x:v>
      </x:c>
      <x:c r="B754" s="217" t="n">
        <x:v>45443</x:v>
      </x:c>
      <x:c r="C754" s="75" t="n">
        <x:v>4</x:v>
      </x:c>
      <x:c r="D754" s="75" t="n">
        <x:v>23</x:v>
      </x:c>
      <x:c r="E754" s="75" t="n">
        <x:v>34</x:v>
      </x:c>
      <x:c r="F754" s="75" t="n">
        <x:v>39</x:v>
      </x:c>
      <x:c r="G754" s="75" t="n">
        <x:v>45</x:v>
      </x:c>
      <x:c r="H754" s="75" t="n">
        <x:v>6</x:v>
      </x:c>
      <x:c r="I754" s="75" t="n">
        <x:v>7</x:v>
      </x:c>
      <x:c r="J754" s="75" t="n">
        <x:v>50</x:v>
      </x:c>
      <x:c r="K754" s="75" t="n">
        <x:v>12</x:v>
      </x:c>
      <x:c r="L754" s="75" t="str">
        <x:v>R3_5of50_2of12</x:v>
      </x:c>
      <x:c r="M754" s="213" t="str">
        <x:v>S2_post_2024_studio_change_sensitivity_only</x:v>
      </x:c>
      <x:c r="N754" s="213" t="str">
        <x:v>Friday</x:v>
      </x:c>
      <x:c r="O754" s="213" t="str">
        <x:v>LottoMetrics full-history export</x:v>
      </x:c>
      <x:c r="P754" s="213" t="str">
        <x:v>Cross-checked: OPAP uploads + public archive</x:v>
      </x:c>
      <x:c r="Q754" s="54" t="str"/>
    </x:row>
    <x:row r="755">
      <x:c r="A755" s="74" t="n">
        <x:v>752</x:v>
      </x:c>
      <x:c r="B755" s="217" t="n">
        <x:v>45447</x:v>
      </x:c>
      <x:c r="C755" s="75" t="n">
        <x:v>1</x:v>
      </x:c>
      <x:c r="D755" s="75" t="n">
        <x:v>3</x:v>
      </x:c>
      <x:c r="E755" s="75" t="n">
        <x:v>24</x:v>
      </x:c>
      <x:c r="F755" s="75" t="n">
        <x:v>43</x:v>
      </x:c>
      <x:c r="G755" s="75" t="n">
        <x:v>49</x:v>
      </x:c>
      <x:c r="H755" s="75" t="n">
        <x:v>2</x:v>
      </x:c>
      <x:c r="I755" s="75" t="n">
        <x:v>4</x:v>
      </x:c>
      <x:c r="J755" s="75" t="n">
        <x:v>50</x:v>
      </x:c>
      <x:c r="K755" s="75" t="n">
        <x:v>12</x:v>
      </x:c>
      <x:c r="L755" s="75" t="str">
        <x:v>R3_5of50_2of12</x:v>
      </x:c>
      <x:c r="M755" s="213" t="str">
        <x:v>S2_post_2024_studio_change_sensitivity_only</x:v>
      </x:c>
      <x:c r="N755" s="213" t="str">
        <x:v>Tuesday</x:v>
      </x:c>
      <x:c r="O755" s="213" t="str">
        <x:v>LottoMetrics full-history export</x:v>
      </x:c>
      <x:c r="P755" s="213" t="str">
        <x:v>Cross-checked: OPAP uploads + public archive</x:v>
      </x:c>
      <x:c r="Q755" s="54" t="str"/>
    </x:row>
    <x:row r="756">
      <x:c r="A756" s="74" t="n">
        <x:v>753</x:v>
      </x:c>
      <x:c r="B756" s="217" t="n">
        <x:v>45450</x:v>
      </x:c>
      <x:c r="C756" s="75" t="n">
        <x:v>8</x:v>
      </x:c>
      <x:c r="D756" s="75" t="n">
        <x:v>15</x:v>
      </x:c>
      <x:c r="E756" s="75" t="n">
        <x:v>29</x:v>
      </x:c>
      <x:c r="F756" s="75" t="n">
        <x:v>37</x:v>
      </x:c>
      <x:c r="G756" s="75" t="n">
        <x:v>45</x:v>
      </x:c>
      <x:c r="H756" s="75" t="n">
        <x:v>5</x:v>
      </x:c>
      <x:c r="I756" s="75" t="n">
        <x:v>10</x:v>
      </x:c>
      <x:c r="J756" s="75" t="n">
        <x:v>50</x:v>
      </x:c>
      <x:c r="K756" s="75" t="n">
        <x:v>12</x:v>
      </x:c>
      <x:c r="L756" s="75" t="str">
        <x:v>R3_5of50_2of12</x:v>
      </x:c>
      <x:c r="M756" s="213" t="str">
        <x:v>S2_post_2024_studio_change_sensitivity_only</x:v>
      </x:c>
      <x:c r="N756" s="213" t="str">
        <x:v>Friday</x:v>
      </x:c>
      <x:c r="O756" s="213" t="str">
        <x:v>LottoMetrics full-history export</x:v>
      </x:c>
      <x:c r="P756" s="213" t="str">
        <x:v>Cross-checked: OPAP uploads + public archive</x:v>
      </x:c>
      <x:c r="Q756" s="54" t="str"/>
    </x:row>
    <x:row r="757">
      <x:c r="A757" s="74" t="n">
        <x:v>754</x:v>
      </x:c>
      <x:c r="B757" s="217" t="n">
        <x:v>45454</x:v>
      </x:c>
      <x:c r="C757" s="75" t="n">
        <x:v>4</x:v>
      </x:c>
      <x:c r="D757" s="75" t="n">
        <x:v>12</x:v>
      </x:c>
      <x:c r="E757" s="75" t="n">
        <x:v>16</x:v>
      </x:c>
      <x:c r="F757" s="75" t="n">
        <x:v>29</x:v>
      </x:c>
      <x:c r="G757" s="75" t="n">
        <x:v>31</x:v>
      </x:c>
      <x:c r="H757" s="75" t="n">
        <x:v>1</x:v>
      </x:c>
      <x:c r="I757" s="75" t="n">
        <x:v>9</x:v>
      </x:c>
      <x:c r="J757" s="75" t="n">
        <x:v>50</x:v>
      </x:c>
      <x:c r="K757" s="75" t="n">
        <x:v>12</x:v>
      </x:c>
      <x:c r="L757" s="75" t="str">
        <x:v>R3_5of50_2of12</x:v>
      </x:c>
      <x:c r="M757" s="213" t="str">
        <x:v>S2_post_2024_studio_change_sensitivity_only</x:v>
      </x:c>
      <x:c r="N757" s="213" t="str">
        <x:v>Tuesday</x:v>
      </x:c>
      <x:c r="O757" s="213" t="str">
        <x:v>LottoMetrics full-history export</x:v>
      </x:c>
      <x:c r="P757" s="213" t="str">
        <x:v>Cross-checked: OPAP uploads + public archive</x:v>
      </x:c>
      <x:c r="Q757" s="54" t="str"/>
    </x:row>
    <x:row r="758">
      <x:c r="A758" s="74" t="n">
        <x:v>755</x:v>
      </x:c>
      <x:c r="B758" s="217" t="n">
        <x:v>45457</x:v>
      </x:c>
      <x:c r="C758" s="75" t="n">
        <x:v>10</x:v>
      </x:c>
      <x:c r="D758" s="75" t="n">
        <x:v>21</x:v>
      </x:c>
      <x:c r="E758" s="75" t="n">
        <x:v>27</x:v>
      </x:c>
      <x:c r="F758" s="75" t="n">
        <x:v>42</x:v>
      </x:c>
      <x:c r="G758" s="75" t="n">
        <x:v>46</x:v>
      </x:c>
      <x:c r="H758" s="75" t="n">
        <x:v>2</x:v>
      </x:c>
      <x:c r="I758" s="75" t="n">
        <x:v>6</x:v>
      </x:c>
      <x:c r="J758" s="75" t="n">
        <x:v>50</x:v>
      </x:c>
      <x:c r="K758" s="75" t="n">
        <x:v>12</x:v>
      </x:c>
      <x:c r="L758" s="75" t="str">
        <x:v>R3_5of50_2of12</x:v>
      </x:c>
      <x:c r="M758" s="213" t="str">
        <x:v>S2_post_2024_studio_change_sensitivity_only</x:v>
      </x:c>
      <x:c r="N758" s="213" t="str">
        <x:v>Friday</x:v>
      </x:c>
      <x:c r="O758" s="213" t="str">
        <x:v>LottoMetrics full-history export</x:v>
      </x:c>
      <x:c r="P758" s="213" t="str">
        <x:v>Cross-checked: OPAP uploads + public archive</x:v>
      </x:c>
      <x:c r="Q758" s="54" t="str"/>
    </x:row>
    <x:row r="759">
      <x:c r="A759" s="74" t="n">
        <x:v>756</x:v>
      </x:c>
      <x:c r="B759" s="217" t="n">
        <x:v>45461</x:v>
      </x:c>
      <x:c r="C759" s="75" t="n">
        <x:v>4</x:v>
      </x:c>
      <x:c r="D759" s="75" t="n">
        <x:v>10</x:v>
      </x:c>
      <x:c r="E759" s="75" t="n">
        <x:v>23</x:v>
      </x:c>
      <x:c r="F759" s="75" t="n">
        <x:v>24</x:v>
      </x:c>
      <x:c r="G759" s="75" t="n">
        <x:v>45</x:v>
      </x:c>
      <x:c r="H759" s="75" t="n">
        <x:v>7</x:v>
      </x:c>
      <x:c r="I759" s="75" t="n">
        <x:v>8</x:v>
      </x:c>
      <x:c r="J759" s="75" t="n">
        <x:v>50</x:v>
      </x:c>
      <x:c r="K759" s="75" t="n">
        <x:v>12</x:v>
      </x:c>
      <x:c r="L759" s="75" t="str">
        <x:v>R3_5of50_2of12</x:v>
      </x:c>
      <x:c r="M759" s="213" t="str">
        <x:v>S2_post_2024_studio_change_sensitivity_only</x:v>
      </x:c>
      <x:c r="N759" s="213" t="str">
        <x:v>Tuesday</x:v>
      </x:c>
      <x:c r="O759" s="213" t="str">
        <x:v>LottoMetrics full-history export</x:v>
      </x:c>
      <x:c r="P759" s="213" t="str">
        <x:v>Cross-checked: OPAP uploads + public archive</x:v>
      </x:c>
      <x:c r="Q759" s="54" t="str"/>
    </x:row>
    <x:row r="760">
      <x:c r="A760" s="74" t="n">
        <x:v>757</x:v>
      </x:c>
      <x:c r="B760" s="217" t="n">
        <x:v>45464</x:v>
      </x:c>
      <x:c r="C760" s="75" t="n">
        <x:v>2</x:v>
      </x:c>
      <x:c r="D760" s="75" t="n">
        <x:v>22</x:v>
      </x:c>
      <x:c r="E760" s="75" t="n">
        <x:v>24</x:v>
      </x:c>
      <x:c r="F760" s="75" t="n">
        <x:v>30</x:v>
      </x:c>
      <x:c r="G760" s="75" t="n">
        <x:v>40</x:v>
      </x:c>
      <x:c r="H760" s="75" t="n">
        <x:v>5</x:v>
      </x:c>
      <x:c r="I760" s="75" t="n">
        <x:v>6</x:v>
      </x:c>
      <x:c r="J760" s="75" t="n">
        <x:v>50</x:v>
      </x:c>
      <x:c r="K760" s="75" t="n">
        <x:v>12</x:v>
      </x:c>
      <x:c r="L760" s="75" t="str">
        <x:v>R3_5of50_2of12</x:v>
      </x:c>
      <x:c r="M760" s="213" t="str">
        <x:v>S2_post_2024_studio_change_sensitivity_only</x:v>
      </x:c>
      <x:c r="N760" s="213" t="str">
        <x:v>Friday</x:v>
      </x:c>
      <x:c r="O760" s="213" t="str">
        <x:v>LottoMetrics full-history export</x:v>
      </x:c>
      <x:c r="P760" s="213" t="str">
        <x:v>Cross-checked: OPAP uploads + public archive</x:v>
      </x:c>
      <x:c r="Q760" s="54" t="str"/>
    </x:row>
    <x:row r="761">
      <x:c r="A761" s="74" t="n">
        <x:v>758</x:v>
      </x:c>
      <x:c r="B761" s="217" t="n">
        <x:v>45468</x:v>
      </x:c>
      <x:c r="C761" s="75" t="n">
        <x:v>8</x:v>
      </x:c>
      <x:c r="D761" s="75" t="n">
        <x:v>14</x:v>
      </x:c>
      <x:c r="E761" s="75" t="n">
        <x:v>25</x:v>
      </x:c>
      <x:c r="F761" s="75" t="n">
        <x:v>31</x:v>
      </x:c>
      <x:c r="G761" s="75" t="n">
        <x:v>45</x:v>
      </x:c>
      <x:c r="H761" s="75" t="n">
        <x:v>3</x:v>
      </x:c>
      <x:c r="I761" s="75" t="n">
        <x:v>12</x:v>
      </x:c>
      <x:c r="J761" s="75" t="n">
        <x:v>50</x:v>
      </x:c>
      <x:c r="K761" s="75" t="n">
        <x:v>12</x:v>
      </x:c>
      <x:c r="L761" s="75" t="str">
        <x:v>R3_5of50_2of12</x:v>
      </x:c>
      <x:c r="M761" s="213" t="str">
        <x:v>S2_post_2024_studio_change_sensitivity_only</x:v>
      </x:c>
      <x:c r="N761" s="213" t="str">
        <x:v>Tuesday</x:v>
      </x:c>
      <x:c r="O761" s="213" t="str">
        <x:v>LottoMetrics full-history export</x:v>
      </x:c>
      <x:c r="P761" s="213" t="str">
        <x:v>Cross-checked: OPAP uploads + public archive</x:v>
      </x:c>
      <x:c r="Q761" s="54" t="str"/>
    </x:row>
    <x:row r="762">
      <x:c r="A762" s="74" t="n">
        <x:v>759</x:v>
      </x:c>
      <x:c r="B762" s="217" t="n">
        <x:v>45471</x:v>
      </x:c>
      <x:c r="C762" s="75" t="n">
        <x:v>1</x:v>
      </x:c>
      <x:c r="D762" s="75" t="n">
        <x:v>8</x:v>
      </x:c>
      <x:c r="E762" s="75" t="n">
        <x:v>30</x:v>
      </x:c>
      <x:c r="F762" s="75" t="n">
        <x:v>43</x:v>
      </x:c>
      <x:c r="G762" s="75" t="n">
        <x:v>45</x:v>
      </x:c>
      <x:c r="H762" s="75" t="n">
        <x:v>10</x:v>
      </x:c>
      <x:c r="I762" s="75" t="n">
        <x:v>12</x:v>
      </x:c>
      <x:c r="J762" s="75" t="n">
        <x:v>50</x:v>
      </x:c>
      <x:c r="K762" s="75" t="n">
        <x:v>12</x:v>
      </x:c>
      <x:c r="L762" s="75" t="str">
        <x:v>R3_5of50_2of12</x:v>
      </x:c>
      <x:c r="M762" s="213" t="str">
        <x:v>S2_post_2024_studio_change_sensitivity_only</x:v>
      </x:c>
      <x:c r="N762" s="213" t="str">
        <x:v>Friday</x:v>
      </x:c>
      <x:c r="O762" s="213" t="str">
        <x:v>LottoMetrics full-history export</x:v>
      </x:c>
      <x:c r="P762" s="213" t="str">
        <x:v>Cross-checked: OPAP uploads + public archive</x:v>
      </x:c>
      <x:c r="Q762" s="54" t="str"/>
    </x:row>
    <x:row r="763">
      <x:c r="A763" s="74" t="n">
        <x:v>760</x:v>
      </x:c>
      <x:c r="B763" s="217" t="n">
        <x:v>45475</x:v>
      </x:c>
      <x:c r="C763" s="75" t="n">
        <x:v>10</x:v>
      </x:c>
      <x:c r="D763" s="75" t="n">
        <x:v>29</x:v>
      </x:c>
      <x:c r="E763" s="75" t="n">
        <x:v>30</x:v>
      </x:c>
      <x:c r="F763" s="75" t="n">
        <x:v>32</x:v>
      </x:c>
      <x:c r="G763" s="75" t="n">
        <x:v>40</x:v>
      </x:c>
      <x:c r="H763" s="75" t="n">
        <x:v>6</x:v>
      </x:c>
      <x:c r="I763" s="75" t="n">
        <x:v>12</x:v>
      </x:c>
      <x:c r="J763" s="75" t="n">
        <x:v>50</x:v>
      </x:c>
      <x:c r="K763" s="75" t="n">
        <x:v>12</x:v>
      </x:c>
      <x:c r="L763" s="75" t="str">
        <x:v>R3_5of50_2of12</x:v>
      </x:c>
      <x:c r="M763" s="213" t="str">
        <x:v>S2_post_2024_studio_change_sensitivity_only</x:v>
      </x:c>
      <x:c r="N763" s="213" t="str">
        <x:v>Tuesday</x:v>
      </x:c>
      <x:c r="O763" s="213" t="str">
        <x:v>LottoMetrics full-history export</x:v>
      </x:c>
      <x:c r="P763" s="213" t="str">
        <x:v>Cross-checked: OPAP uploads + public archive</x:v>
      </x:c>
      <x:c r="Q763" s="54" t="str"/>
    </x:row>
    <x:row r="764">
      <x:c r="A764" s="74" t="n">
        <x:v>761</x:v>
      </x:c>
      <x:c r="B764" s="217" t="n">
        <x:v>45478</x:v>
      </x:c>
      <x:c r="C764" s="75" t="n">
        <x:v>4</x:v>
      </x:c>
      <x:c r="D764" s="75" t="n">
        <x:v>11</x:v>
      </x:c>
      <x:c r="E764" s="75" t="n">
        <x:v>16</x:v>
      </x:c>
      <x:c r="F764" s="75" t="n">
        <x:v>25</x:v>
      </x:c>
      <x:c r="G764" s="75" t="n">
        <x:v>32</x:v>
      </x:c>
      <x:c r="H764" s="75" t="n">
        <x:v>1</x:v>
      </x:c>
      <x:c r="I764" s="75" t="n">
        <x:v>11</x:v>
      </x:c>
      <x:c r="J764" s="75" t="n">
        <x:v>50</x:v>
      </x:c>
      <x:c r="K764" s="75" t="n">
        <x:v>12</x:v>
      </x:c>
      <x:c r="L764" s="75" t="str">
        <x:v>R3_5of50_2of12</x:v>
      </x:c>
      <x:c r="M764" s="213" t="str">
        <x:v>S2_post_2024_studio_change_sensitivity_only</x:v>
      </x:c>
      <x:c r="N764" s="213" t="str">
        <x:v>Friday</x:v>
      </x:c>
      <x:c r="O764" s="213" t="str">
        <x:v>LottoMetrics full-history export</x:v>
      </x:c>
      <x:c r="P764" s="213" t="str">
        <x:v>Cross-checked: OPAP uploads + public archive</x:v>
      </x:c>
      <x:c r="Q764" s="54" t="str"/>
    </x:row>
    <x:row r="765">
      <x:c r="A765" s="74" t="n">
        <x:v>762</x:v>
      </x:c>
      <x:c r="B765" s="217" t="n">
        <x:v>45482</x:v>
      </x:c>
      <x:c r="C765" s="75" t="n">
        <x:v>5</x:v>
      </x:c>
      <x:c r="D765" s="75" t="n">
        <x:v>14</x:v>
      </x:c>
      <x:c r="E765" s="75" t="n">
        <x:v>25</x:v>
      </x:c>
      <x:c r="F765" s="75" t="n">
        <x:v>26</x:v>
      </x:c>
      <x:c r="G765" s="75" t="n">
        <x:v>44</x:v>
      </x:c>
      <x:c r="H765" s="75" t="n">
        <x:v>8</x:v>
      </x:c>
      <x:c r="I765" s="75" t="n">
        <x:v>10</x:v>
      </x:c>
      <x:c r="J765" s="75" t="n">
        <x:v>50</x:v>
      </x:c>
      <x:c r="K765" s="75" t="n">
        <x:v>12</x:v>
      </x:c>
      <x:c r="L765" s="75" t="str">
        <x:v>R3_5of50_2of12</x:v>
      </x:c>
      <x:c r="M765" s="213" t="str">
        <x:v>S2_post_2024_studio_change_sensitivity_only</x:v>
      </x:c>
      <x:c r="N765" s="213" t="str">
        <x:v>Tuesday</x:v>
      </x:c>
      <x:c r="O765" s="213" t="str">
        <x:v>LottoMetrics full-history export</x:v>
      </x:c>
      <x:c r="P765" s="213" t="str">
        <x:v>Cross-checked: OPAP uploads + public archive</x:v>
      </x:c>
      <x:c r="Q765" s="54" t="str"/>
    </x:row>
    <x:row r="766">
      <x:c r="A766" s="74" t="n">
        <x:v>763</x:v>
      </x:c>
      <x:c r="B766" s="217" t="n">
        <x:v>45485</x:v>
      </x:c>
      <x:c r="C766" s="75" t="n">
        <x:v>2</x:v>
      </x:c>
      <x:c r="D766" s="75" t="n">
        <x:v>14</x:v>
      </x:c>
      <x:c r="E766" s="75" t="n">
        <x:v>30</x:v>
      </x:c>
      <x:c r="F766" s="75" t="n">
        <x:v>32</x:v>
      </x:c>
      <x:c r="G766" s="75" t="n">
        <x:v>34</x:v>
      </x:c>
      <x:c r="H766" s="75" t="n">
        <x:v>3</x:v>
      </x:c>
      <x:c r="I766" s="75" t="n">
        <x:v>4</x:v>
      </x:c>
      <x:c r="J766" s="75" t="n">
        <x:v>50</x:v>
      </x:c>
      <x:c r="K766" s="75" t="n">
        <x:v>12</x:v>
      </x:c>
      <x:c r="L766" s="75" t="str">
        <x:v>R3_5of50_2of12</x:v>
      </x:c>
      <x:c r="M766" s="213" t="str">
        <x:v>S2_post_2024_studio_change_sensitivity_only</x:v>
      </x:c>
      <x:c r="N766" s="213" t="str">
        <x:v>Friday</x:v>
      </x:c>
      <x:c r="O766" s="213" t="str">
        <x:v>LottoMetrics full-history export</x:v>
      </x:c>
      <x:c r="P766" s="213" t="str">
        <x:v>Cross-checked: OPAP uploads + public archive</x:v>
      </x:c>
      <x:c r="Q766" s="54" t="str"/>
    </x:row>
    <x:row r="767">
      <x:c r="A767" s="74" t="n">
        <x:v>764</x:v>
      </x:c>
      <x:c r="B767" s="217" t="n">
        <x:v>45489</x:v>
      </x:c>
      <x:c r="C767" s="75" t="n">
        <x:v>8</x:v>
      </x:c>
      <x:c r="D767" s="75" t="n">
        <x:v>22</x:v>
      </x:c>
      <x:c r="E767" s="75" t="n">
        <x:v>27</x:v>
      </x:c>
      <x:c r="F767" s="75" t="n">
        <x:v>36</x:v>
      </x:c>
      <x:c r="G767" s="75" t="n">
        <x:v>43</x:v>
      </x:c>
      <x:c r="H767" s="75" t="n">
        <x:v>5</x:v>
      </x:c>
      <x:c r="I767" s="75" t="n">
        <x:v>8</x:v>
      </x:c>
      <x:c r="J767" s="75" t="n">
        <x:v>50</x:v>
      </x:c>
      <x:c r="K767" s="75" t="n">
        <x:v>12</x:v>
      </x:c>
      <x:c r="L767" s="75" t="str">
        <x:v>R3_5of50_2of12</x:v>
      </x:c>
      <x:c r="M767" s="213" t="str">
        <x:v>S2_post_2024_studio_change_sensitivity_only</x:v>
      </x:c>
      <x:c r="N767" s="213" t="str">
        <x:v>Tuesday</x:v>
      </x:c>
      <x:c r="O767" s="213" t="str">
        <x:v>LottoMetrics full-history export</x:v>
      </x:c>
      <x:c r="P767" s="213" t="str">
        <x:v>Cross-checked: OPAP uploads + public archive</x:v>
      </x:c>
      <x:c r="Q767" s="54" t="str"/>
    </x:row>
    <x:row r="768">
      <x:c r="A768" s="74" t="n">
        <x:v>765</x:v>
      </x:c>
      <x:c r="B768" s="217" t="n">
        <x:v>45492</x:v>
      </x:c>
      <x:c r="C768" s="75" t="n">
        <x:v>13</x:v>
      </x:c>
      <x:c r="D768" s="75" t="n">
        <x:v>18</x:v>
      </x:c>
      <x:c r="E768" s="75" t="n">
        <x:v>22</x:v>
      </x:c>
      <x:c r="F768" s="75" t="n">
        <x:v>26</x:v>
      </x:c>
      <x:c r="G768" s="75" t="n">
        <x:v>32</x:v>
      </x:c>
      <x:c r="H768" s="75" t="n">
        <x:v>10</x:v>
      </x:c>
      <x:c r="I768" s="75" t="n">
        <x:v>11</x:v>
      </x:c>
      <x:c r="J768" s="75" t="n">
        <x:v>50</x:v>
      </x:c>
      <x:c r="K768" s="75" t="n">
        <x:v>12</x:v>
      </x:c>
      <x:c r="L768" s="75" t="str">
        <x:v>R3_5of50_2of12</x:v>
      </x:c>
      <x:c r="M768" s="213" t="str">
        <x:v>S2_post_2024_studio_change_sensitivity_only</x:v>
      </x:c>
      <x:c r="N768" s="213" t="str">
        <x:v>Friday</x:v>
      </x:c>
      <x:c r="O768" s="213" t="str">
        <x:v>LottoMetrics full-history export</x:v>
      </x:c>
      <x:c r="P768" s="213" t="str">
        <x:v>Cross-checked: OPAP uploads + public archive</x:v>
      </x:c>
      <x:c r="Q768" s="54" t="str"/>
    </x:row>
    <x:row r="769">
      <x:c r="A769" s="74" t="n">
        <x:v>766</x:v>
      </x:c>
      <x:c r="B769" s="217" t="n">
        <x:v>45496</x:v>
      </x:c>
      <x:c r="C769" s="75" t="n">
        <x:v>9</x:v>
      </x:c>
      <x:c r="D769" s="75" t="n">
        <x:v>13</x:v>
      </x:c>
      <x:c r="E769" s="75" t="n">
        <x:v>21</x:v>
      </x:c>
      <x:c r="F769" s="75" t="n">
        <x:v>24</x:v>
      </x:c>
      <x:c r="G769" s="75" t="n">
        <x:v>38</x:v>
      </x:c>
      <x:c r="H769" s="75" t="n">
        <x:v>6</x:v>
      </x:c>
      <x:c r="I769" s="75" t="n">
        <x:v>12</x:v>
      </x:c>
      <x:c r="J769" s="75" t="n">
        <x:v>50</x:v>
      </x:c>
      <x:c r="K769" s="75" t="n">
        <x:v>12</x:v>
      </x:c>
      <x:c r="L769" s="75" t="str">
        <x:v>R3_5of50_2of12</x:v>
      </x:c>
      <x:c r="M769" s="213" t="str">
        <x:v>S2_post_2024_studio_change_sensitivity_only</x:v>
      </x:c>
      <x:c r="N769" s="213" t="str">
        <x:v>Tuesday</x:v>
      </x:c>
      <x:c r="O769" s="213" t="str">
        <x:v>LottoMetrics full-history export</x:v>
      </x:c>
      <x:c r="P769" s="213" t="str">
        <x:v>Cross-checked: OPAP uploads + public archive</x:v>
      </x:c>
      <x:c r="Q769" s="54" t="str"/>
    </x:row>
    <x:row r="770">
      <x:c r="A770" s="74" t="n">
        <x:v>767</x:v>
      </x:c>
      <x:c r="B770" s="217" t="n">
        <x:v>45499</x:v>
      </x:c>
      <x:c r="C770" s="75" t="n">
        <x:v>7</x:v>
      </x:c>
      <x:c r="D770" s="75" t="n">
        <x:v>11</x:v>
      </x:c>
      <x:c r="E770" s="75" t="n">
        <x:v>22</x:v>
      </x:c>
      <x:c r="F770" s="75" t="n">
        <x:v>26</x:v>
      </x:c>
      <x:c r="G770" s="75" t="n">
        <x:v>46</x:v>
      </x:c>
      <x:c r="H770" s="75" t="n">
        <x:v>5</x:v>
      </x:c>
      <x:c r="I770" s="75" t="n">
        <x:v>11</x:v>
      </x:c>
      <x:c r="J770" s="75" t="n">
        <x:v>50</x:v>
      </x:c>
      <x:c r="K770" s="75" t="n">
        <x:v>12</x:v>
      </x:c>
      <x:c r="L770" s="75" t="str">
        <x:v>R3_5of50_2of12</x:v>
      </x:c>
      <x:c r="M770" s="213" t="str">
        <x:v>S2_post_2024_studio_change_sensitivity_only</x:v>
      </x:c>
      <x:c r="N770" s="213" t="str">
        <x:v>Friday</x:v>
      </x:c>
      <x:c r="O770" s="213" t="str">
        <x:v>LottoMetrics full-history export</x:v>
      </x:c>
      <x:c r="P770" s="213" t="str">
        <x:v>Cross-checked: OPAP uploads + public archive</x:v>
      </x:c>
      <x:c r="Q770" s="54" t="str"/>
    </x:row>
    <x:row r="771">
      <x:c r="A771" s="74" t="n">
        <x:v>768</x:v>
      </x:c>
      <x:c r="B771" s="217" t="n">
        <x:v>45503</x:v>
      </x:c>
      <x:c r="C771" s="75" t="n">
        <x:v>2</x:v>
      </x:c>
      <x:c r="D771" s="75" t="n">
        <x:v>16</x:v>
      </x:c>
      <x:c r="E771" s="75" t="n">
        <x:v>30</x:v>
      </x:c>
      <x:c r="F771" s="75" t="n">
        <x:v>31</x:v>
      </x:c>
      <x:c r="G771" s="75" t="n">
        <x:v>49</x:v>
      </x:c>
      <x:c r="H771" s="75" t="n">
        <x:v>2</x:v>
      </x:c>
      <x:c r="I771" s="75" t="n">
        <x:v>5</x:v>
      </x:c>
      <x:c r="J771" s="75" t="n">
        <x:v>50</x:v>
      </x:c>
      <x:c r="K771" s="75" t="n">
        <x:v>12</x:v>
      </x:c>
      <x:c r="L771" s="75" t="str">
        <x:v>R3_5of50_2of12</x:v>
      </x:c>
      <x:c r="M771" s="213" t="str">
        <x:v>S2_post_2024_studio_change_sensitivity_only</x:v>
      </x:c>
      <x:c r="N771" s="213" t="str">
        <x:v>Tuesday</x:v>
      </x:c>
      <x:c r="O771" s="213" t="str">
        <x:v>LottoMetrics full-history export</x:v>
      </x:c>
      <x:c r="P771" s="213" t="str">
        <x:v>Cross-checked: OPAP uploads + public archive</x:v>
      </x:c>
      <x:c r="Q771" s="54" t="str"/>
    </x:row>
    <x:row r="772">
      <x:c r="A772" s="74" t="n">
        <x:v>769</x:v>
      </x:c>
      <x:c r="B772" s="217" t="n">
        <x:v>45506</x:v>
      </x:c>
      <x:c r="C772" s="75" t="n">
        <x:v>14</x:v>
      </x:c>
      <x:c r="D772" s="75" t="n">
        <x:v>20</x:v>
      </x:c>
      <x:c r="E772" s="75" t="n">
        <x:v>26</x:v>
      </x:c>
      <x:c r="F772" s="75" t="n">
        <x:v>30</x:v>
      </x:c>
      <x:c r="G772" s="75" t="n">
        <x:v>31</x:v>
      </x:c>
      <x:c r="H772" s="75" t="n">
        <x:v>1</x:v>
      </x:c>
      <x:c r="I772" s="75" t="n">
        <x:v>2</x:v>
      </x:c>
      <x:c r="J772" s="75" t="n">
        <x:v>50</x:v>
      </x:c>
      <x:c r="K772" s="75" t="n">
        <x:v>12</x:v>
      </x:c>
      <x:c r="L772" s="75" t="str">
        <x:v>R3_5of50_2of12</x:v>
      </x:c>
      <x:c r="M772" s="213" t="str">
        <x:v>S2_post_2024_studio_change_sensitivity_only</x:v>
      </x:c>
      <x:c r="N772" s="213" t="str">
        <x:v>Friday</x:v>
      </x:c>
      <x:c r="O772" s="213" t="str">
        <x:v>LottoMetrics full-history export</x:v>
      </x:c>
      <x:c r="P772" s="213" t="str">
        <x:v>Cross-checked: OPAP uploads + public archive</x:v>
      </x:c>
      <x:c r="Q772" s="54" t="str"/>
    </x:row>
    <x:row r="773">
      <x:c r="A773" s="74" t="n">
        <x:v>770</x:v>
      </x:c>
      <x:c r="B773" s="217" t="n">
        <x:v>45510</x:v>
      </x:c>
      <x:c r="C773" s="75" t="n">
        <x:v>4</x:v>
      </x:c>
      <x:c r="D773" s="75" t="n">
        <x:v>9</x:v>
      </x:c>
      <x:c r="E773" s="75" t="n">
        <x:v>22</x:v>
      </x:c>
      <x:c r="F773" s="75" t="n">
        <x:v>32</x:v>
      </x:c>
      <x:c r="G773" s="75" t="n">
        <x:v>35</x:v>
      </x:c>
      <x:c r="H773" s="75" t="n">
        <x:v>9</x:v>
      </x:c>
      <x:c r="I773" s="75" t="n">
        <x:v>10</x:v>
      </x:c>
      <x:c r="J773" s="75" t="n">
        <x:v>50</x:v>
      </x:c>
      <x:c r="K773" s="75" t="n">
        <x:v>12</x:v>
      </x:c>
      <x:c r="L773" s="75" t="str">
        <x:v>R3_5of50_2of12</x:v>
      </x:c>
      <x:c r="M773" s="213" t="str">
        <x:v>S2_post_2024_studio_change_sensitivity_only</x:v>
      </x:c>
      <x:c r="N773" s="213" t="str">
        <x:v>Tuesday</x:v>
      </x:c>
      <x:c r="O773" s="213" t="str">
        <x:v>LottoMetrics full-history export</x:v>
      </x:c>
      <x:c r="P773" s="213" t="str">
        <x:v>Cross-checked: OPAP uploads + public archive</x:v>
      </x:c>
      <x:c r="Q773" s="54" t="str"/>
    </x:row>
    <x:row r="774">
      <x:c r="A774" s="74" t="n">
        <x:v>771</x:v>
      </x:c>
      <x:c r="B774" s="217" t="n">
        <x:v>45513</x:v>
      </x:c>
      <x:c r="C774" s="75" t="n">
        <x:v>15</x:v>
      </x:c>
      <x:c r="D774" s="75" t="n">
        <x:v>18</x:v>
      </x:c>
      <x:c r="E774" s="75" t="n">
        <x:v>25</x:v>
      </x:c>
      <x:c r="F774" s="75" t="n">
        <x:v>29</x:v>
      </x:c>
      <x:c r="G774" s="75" t="n">
        <x:v>35</x:v>
      </x:c>
      <x:c r="H774" s="75" t="n">
        <x:v>1</x:v>
      </x:c>
      <x:c r="I774" s="75" t="n">
        <x:v>5</x:v>
      </x:c>
      <x:c r="J774" s="75" t="n">
        <x:v>50</x:v>
      </x:c>
      <x:c r="K774" s="75" t="n">
        <x:v>12</x:v>
      </x:c>
      <x:c r="L774" s="75" t="str">
        <x:v>R3_5of50_2of12</x:v>
      </x:c>
      <x:c r="M774" s="213" t="str">
        <x:v>S2_post_2024_studio_change_sensitivity_only</x:v>
      </x:c>
      <x:c r="N774" s="213" t="str">
        <x:v>Friday</x:v>
      </x:c>
      <x:c r="O774" s="213" t="str">
        <x:v>LottoMetrics full-history export</x:v>
      </x:c>
      <x:c r="P774" s="213" t="str">
        <x:v>Cross-checked: OPAP uploads + public archive</x:v>
      </x:c>
      <x:c r="Q774" s="54" t="str"/>
    </x:row>
    <x:row r="775">
      <x:c r="A775" s="74" t="n">
        <x:v>772</x:v>
      </x:c>
      <x:c r="B775" s="217" t="n">
        <x:v>45517</x:v>
      </x:c>
      <x:c r="C775" s="75" t="n">
        <x:v>6</x:v>
      </x:c>
      <x:c r="D775" s="75" t="n">
        <x:v>9</x:v>
      </x:c>
      <x:c r="E775" s="75" t="n">
        <x:v>33</x:v>
      </x:c>
      <x:c r="F775" s="75" t="n">
        <x:v>34</x:v>
      </x:c>
      <x:c r="G775" s="75" t="n">
        <x:v>50</x:v>
      </x:c>
      <x:c r="H775" s="75" t="n">
        <x:v>1</x:v>
      </x:c>
      <x:c r="I775" s="75" t="n">
        <x:v>7</x:v>
      </x:c>
      <x:c r="J775" s="75" t="n">
        <x:v>50</x:v>
      </x:c>
      <x:c r="K775" s="75" t="n">
        <x:v>12</x:v>
      </x:c>
      <x:c r="L775" s="75" t="str">
        <x:v>R3_5of50_2of12</x:v>
      </x:c>
      <x:c r="M775" s="213" t="str">
        <x:v>S2_post_2024_studio_change_sensitivity_only</x:v>
      </x:c>
      <x:c r="N775" s="213" t="str">
        <x:v>Tuesday</x:v>
      </x:c>
      <x:c r="O775" s="213" t="str">
        <x:v>LottoMetrics full-history export</x:v>
      </x:c>
      <x:c r="P775" s="213" t="str">
        <x:v>Cross-checked: OPAP uploads + public archive</x:v>
      </x:c>
      <x:c r="Q775" s="54" t="str"/>
    </x:row>
    <x:row r="776">
      <x:c r="A776" s="74" t="n">
        <x:v>773</x:v>
      </x:c>
      <x:c r="B776" s="217" t="n">
        <x:v>45520</x:v>
      </x:c>
      <x:c r="C776" s="75" t="n">
        <x:v>4</x:v>
      </x:c>
      <x:c r="D776" s="75" t="n">
        <x:v>11</x:v>
      </x:c>
      <x:c r="E776" s="75" t="n">
        <x:v>16</x:v>
      </x:c>
      <x:c r="F776" s="75" t="n">
        <x:v>46</x:v>
      </x:c>
      <x:c r="G776" s="75" t="n">
        <x:v>50</x:v>
      </x:c>
      <x:c r="H776" s="75" t="n">
        <x:v>1</x:v>
      </x:c>
      <x:c r="I776" s="75" t="n">
        <x:v>3</x:v>
      </x:c>
      <x:c r="J776" s="75" t="n">
        <x:v>50</x:v>
      </x:c>
      <x:c r="K776" s="75" t="n">
        <x:v>12</x:v>
      </x:c>
      <x:c r="L776" s="75" t="str">
        <x:v>R3_5of50_2of12</x:v>
      </x:c>
      <x:c r="M776" s="213" t="str">
        <x:v>S2_post_2024_studio_change_sensitivity_only</x:v>
      </x:c>
      <x:c r="N776" s="213" t="str">
        <x:v>Friday</x:v>
      </x:c>
      <x:c r="O776" s="213" t="str">
        <x:v>LottoMetrics full-history export</x:v>
      </x:c>
      <x:c r="P776" s="213" t="str">
        <x:v>Cross-checked: OPAP uploads + public archive</x:v>
      </x:c>
      <x:c r="Q776" s="54" t="str"/>
    </x:row>
    <x:row r="777">
      <x:c r="A777" s="74" t="n">
        <x:v>774</x:v>
      </x:c>
      <x:c r="B777" s="217" t="n">
        <x:v>45524</x:v>
      </x:c>
      <x:c r="C777" s="75" t="n">
        <x:v>25</x:v>
      </x:c>
      <x:c r="D777" s="75" t="n">
        <x:v>28</x:v>
      </x:c>
      <x:c r="E777" s="75" t="n">
        <x:v>29</x:v>
      </x:c>
      <x:c r="F777" s="75" t="n">
        <x:v>31</x:v>
      </x:c>
      <x:c r="G777" s="75" t="n">
        <x:v>33</x:v>
      </x:c>
      <x:c r="H777" s="75" t="n">
        <x:v>6</x:v>
      </x:c>
      <x:c r="I777" s="75" t="n">
        <x:v>12</x:v>
      </x:c>
      <x:c r="J777" s="75" t="n">
        <x:v>50</x:v>
      </x:c>
      <x:c r="K777" s="75" t="n">
        <x:v>12</x:v>
      </x:c>
      <x:c r="L777" s="75" t="str">
        <x:v>R3_5of50_2of12</x:v>
      </x:c>
      <x:c r="M777" s="213" t="str">
        <x:v>S2_post_2024_studio_change_sensitivity_only</x:v>
      </x:c>
      <x:c r="N777" s="213" t="str">
        <x:v>Tuesday</x:v>
      </x:c>
      <x:c r="O777" s="213" t="str">
        <x:v>LottoMetrics full-history export</x:v>
      </x:c>
      <x:c r="P777" s="213" t="str">
        <x:v>Cross-checked: OPAP uploads + public archive</x:v>
      </x:c>
      <x:c r="Q777" s="54" t="str"/>
    </x:row>
    <x:row r="778">
      <x:c r="A778" s="74" t="n">
        <x:v>775</x:v>
      </x:c>
      <x:c r="B778" s="217" t="n">
        <x:v>45527</x:v>
      </x:c>
      <x:c r="C778" s="75" t="n">
        <x:v>13</x:v>
      </x:c>
      <x:c r="D778" s="75" t="n">
        <x:v>21</x:v>
      </x:c>
      <x:c r="E778" s="75" t="n">
        <x:v>22</x:v>
      </x:c>
      <x:c r="F778" s="75" t="n">
        <x:v>26</x:v>
      </x:c>
      <x:c r="G778" s="75" t="n">
        <x:v>48</x:v>
      </x:c>
      <x:c r="H778" s="75" t="n">
        <x:v>2</x:v>
      </x:c>
      <x:c r="I778" s="75" t="n">
        <x:v>7</x:v>
      </x:c>
      <x:c r="J778" s="75" t="n">
        <x:v>50</x:v>
      </x:c>
      <x:c r="K778" s="75" t="n">
        <x:v>12</x:v>
      </x:c>
      <x:c r="L778" s="75" t="str">
        <x:v>R3_5of50_2of12</x:v>
      </x:c>
      <x:c r="M778" s="213" t="str">
        <x:v>S2_post_2024_studio_change_sensitivity_only</x:v>
      </x:c>
      <x:c r="N778" s="213" t="str">
        <x:v>Friday</x:v>
      </x:c>
      <x:c r="O778" s="213" t="str">
        <x:v>LottoMetrics full-history export</x:v>
      </x:c>
      <x:c r="P778" s="213" t="str">
        <x:v>Cross-checked: OPAP uploads + public archive</x:v>
      </x:c>
      <x:c r="Q778" s="54" t="str"/>
    </x:row>
    <x:row r="779">
      <x:c r="A779" s="74" t="n">
        <x:v>776</x:v>
      </x:c>
      <x:c r="B779" s="217" t="n">
        <x:v>45531</x:v>
      </x:c>
      <x:c r="C779" s="75" t="n">
        <x:v>15</x:v>
      </x:c>
      <x:c r="D779" s="75" t="n">
        <x:v>24</x:v>
      </x:c>
      <x:c r="E779" s="75" t="n">
        <x:v>29</x:v>
      </x:c>
      <x:c r="F779" s="75" t="n">
        <x:v>33</x:v>
      </x:c>
      <x:c r="G779" s="75" t="n">
        <x:v>39</x:v>
      </x:c>
      <x:c r="H779" s="75" t="n">
        <x:v>2</x:v>
      </x:c>
      <x:c r="I779" s="75" t="n">
        <x:v>9</x:v>
      </x:c>
      <x:c r="J779" s="75" t="n">
        <x:v>50</x:v>
      </x:c>
      <x:c r="K779" s="75" t="n">
        <x:v>12</x:v>
      </x:c>
      <x:c r="L779" s="75" t="str">
        <x:v>R3_5of50_2of12</x:v>
      </x:c>
      <x:c r="M779" s="213" t="str">
        <x:v>S2_post_2024_studio_change_sensitivity_only</x:v>
      </x:c>
      <x:c r="N779" s="213" t="str">
        <x:v>Tuesday</x:v>
      </x:c>
      <x:c r="O779" s="213" t="str">
        <x:v>LottoMetrics full-history export</x:v>
      </x:c>
      <x:c r="P779" s="213" t="str">
        <x:v>Cross-checked: OPAP uploads + public archive</x:v>
      </x:c>
      <x:c r="Q779" s="54" t="str"/>
    </x:row>
    <x:row r="780">
      <x:c r="A780" s="74" t="n">
        <x:v>777</x:v>
      </x:c>
      <x:c r="B780" s="217" t="n">
        <x:v>45534</x:v>
      </x:c>
      <x:c r="C780" s="75" t="n">
        <x:v>8</x:v>
      </x:c>
      <x:c r="D780" s="75" t="n">
        <x:v>11</x:v>
      </x:c>
      <x:c r="E780" s="75" t="n">
        <x:v>25</x:v>
      </x:c>
      <x:c r="F780" s="75" t="n">
        <x:v>31</x:v>
      </x:c>
      <x:c r="G780" s="75" t="n">
        <x:v>48</x:v>
      </x:c>
      <x:c r="H780" s="75" t="n">
        <x:v>11</x:v>
      </x:c>
      <x:c r="I780" s="75" t="n">
        <x:v>12</x:v>
      </x:c>
      <x:c r="J780" s="75" t="n">
        <x:v>50</x:v>
      </x:c>
      <x:c r="K780" s="75" t="n">
        <x:v>12</x:v>
      </x:c>
      <x:c r="L780" s="75" t="str">
        <x:v>R3_5of50_2of12</x:v>
      </x:c>
      <x:c r="M780" s="213" t="str">
        <x:v>S2_post_2024_studio_change_sensitivity_only</x:v>
      </x:c>
      <x:c r="N780" s="213" t="str">
        <x:v>Friday</x:v>
      </x:c>
      <x:c r="O780" s="213" t="str">
        <x:v>LottoMetrics full-history export</x:v>
      </x:c>
      <x:c r="P780" s="213" t="str">
        <x:v>Cross-checked: OPAP uploads + public archive</x:v>
      </x:c>
      <x:c r="Q780" s="54" t="str"/>
    </x:row>
    <x:row r="781">
      <x:c r="A781" s="74" t="n">
        <x:v>778</x:v>
      </x:c>
      <x:c r="B781" s="217" t="n">
        <x:v>45538</x:v>
      </x:c>
      <x:c r="C781" s="75" t="n">
        <x:v>5</x:v>
      </x:c>
      <x:c r="D781" s="75" t="n">
        <x:v>17</x:v>
      </x:c>
      <x:c r="E781" s="75" t="n">
        <x:v>23</x:v>
      </x:c>
      <x:c r="F781" s="75" t="n">
        <x:v>36</x:v>
      </x:c>
      <x:c r="G781" s="75" t="n">
        <x:v>37</x:v>
      </x:c>
      <x:c r="H781" s="75" t="n">
        <x:v>5</x:v>
      </x:c>
      <x:c r="I781" s="75" t="n">
        <x:v>9</x:v>
      </x:c>
      <x:c r="J781" s="75" t="n">
        <x:v>50</x:v>
      </x:c>
      <x:c r="K781" s="75" t="n">
        <x:v>12</x:v>
      </x:c>
      <x:c r="L781" s="75" t="str">
        <x:v>R3_5of50_2of12</x:v>
      </x:c>
      <x:c r="M781" s="213" t="str">
        <x:v>S2_post_2024_studio_change_sensitivity_only</x:v>
      </x:c>
      <x:c r="N781" s="213" t="str">
        <x:v>Tuesday</x:v>
      </x:c>
      <x:c r="O781" s="213" t="str">
        <x:v>LottoMetrics full-history export</x:v>
      </x:c>
      <x:c r="P781" s="213" t="str">
        <x:v>Cross-checked: OPAP uploads + public archive</x:v>
      </x:c>
      <x:c r="Q781" s="54" t="str"/>
    </x:row>
    <x:row r="782">
      <x:c r="A782" s="74" t="n">
        <x:v>779</x:v>
      </x:c>
      <x:c r="B782" s="217" t="n">
        <x:v>45541</x:v>
      </x:c>
      <x:c r="C782" s="75" t="n">
        <x:v>7</x:v>
      </x:c>
      <x:c r="D782" s="75" t="n">
        <x:v>11</x:v>
      </x:c>
      <x:c r="E782" s="75" t="n">
        <x:v>27</x:v>
      </x:c>
      <x:c r="F782" s="75" t="n">
        <x:v>42</x:v>
      </x:c>
      <x:c r="G782" s="75" t="n">
        <x:v>45</x:v>
      </x:c>
      <x:c r="H782" s="75" t="n">
        <x:v>3</x:v>
      </x:c>
      <x:c r="I782" s="75" t="n">
        <x:v>10</x:v>
      </x:c>
      <x:c r="J782" s="75" t="n">
        <x:v>50</x:v>
      </x:c>
      <x:c r="K782" s="75" t="n">
        <x:v>12</x:v>
      </x:c>
      <x:c r="L782" s="75" t="str">
        <x:v>R3_5of50_2of12</x:v>
      </x:c>
      <x:c r="M782" s="213" t="str">
        <x:v>S2_post_2024_studio_change_sensitivity_only</x:v>
      </x:c>
      <x:c r="N782" s="213" t="str">
        <x:v>Friday</x:v>
      </x:c>
      <x:c r="O782" s="213" t="str">
        <x:v>LottoMetrics full-history export</x:v>
      </x:c>
      <x:c r="P782" s="213" t="str">
        <x:v>Cross-checked: OPAP uploads + public archive</x:v>
      </x:c>
      <x:c r="Q782" s="54" t="str"/>
    </x:row>
    <x:row r="783">
      <x:c r="A783" s="74" t="n">
        <x:v>780</x:v>
      </x:c>
      <x:c r="B783" s="217" t="n">
        <x:v>45545</x:v>
      </x:c>
      <x:c r="C783" s="75" t="n">
        <x:v>7</x:v>
      </x:c>
      <x:c r="D783" s="75" t="n">
        <x:v>10</x:v>
      </x:c>
      <x:c r="E783" s="75" t="n">
        <x:v>31</x:v>
      </x:c>
      <x:c r="F783" s="75" t="n">
        <x:v>41</x:v>
      </x:c>
      <x:c r="G783" s="75" t="n">
        <x:v>46</x:v>
      </x:c>
      <x:c r="H783" s="75" t="n">
        <x:v>1</x:v>
      </x:c>
      <x:c r="I783" s="75" t="n">
        <x:v>5</x:v>
      </x:c>
      <x:c r="J783" s="75" t="n">
        <x:v>50</x:v>
      </x:c>
      <x:c r="K783" s="75" t="n">
        <x:v>12</x:v>
      </x:c>
      <x:c r="L783" s="75" t="str">
        <x:v>R3_5of50_2of12</x:v>
      </x:c>
      <x:c r="M783" s="213" t="str">
        <x:v>S2_post_2024_studio_change_sensitivity_only</x:v>
      </x:c>
      <x:c r="N783" s="213" t="str">
        <x:v>Tuesday</x:v>
      </x:c>
      <x:c r="O783" s="213" t="str">
        <x:v>LottoMetrics full-history export</x:v>
      </x:c>
      <x:c r="P783" s="213" t="str">
        <x:v>Cross-checked: OPAP uploads + public archive</x:v>
      </x:c>
      <x:c r="Q783" s="54" t="str"/>
    </x:row>
    <x:row r="784">
      <x:c r="A784" s="74" t="n">
        <x:v>781</x:v>
      </x:c>
      <x:c r="B784" s="217" t="n">
        <x:v>45548</x:v>
      </x:c>
      <x:c r="C784" s="75" t="n">
        <x:v>2</x:v>
      </x:c>
      <x:c r="D784" s="75" t="n">
        <x:v>3</x:v>
      </x:c>
      <x:c r="E784" s="75" t="n">
        <x:v>17</x:v>
      </x:c>
      <x:c r="F784" s="75" t="n">
        <x:v>40</x:v>
      </x:c>
      <x:c r="G784" s="75" t="n">
        <x:v>44</x:v>
      </x:c>
      <x:c r="H784" s="75" t="n">
        <x:v>4</x:v>
      </x:c>
      <x:c r="I784" s="75" t="n">
        <x:v>8</x:v>
      </x:c>
      <x:c r="J784" s="75" t="n">
        <x:v>50</x:v>
      </x:c>
      <x:c r="K784" s="75" t="n">
        <x:v>12</x:v>
      </x:c>
      <x:c r="L784" s="75" t="str">
        <x:v>R3_5of50_2of12</x:v>
      </x:c>
      <x:c r="M784" s="213" t="str">
        <x:v>S2_post_2024_studio_change_sensitivity_only</x:v>
      </x:c>
      <x:c r="N784" s="213" t="str">
        <x:v>Friday</x:v>
      </x:c>
      <x:c r="O784" s="213" t="str">
        <x:v>LottoMetrics full-history export</x:v>
      </x:c>
      <x:c r="P784" s="213" t="str">
        <x:v>Cross-checked: OPAP uploads + public archive</x:v>
      </x:c>
      <x:c r="Q784" s="54" t="str"/>
    </x:row>
    <x:row r="785">
      <x:c r="A785" s="74" t="n">
        <x:v>782</x:v>
      </x:c>
      <x:c r="B785" s="217" t="n">
        <x:v>45552</x:v>
      </x:c>
      <x:c r="C785" s="75" t="n">
        <x:v>1</x:v>
      </x:c>
      <x:c r="D785" s="75" t="n">
        <x:v>3</x:v>
      </x:c>
      <x:c r="E785" s="75" t="n">
        <x:v>13</x:v>
      </x:c>
      <x:c r="F785" s="75" t="n">
        <x:v>24</x:v>
      </x:c>
      <x:c r="G785" s="75" t="n">
        <x:v>44</x:v>
      </x:c>
      <x:c r="H785" s="75" t="n">
        <x:v>11</x:v>
      </x:c>
      <x:c r="I785" s="75" t="n">
        <x:v>12</x:v>
      </x:c>
      <x:c r="J785" s="75" t="n">
        <x:v>50</x:v>
      </x:c>
      <x:c r="K785" s="75" t="n">
        <x:v>12</x:v>
      </x:c>
      <x:c r="L785" s="75" t="str">
        <x:v>R3_5of50_2of12</x:v>
      </x:c>
      <x:c r="M785" s="213" t="str">
        <x:v>S2_post_2024_studio_change_sensitivity_only</x:v>
      </x:c>
      <x:c r="N785" s="213" t="str">
        <x:v>Tuesday</x:v>
      </x:c>
      <x:c r="O785" s="213" t="str">
        <x:v>LottoMetrics full-history export</x:v>
      </x:c>
      <x:c r="P785" s="213" t="str">
        <x:v>Cross-checked: OPAP uploads + public archive</x:v>
      </x:c>
      <x:c r="Q785" s="54" t="str"/>
    </x:row>
    <x:row r="786">
      <x:c r="A786" s="74" t="n">
        <x:v>783</x:v>
      </x:c>
      <x:c r="B786" s="217" t="n">
        <x:v>45555</x:v>
      </x:c>
      <x:c r="C786" s="75" t="n">
        <x:v>9</x:v>
      </x:c>
      <x:c r="D786" s="75" t="n">
        <x:v>17</x:v>
      </x:c>
      <x:c r="E786" s="75" t="n">
        <x:v>19</x:v>
      </x:c>
      <x:c r="F786" s="75" t="n">
        <x:v>26</x:v>
      </x:c>
      <x:c r="G786" s="75" t="n">
        <x:v>39</x:v>
      </x:c>
      <x:c r="H786" s="75" t="n">
        <x:v>4</x:v>
      </x:c>
      <x:c r="I786" s="75" t="n">
        <x:v>10</x:v>
      </x:c>
      <x:c r="J786" s="75" t="n">
        <x:v>50</x:v>
      </x:c>
      <x:c r="K786" s="75" t="n">
        <x:v>12</x:v>
      </x:c>
      <x:c r="L786" s="75" t="str">
        <x:v>R3_5of50_2of12</x:v>
      </x:c>
      <x:c r="M786" s="213" t="str">
        <x:v>S2_post_2024_studio_change_sensitivity_only</x:v>
      </x:c>
      <x:c r="N786" s="213" t="str">
        <x:v>Friday</x:v>
      </x:c>
      <x:c r="O786" s="213" t="str">
        <x:v>LottoMetrics full-history export</x:v>
      </x:c>
      <x:c r="P786" s="213" t="str">
        <x:v>Cross-checked: OPAP uploads + public archive</x:v>
      </x:c>
      <x:c r="Q786" s="54" t="str"/>
    </x:row>
    <x:row r="787">
      <x:c r="A787" s="74" t="n">
        <x:v>784</x:v>
      </x:c>
      <x:c r="B787" s="217" t="n">
        <x:v>45559</x:v>
      </x:c>
      <x:c r="C787" s="75" t="n">
        <x:v>3</x:v>
      </x:c>
      <x:c r="D787" s="75" t="n">
        <x:v>13</x:v>
      </x:c>
      <x:c r="E787" s="75" t="n">
        <x:v>34</x:v>
      </x:c>
      <x:c r="F787" s="75" t="n">
        <x:v>41</x:v>
      </x:c>
      <x:c r="G787" s="75" t="n">
        <x:v>43</x:v>
      </x:c>
      <x:c r="H787" s="75" t="n">
        <x:v>1</x:v>
      </x:c>
      <x:c r="I787" s="75" t="n">
        <x:v>5</x:v>
      </x:c>
      <x:c r="J787" s="75" t="n">
        <x:v>50</x:v>
      </x:c>
      <x:c r="K787" s="75" t="n">
        <x:v>12</x:v>
      </x:c>
      <x:c r="L787" s="75" t="str">
        <x:v>R3_5of50_2of12</x:v>
      </x:c>
      <x:c r="M787" s="213" t="str">
        <x:v>S2_post_2024_studio_change_sensitivity_only</x:v>
      </x:c>
      <x:c r="N787" s="213" t="str">
        <x:v>Tuesday</x:v>
      </x:c>
      <x:c r="O787" s="213" t="str">
        <x:v>LottoMetrics full-history export</x:v>
      </x:c>
      <x:c r="P787" s="213" t="str">
        <x:v>Cross-checked: OPAP uploads + public archive</x:v>
      </x:c>
      <x:c r="Q787" s="54" t="str"/>
    </x:row>
    <x:row r="788">
      <x:c r="A788" s="74" t="n">
        <x:v>785</x:v>
      </x:c>
      <x:c r="B788" s="217" t="n">
        <x:v>45562</x:v>
      </x:c>
      <x:c r="C788" s="75" t="n">
        <x:v>6</x:v>
      </x:c>
      <x:c r="D788" s="75" t="n">
        <x:v>15</x:v>
      </x:c>
      <x:c r="E788" s="75" t="n">
        <x:v>25</x:v>
      </x:c>
      <x:c r="F788" s="75" t="n">
        <x:v>29</x:v>
      </x:c>
      <x:c r="G788" s="75" t="n">
        <x:v>41</x:v>
      </x:c>
      <x:c r="H788" s="75" t="n">
        <x:v>1</x:v>
      </x:c>
      <x:c r="I788" s="75" t="n">
        <x:v>3</x:v>
      </x:c>
      <x:c r="J788" s="75" t="n">
        <x:v>50</x:v>
      </x:c>
      <x:c r="K788" s="75" t="n">
        <x:v>12</x:v>
      </x:c>
      <x:c r="L788" s="75" t="str">
        <x:v>R3_5of50_2of12</x:v>
      </x:c>
      <x:c r="M788" s="213" t="str">
        <x:v>S2_post_2024_studio_change_sensitivity_only</x:v>
      </x:c>
      <x:c r="N788" s="213" t="str">
        <x:v>Friday</x:v>
      </x:c>
      <x:c r="O788" s="213" t="str">
        <x:v>LottoMetrics full-history export</x:v>
      </x:c>
      <x:c r="P788" s="213" t="str">
        <x:v>Cross-checked: OPAP uploads + public archive</x:v>
      </x:c>
      <x:c r="Q788" s="54" t="str"/>
    </x:row>
    <x:row r="789">
      <x:c r="A789" s="74" t="n">
        <x:v>786</x:v>
      </x:c>
      <x:c r="B789" s="217" t="n">
        <x:v>45566</x:v>
      </x:c>
      <x:c r="C789" s="75" t="n">
        <x:v>17</x:v>
      </x:c>
      <x:c r="D789" s="75" t="n">
        <x:v>37</x:v>
      </x:c>
      <x:c r="E789" s="75" t="n">
        <x:v>42</x:v>
      </x:c>
      <x:c r="F789" s="75" t="n">
        <x:v>45</x:v>
      </x:c>
      <x:c r="G789" s="75" t="n">
        <x:v>50</x:v>
      </x:c>
      <x:c r="H789" s="75" t="n">
        <x:v>6</x:v>
      </x:c>
      <x:c r="I789" s="75" t="n">
        <x:v>7</x:v>
      </x:c>
      <x:c r="J789" s="75" t="n">
        <x:v>50</x:v>
      </x:c>
      <x:c r="K789" s="75" t="n">
        <x:v>12</x:v>
      </x:c>
      <x:c r="L789" s="75" t="str">
        <x:v>R3_5of50_2of12</x:v>
      </x:c>
      <x:c r="M789" s="213" t="str">
        <x:v>S2_post_2024_studio_change_sensitivity_only</x:v>
      </x:c>
      <x:c r="N789" s="213" t="str">
        <x:v>Tuesday</x:v>
      </x:c>
      <x:c r="O789" s="213" t="str">
        <x:v>LottoMetrics full-history export</x:v>
      </x:c>
      <x:c r="P789" s="213" t="str">
        <x:v>Cross-checked: OPAP uploads + public archive</x:v>
      </x:c>
      <x:c r="Q789" s="54" t="str"/>
    </x:row>
    <x:row r="790">
      <x:c r="A790" s="74" t="n">
        <x:v>787</x:v>
      </x:c>
      <x:c r="B790" s="217" t="n">
        <x:v>45569</x:v>
      </x:c>
      <x:c r="C790" s="75" t="n">
        <x:v>4</x:v>
      </x:c>
      <x:c r="D790" s="75" t="n">
        <x:v>16</x:v>
      </x:c>
      <x:c r="E790" s="75" t="n">
        <x:v>27</x:v>
      </x:c>
      <x:c r="F790" s="75" t="n">
        <x:v>34</x:v>
      </x:c>
      <x:c r="G790" s="75" t="n">
        <x:v>44</x:v>
      </x:c>
      <x:c r="H790" s="75" t="n">
        <x:v>4</x:v>
      </x:c>
      <x:c r="I790" s="75" t="n">
        <x:v>7</x:v>
      </x:c>
      <x:c r="J790" s="75" t="n">
        <x:v>50</x:v>
      </x:c>
      <x:c r="K790" s="75" t="n">
        <x:v>12</x:v>
      </x:c>
      <x:c r="L790" s="75" t="str">
        <x:v>R3_5of50_2of12</x:v>
      </x:c>
      <x:c r="M790" s="213" t="str">
        <x:v>S2_post_2024_studio_change_sensitivity_only</x:v>
      </x:c>
      <x:c r="N790" s="213" t="str">
        <x:v>Friday</x:v>
      </x:c>
      <x:c r="O790" s="213" t="str">
        <x:v>LottoMetrics full-history export</x:v>
      </x:c>
      <x:c r="P790" s="213" t="str">
        <x:v>Cross-checked: OPAP uploads + public archive</x:v>
      </x:c>
      <x:c r="Q790" s="54" t="str"/>
    </x:row>
    <x:row r="791">
      <x:c r="A791" s="74" t="n">
        <x:v>788</x:v>
      </x:c>
      <x:c r="B791" s="217" t="n">
        <x:v>45573</x:v>
      </x:c>
      <x:c r="C791" s="75" t="n">
        <x:v>13</x:v>
      </x:c>
      <x:c r="D791" s="75" t="n">
        <x:v>29</x:v>
      </x:c>
      <x:c r="E791" s="75" t="n">
        <x:v>42</x:v>
      </x:c>
      <x:c r="F791" s="75" t="n">
        <x:v>44</x:v>
      </x:c>
      <x:c r="G791" s="75" t="n">
        <x:v>48</x:v>
      </x:c>
      <x:c r="H791" s="75" t="n">
        <x:v>2</x:v>
      </x:c>
      <x:c r="I791" s="75" t="n">
        <x:v>8</x:v>
      </x:c>
      <x:c r="J791" s="75" t="n">
        <x:v>50</x:v>
      </x:c>
      <x:c r="K791" s="75" t="n">
        <x:v>12</x:v>
      </x:c>
      <x:c r="L791" s="75" t="str">
        <x:v>R3_5of50_2of12</x:v>
      </x:c>
      <x:c r="M791" s="213" t="str">
        <x:v>S2_post_2024_studio_change_sensitivity_only</x:v>
      </x:c>
      <x:c r="N791" s="213" t="str">
        <x:v>Tuesday</x:v>
      </x:c>
      <x:c r="O791" s="213" t="str">
        <x:v>LottoMetrics full-history export</x:v>
      </x:c>
      <x:c r="P791" s="213" t="str">
        <x:v>Cross-checked: OPAP uploads + public archive</x:v>
      </x:c>
      <x:c r="Q791" s="54" t="str"/>
    </x:row>
    <x:row r="792">
      <x:c r="A792" s="74" t="n">
        <x:v>789</x:v>
      </x:c>
      <x:c r="B792" s="217" t="n">
        <x:v>45576</x:v>
      </x:c>
      <x:c r="C792" s="75" t="n">
        <x:v>8</x:v>
      </x:c>
      <x:c r="D792" s="75" t="n">
        <x:v>11</x:v>
      </x:c>
      <x:c r="E792" s="75" t="n">
        <x:v>23</x:v>
      </x:c>
      <x:c r="F792" s="75" t="n">
        <x:v>44</x:v>
      </x:c>
      <x:c r="G792" s="75" t="n">
        <x:v>45</x:v>
      </x:c>
      <x:c r="H792" s="75" t="n">
        <x:v>10</x:v>
      </x:c>
      <x:c r="I792" s="75" t="n">
        <x:v>12</x:v>
      </x:c>
      <x:c r="J792" s="75" t="n">
        <x:v>50</x:v>
      </x:c>
      <x:c r="K792" s="75" t="n">
        <x:v>12</x:v>
      </x:c>
      <x:c r="L792" s="75" t="str">
        <x:v>R3_5of50_2of12</x:v>
      </x:c>
      <x:c r="M792" s="213" t="str">
        <x:v>S2_post_2024_studio_change_sensitivity_only</x:v>
      </x:c>
      <x:c r="N792" s="213" t="str">
        <x:v>Friday</x:v>
      </x:c>
      <x:c r="O792" s="213" t="str">
        <x:v>LottoMetrics full-history export</x:v>
      </x:c>
      <x:c r="P792" s="213" t="str">
        <x:v>Cross-checked: OPAP uploads + public archive</x:v>
      </x:c>
      <x:c r="Q792" s="54" t="str"/>
    </x:row>
    <x:row r="793">
      <x:c r="A793" s="74" t="n">
        <x:v>790</x:v>
      </x:c>
      <x:c r="B793" s="217" t="n">
        <x:v>45580</x:v>
      </x:c>
      <x:c r="C793" s="75" t="n">
        <x:v>9</x:v>
      </x:c>
      <x:c r="D793" s="75" t="n">
        <x:v>20</x:v>
      </x:c>
      <x:c r="E793" s="75" t="n">
        <x:v>38</x:v>
      </x:c>
      <x:c r="F793" s="75" t="n">
        <x:v>44</x:v>
      </x:c>
      <x:c r="G793" s="75" t="n">
        <x:v>45</x:v>
      </x:c>
      <x:c r="H793" s="75" t="n">
        <x:v>4</x:v>
      </x:c>
      <x:c r="I793" s="75" t="n">
        <x:v>12</x:v>
      </x:c>
      <x:c r="J793" s="75" t="n">
        <x:v>50</x:v>
      </x:c>
      <x:c r="K793" s="75" t="n">
        <x:v>12</x:v>
      </x:c>
      <x:c r="L793" s="75" t="str">
        <x:v>R3_5of50_2of12</x:v>
      </x:c>
      <x:c r="M793" s="213" t="str">
        <x:v>S2_post_2024_studio_change_sensitivity_only</x:v>
      </x:c>
      <x:c r="N793" s="213" t="str">
        <x:v>Tuesday</x:v>
      </x:c>
      <x:c r="O793" s="213" t="str">
        <x:v>LottoMetrics full-history export</x:v>
      </x:c>
      <x:c r="P793" s="213" t="str">
        <x:v>Cross-checked: OPAP uploads + public archive</x:v>
      </x:c>
      <x:c r="Q793" s="54" t="str"/>
    </x:row>
    <x:row r="794">
      <x:c r="A794" s="74" t="n">
        <x:v>791</x:v>
      </x:c>
      <x:c r="B794" s="217" t="n">
        <x:v>45583</x:v>
      </x:c>
      <x:c r="C794" s="75" t="n">
        <x:v>2</x:v>
      </x:c>
      <x:c r="D794" s="75" t="n">
        <x:v>4</x:v>
      </x:c>
      <x:c r="E794" s="75" t="n">
        <x:v>23</x:v>
      </x:c>
      <x:c r="F794" s="75" t="n">
        <x:v>30</x:v>
      </x:c>
      <x:c r="G794" s="75" t="n">
        <x:v>40</x:v>
      </x:c>
      <x:c r="H794" s="75" t="n">
        <x:v>4</x:v>
      </x:c>
      <x:c r="I794" s="75" t="n">
        <x:v>10</x:v>
      </x:c>
      <x:c r="J794" s="75" t="n">
        <x:v>50</x:v>
      </x:c>
      <x:c r="K794" s="75" t="n">
        <x:v>12</x:v>
      </x:c>
      <x:c r="L794" s="75" t="str">
        <x:v>R3_5of50_2of12</x:v>
      </x:c>
      <x:c r="M794" s="213" t="str">
        <x:v>S2_post_2024_studio_change_sensitivity_only</x:v>
      </x:c>
      <x:c r="N794" s="213" t="str">
        <x:v>Friday</x:v>
      </x:c>
      <x:c r="O794" s="213" t="str">
        <x:v>LottoMetrics full-history export</x:v>
      </x:c>
      <x:c r="P794" s="213" t="str">
        <x:v>Cross-checked: OPAP uploads + public archive</x:v>
      </x:c>
      <x:c r="Q794" s="54" t="str"/>
    </x:row>
    <x:row r="795">
      <x:c r="A795" s="74" t="n">
        <x:v>792</x:v>
      </x:c>
      <x:c r="B795" s="217" t="n">
        <x:v>45587</x:v>
      </x:c>
      <x:c r="C795" s="75" t="n">
        <x:v>4</x:v>
      </x:c>
      <x:c r="D795" s="75" t="n">
        <x:v>32</x:v>
      </x:c>
      <x:c r="E795" s="75" t="n">
        <x:v>36</x:v>
      </x:c>
      <x:c r="F795" s="75" t="n">
        <x:v>38</x:v>
      </x:c>
      <x:c r="G795" s="75" t="n">
        <x:v>47</x:v>
      </x:c>
      <x:c r="H795" s="75" t="n">
        <x:v>3</x:v>
      </x:c>
      <x:c r="I795" s="75" t="n">
        <x:v>9</x:v>
      </x:c>
      <x:c r="J795" s="75" t="n">
        <x:v>50</x:v>
      </x:c>
      <x:c r="K795" s="75" t="n">
        <x:v>12</x:v>
      </x:c>
      <x:c r="L795" s="75" t="str">
        <x:v>R3_5of50_2of12</x:v>
      </x:c>
      <x:c r="M795" s="213" t="str">
        <x:v>S2_post_2024_studio_change_sensitivity_only</x:v>
      </x:c>
      <x:c r="N795" s="213" t="str">
        <x:v>Tuesday</x:v>
      </x:c>
      <x:c r="O795" s="213" t="str">
        <x:v>LottoMetrics full-history export</x:v>
      </x:c>
      <x:c r="P795" s="213" t="str">
        <x:v>Cross-checked: OPAP uploads + public archive</x:v>
      </x:c>
      <x:c r="Q795" s="54" t="str"/>
    </x:row>
    <x:row r="796">
      <x:c r="A796" s="74" t="n">
        <x:v>793</x:v>
      </x:c>
      <x:c r="B796" s="217" t="n">
        <x:v>45590</x:v>
      </x:c>
      <x:c r="C796" s="75" t="n">
        <x:v>2</x:v>
      </x:c>
      <x:c r="D796" s="75" t="n">
        <x:v>19</x:v>
      </x:c>
      <x:c r="E796" s="75" t="n">
        <x:v>36</x:v>
      </x:c>
      <x:c r="F796" s="75" t="n">
        <x:v>42</x:v>
      </x:c>
      <x:c r="G796" s="75" t="n">
        <x:v>50</x:v>
      </x:c>
      <x:c r="H796" s="75" t="n">
        <x:v>4</x:v>
      </x:c>
      <x:c r="I796" s="75" t="n">
        <x:v>9</x:v>
      </x:c>
      <x:c r="J796" s="75" t="n">
        <x:v>50</x:v>
      </x:c>
      <x:c r="K796" s="75" t="n">
        <x:v>12</x:v>
      </x:c>
      <x:c r="L796" s="75" t="str">
        <x:v>R3_5of50_2of12</x:v>
      </x:c>
      <x:c r="M796" s="213" t="str">
        <x:v>S2_post_2024_studio_change_sensitivity_only</x:v>
      </x:c>
      <x:c r="N796" s="213" t="str">
        <x:v>Friday</x:v>
      </x:c>
      <x:c r="O796" s="213" t="str">
        <x:v>LottoMetrics full-history export</x:v>
      </x:c>
      <x:c r="P796" s="213" t="str">
        <x:v>Cross-checked: OPAP uploads + public archive</x:v>
      </x:c>
      <x:c r="Q796" s="54" t="str"/>
    </x:row>
    <x:row r="797">
      <x:c r="A797" s="74" t="n">
        <x:v>794</x:v>
      </x:c>
      <x:c r="B797" s="217" t="n">
        <x:v>45594</x:v>
      </x:c>
      <x:c r="C797" s="75" t="n">
        <x:v>3</x:v>
      </x:c>
      <x:c r="D797" s="75" t="n">
        <x:v>17</x:v>
      </x:c>
      <x:c r="E797" s="75" t="n">
        <x:v>26</x:v>
      </x:c>
      <x:c r="F797" s="75" t="n">
        <x:v>30</x:v>
      </x:c>
      <x:c r="G797" s="75" t="n">
        <x:v>49</x:v>
      </x:c>
      <x:c r="H797" s="75" t="n">
        <x:v>1</x:v>
      </x:c>
      <x:c r="I797" s="75" t="n">
        <x:v>10</x:v>
      </x:c>
      <x:c r="J797" s="75" t="n">
        <x:v>50</x:v>
      </x:c>
      <x:c r="K797" s="75" t="n">
        <x:v>12</x:v>
      </x:c>
      <x:c r="L797" s="75" t="str">
        <x:v>R3_5of50_2of12</x:v>
      </x:c>
      <x:c r="M797" s="213" t="str">
        <x:v>S2_post_2024_studio_change_sensitivity_only</x:v>
      </x:c>
      <x:c r="N797" s="213" t="str">
        <x:v>Tuesday</x:v>
      </x:c>
      <x:c r="O797" s="213" t="str">
        <x:v>LottoMetrics full-history export</x:v>
      </x:c>
      <x:c r="P797" s="213" t="str">
        <x:v>Cross-checked: OPAP uploads + public archive</x:v>
      </x:c>
      <x:c r="Q797" s="54" t="str"/>
    </x:row>
    <x:row r="798">
      <x:c r="A798" s="74" t="n">
        <x:v>795</x:v>
      </x:c>
      <x:c r="B798" s="217" t="n">
        <x:v>45597</x:v>
      </x:c>
      <x:c r="C798" s="75" t="n">
        <x:v>13</x:v>
      </x:c>
      <x:c r="D798" s="75" t="n">
        <x:v>21</x:v>
      </x:c>
      <x:c r="E798" s="75" t="n">
        <x:v>27</x:v>
      </x:c>
      <x:c r="F798" s="75" t="n">
        <x:v>28</x:v>
      </x:c>
      <x:c r="G798" s="75" t="n">
        <x:v>41</x:v>
      </x:c>
      <x:c r="H798" s="75" t="n">
        <x:v>1</x:v>
      </x:c>
      <x:c r="I798" s="75" t="n">
        <x:v>3</x:v>
      </x:c>
      <x:c r="J798" s="75" t="n">
        <x:v>50</x:v>
      </x:c>
      <x:c r="K798" s="75" t="n">
        <x:v>12</x:v>
      </x:c>
      <x:c r="L798" s="75" t="str">
        <x:v>R3_5of50_2of12</x:v>
      </x:c>
      <x:c r="M798" s="213" t="str">
        <x:v>S2_post_2024_studio_change_sensitivity_only</x:v>
      </x:c>
      <x:c r="N798" s="213" t="str">
        <x:v>Friday</x:v>
      </x:c>
      <x:c r="O798" s="213" t="str">
        <x:v>LottoMetrics full-history export</x:v>
      </x:c>
      <x:c r="P798" s="213" t="str">
        <x:v>Cross-checked: OPAP uploads + public archive</x:v>
      </x:c>
      <x:c r="Q798" s="54" t="str"/>
    </x:row>
    <x:row r="799">
      <x:c r="A799" s="74" t="n">
        <x:v>796</x:v>
      </x:c>
      <x:c r="B799" s="217" t="n">
        <x:v>45601</x:v>
      </x:c>
      <x:c r="C799" s="75" t="n">
        <x:v>22</x:v>
      </x:c>
      <x:c r="D799" s="75" t="n">
        <x:v>29</x:v>
      </x:c>
      <x:c r="E799" s="75" t="n">
        <x:v>36</x:v>
      </x:c>
      <x:c r="F799" s="75" t="n">
        <x:v>38</x:v>
      </x:c>
      <x:c r="G799" s="75" t="n">
        <x:v>43</x:v>
      </x:c>
      <x:c r="H799" s="75" t="n">
        <x:v>1</x:v>
      </x:c>
      <x:c r="I799" s="75" t="n">
        <x:v>6</x:v>
      </x:c>
      <x:c r="J799" s="75" t="n">
        <x:v>50</x:v>
      </x:c>
      <x:c r="K799" s="75" t="n">
        <x:v>12</x:v>
      </x:c>
      <x:c r="L799" s="75" t="str">
        <x:v>R3_5of50_2of12</x:v>
      </x:c>
      <x:c r="M799" s="213" t="str">
        <x:v>S2_post_2024_studio_change_sensitivity_only</x:v>
      </x:c>
      <x:c r="N799" s="213" t="str">
        <x:v>Tuesday</x:v>
      </x:c>
      <x:c r="O799" s="213" t="str">
        <x:v>LottoMetrics full-history export</x:v>
      </x:c>
      <x:c r="P799" s="213" t="str">
        <x:v>Cross-checked: OPAP uploads + public archive</x:v>
      </x:c>
      <x:c r="Q799" s="54" t="str"/>
    </x:row>
    <x:row r="800">
      <x:c r="A800" s="74" t="n">
        <x:v>797</x:v>
      </x:c>
      <x:c r="B800" s="217" t="n">
        <x:v>45604</x:v>
      </x:c>
      <x:c r="C800" s="75" t="n">
        <x:v>6</x:v>
      </x:c>
      <x:c r="D800" s="75" t="n">
        <x:v>23</x:v>
      </x:c>
      <x:c r="E800" s="75" t="n">
        <x:v>38</x:v>
      </x:c>
      <x:c r="F800" s="75" t="n">
        <x:v>42</x:v>
      </x:c>
      <x:c r="G800" s="75" t="n">
        <x:v>45</x:v>
      </x:c>
      <x:c r="H800" s="75" t="n">
        <x:v>9</x:v>
      </x:c>
      <x:c r="I800" s="75" t="n">
        <x:v>12</x:v>
      </x:c>
      <x:c r="J800" s="75" t="n">
        <x:v>50</x:v>
      </x:c>
      <x:c r="K800" s="75" t="n">
        <x:v>12</x:v>
      </x:c>
      <x:c r="L800" s="75" t="str">
        <x:v>R3_5of50_2of12</x:v>
      </x:c>
      <x:c r="M800" s="213" t="str">
        <x:v>S2_post_2024_studio_change_sensitivity_only</x:v>
      </x:c>
      <x:c r="N800" s="213" t="str">
        <x:v>Friday</x:v>
      </x:c>
      <x:c r="O800" s="213" t="str">
        <x:v>LottoMetrics full-history export</x:v>
      </x:c>
      <x:c r="P800" s="213" t="str">
        <x:v>Cross-checked: OPAP uploads + public archive</x:v>
      </x:c>
      <x:c r="Q800" s="54" t="str"/>
    </x:row>
    <x:row r="801">
      <x:c r="A801" s="74" t="n">
        <x:v>798</x:v>
      </x:c>
      <x:c r="B801" s="217" t="n">
        <x:v>45608</x:v>
      </x:c>
      <x:c r="C801" s="75" t="n">
        <x:v>2</x:v>
      </x:c>
      <x:c r="D801" s="75" t="n">
        <x:v>3</x:v>
      </x:c>
      <x:c r="E801" s="75" t="n">
        <x:v>34</x:v>
      </x:c>
      <x:c r="F801" s="75" t="n">
        <x:v>38</x:v>
      </x:c>
      <x:c r="G801" s="75" t="n">
        <x:v>49</x:v>
      </x:c>
      <x:c r="H801" s="75" t="n">
        <x:v>10</x:v>
      </x:c>
      <x:c r="I801" s="75" t="n">
        <x:v>11</x:v>
      </x:c>
      <x:c r="J801" s="75" t="n">
        <x:v>50</x:v>
      </x:c>
      <x:c r="K801" s="75" t="n">
        <x:v>12</x:v>
      </x:c>
      <x:c r="L801" s="75" t="str">
        <x:v>R3_5of50_2of12</x:v>
      </x:c>
      <x:c r="M801" s="213" t="str">
        <x:v>S2_post_2024_studio_change_sensitivity_only</x:v>
      </x:c>
      <x:c r="N801" s="213" t="str">
        <x:v>Tuesday</x:v>
      </x:c>
      <x:c r="O801" s="213" t="str">
        <x:v>LottoMetrics full-history export</x:v>
      </x:c>
      <x:c r="P801" s="213" t="str">
        <x:v>Cross-checked: OPAP uploads + public archive</x:v>
      </x:c>
      <x:c r="Q801" s="54" t="str"/>
    </x:row>
    <x:row r="802">
      <x:c r="A802" s="74" t="n">
        <x:v>799</x:v>
      </x:c>
      <x:c r="B802" s="217" t="n">
        <x:v>45611</x:v>
      </x:c>
      <x:c r="C802" s="75" t="n">
        <x:v>27</x:v>
      </x:c>
      <x:c r="D802" s="75" t="n">
        <x:v>31</x:v>
      </x:c>
      <x:c r="E802" s="75" t="n">
        <x:v>35</x:v>
      </x:c>
      <x:c r="F802" s="75" t="n">
        <x:v>46</x:v>
      </x:c>
      <x:c r="G802" s="75" t="n">
        <x:v>50</x:v>
      </x:c>
      <x:c r="H802" s="75" t="n">
        <x:v>3</x:v>
      </x:c>
      <x:c r="I802" s="75" t="n">
        <x:v>10</x:v>
      </x:c>
      <x:c r="J802" s="75" t="n">
        <x:v>50</x:v>
      </x:c>
      <x:c r="K802" s="75" t="n">
        <x:v>12</x:v>
      </x:c>
      <x:c r="L802" s="75" t="str">
        <x:v>R3_5of50_2of12</x:v>
      </x:c>
      <x:c r="M802" s="213" t="str">
        <x:v>S2_post_2024_studio_change_sensitivity_only</x:v>
      </x:c>
      <x:c r="N802" s="213" t="str">
        <x:v>Friday</x:v>
      </x:c>
      <x:c r="O802" s="213" t="str">
        <x:v>LottoMetrics full-history export</x:v>
      </x:c>
      <x:c r="P802" s="213" t="str">
        <x:v>Cross-checked: OPAP uploads + public archive</x:v>
      </x:c>
      <x:c r="Q802" s="54" t="str"/>
    </x:row>
    <x:row r="803">
      <x:c r="A803" s="74" t="n">
        <x:v>800</x:v>
      </x:c>
      <x:c r="B803" s="217" t="n">
        <x:v>45615</x:v>
      </x:c>
      <x:c r="C803" s="75" t="n">
        <x:v>4</x:v>
      </x:c>
      <x:c r="D803" s="75" t="n">
        <x:v>7</x:v>
      </x:c>
      <x:c r="E803" s="75" t="n">
        <x:v>19</x:v>
      </x:c>
      <x:c r="F803" s="75" t="n">
        <x:v>26</x:v>
      </x:c>
      <x:c r="G803" s="75" t="n">
        <x:v>27</x:v>
      </x:c>
      <x:c r="H803" s="75" t="n">
        <x:v>4</x:v>
      </x:c>
      <x:c r="I803" s="75" t="n">
        <x:v>5</x:v>
      </x:c>
      <x:c r="J803" s="75" t="n">
        <x:v>50</x:v>
      </x:c>
      <x:c r="K803" s="75" t="n">
        <x:v>12</x:v>
      </x:c>
      <x:c r="L803" s="75" t="str">
        <x:v>R3_5of50_2of12</x:v>
      </x:c>
      <x:c r="M803" s="213" t="str">
        <x:v>S2_post_2024_studio_change_sensitivity_only</x:v>
      </x:c>
      <x:c r="N803" s="213" t="str">
        <x:v>Tuesday</x:v>
      </x:c>
      <x:c r="O803" s="213" t="str">
        <x:v>LottoMetrics full-history export</x:v>
      </x:c>
      <x:c r="P803" s="213" t="str">
        <x:v>Cross-checked: OPAP uploads + public archive</x:v>
      </x:c>
      <x:c r="Q803" s="54" t="str"/>
    </x:row>
    <x:row r="804">
      <x:c r="A804" s="74" t="n">
        <x:v>801</x:v>
      </x:c>
      <x:c r="B804" s="217" t="n">
        <x:v>45618</x:v>
      </x:c>
      <x:c r="C804" s="75" t="n">
        <x:v>6</x:v>
      </x:c>
      <x:c r="D804" s="75" t="n">
        <x:v>10</x:v>
      </x:c>
      <x:c r="E804" s="75" t="n">
        <x:v>30</x:v>
      </x:c>
      <x:c r="F804" s="75" t="n">
        <x:v>34</x:v>
      </x:c>
      <x:c r="G804" s="75" t="n">
        <x:v>41</x:v>
      </x:c>
      <x:c r="H804" s="75" t="n">
        <x:v>7</x:v>
      </x:c>
      <x:c r="I804" s="75" t="n">
        <x:v>10</x:v>
      </x:c>
      <x:c r="J804" s="75" t="n">
        <x:v>50</x:v>
      </x:c>
      <x:c r="K804" s="75" t="n">
        <x:v>12</x:v>
      </x:c>
      <x:c r="L804" s="75" t="str">
        <x:v>R3_5of50_2of12</x:v>
      </x:c>
      <x:c r="M804" s="213" t="str">
        <x:v>S2_post_2024_studio_change_sensitivity_only</x:v>
      </x:c>
      <x:c r="N804" s="213" t="str">
        <x:v>Friday</x:v>
      </x:c>
      <x:c r="O804" s="213" t="str">
        <x:v>LottoMetrics full-history export</x:v>
      </x:c>
      <x:c r="P804" s="213" t="str">
        <x:v>Cross-checked: OPAP uploads + public archive</x:v>
      </x:c>
      <x:c r="Q804" s="54" t="str"/>
    </x:row>
    <x:row r="805">
      <x:c r="A805" s="74" t="n">
        <x:v>802</x:v>
      </x:c>
      <x:c r="B805" s="217" t="n">
        <x:v>45622</x:v>
      </x:c>
      <x:c r="C805" s="75" t="n">
        <x:v>20</x:v>
      </x:c>
      <x:c r="D805" s="75" t="n">
        <x:v>21</x:v>
      </x:c>
      <x:c r="E805" s="75" t="n">
        <x:v>28</x:v>
      </x:c>
      <x:c r="F805" s="75" t="n">
        <x:v>32</x:v>
      </x:c>
      <x:c r="G805" s="75" t="n">
        <x:v>37</x:v>
      </x:c>
      <x:c r="H805" s="75" t="n">
        <x:v>1</x:v>
      </x:c>
      <x:c r="I805" s="75" t="n">
        <x:v>5</x:v>
      </x:c>
      <x:c r="J805" s="75" t="n">
        <x:v>50</x:v>
      </x:c>
      <x:c r="K805" s="75" t="n">
        <x:v>12</x:v>
      </x:c>
      <x:c r="L805" s="75" t="str">
        <x:v>R3_5of50_2of12</x:v>
      </x:c>
      <x:c r="M805" s="213" t="str">
        <x:v>S2_post_2024_studio_change_sensitivity_only</x:v>
      </x:c>
      <x:c r="N805" s="213" t="str">
        <x:v>Tuesday</x:v>
      </x:c>
      <x:c r="O805" s="213" t="str">
        <x:v>LottoMetrics full-history export</x:v>
      </x:c>
      <x:c r="P805" s="213" t="str">
        <x:v>Cross-checked: OPAP uploads + public archive</x:v>
      </x:c>
      <x:c r="Q805" s="54" t="str"/>
    </x:row>
    <x:row r="806">
      <x:c r="A806" s="74" t="n">
        <x:v>803</x:v>
      </x:c>
      <x:c r="B806" s="217" t="n">
        <x:v>45625</x:v>
      </x:c>
      <x:c r="C806" s="75" t="n">
        <x:v>10</x:v>
      </x:c>
      <x:c r="D806" s="75" t="n">
        <x:v>19</x:v>
      </x:c>
      <x:c r="E806" s="75" t="n">
        <x:v>24</x:v>
      </x:c>
      <x:c r="F806" s="75" t="n">
        <x:v>25</x:v>
      </x:c>
      <x:c r="G806" s="75" t="n">
        <x:v>40</x:v>
      </x:c>
      <x:c r="H806" s="75" t="n">
        <x:v>5</x:v>
      </x:c>
      <x:c r="I806" s="75" t="n">
        <x:v>9</x:v>
      </x:c>
      <x:c r="J806" s="75" t="n">
        <x:v>50</x:v>
      </x:c>
      <x:c r="K806" s="75" t="n">
        <x:v>12</x:v>
      </x:c>
      <x:c r="L806" s="75" t="str">
        <x:v>R3_5of50_2of12</x:v>
      </x:c>
      <x:c r="M806" s="213" t="str">
        <x:v>S2_post_2024_studio_change_sensitivity_only</x:v>
      </x:c>
      <x:c r="N806" s="213" t="str">
        <x:v>Friday</x:v>
      </x:c>
      <x:c r="O806" s="213" t="str">
        <x:v>LottoMetrics full-history export</x:v>
      </x:c>
      <x:c r="P806" s="213" t="str">
        <x:v>Cross-checked: OPAP uploads + public archive</x:v>
      </x:c>
      <x:c r="Q806" s="54" t="str"/>
    </x:row>
    <x:row r="807">
      <x:c r="A807" s="74" t="n">
        <x:v>804</x:v>
      </x:c>
      <x:c r="B807" s="217" t="n">
        <x:v>45629</x:v>
      </x:c>
      <x:c r="C807" s="75" t="n">
        <x:v>7</x:v>
      </x:c>
      <x:c r="D807" s="75" t="n">
        <x:v>20</x:v>
      </x:c>
      <x:c r="E807" s="75" t="n">
        <x:v>23</x:v>
      </x:c>
      <x:c r="F807" s="75" t="n">
        <x:v>24</x:v>
      </x:c>
      <x:c r="G807" s="75" t="n">
        <x:v>37</x:v>
      </x:c>
      <x:c r="H807" s="75" t="n">
        <x:v>4</x:v>
      </x:c>
      <x:c r="I807" s="75" t="n">
        <x:v>10</x:v>
      </x:c>
      <x:c r="J807" s="75" t="n">
        <x:v>50</x:v>
      </x:c>
      <x:c r="K807" s="75" t="n">
        <x:v>12</x:v>
      </x:c>
      <x:c r="L807" s="75" t="str">
        <x:v>R3_5of50_2of12</x:v>
      </x:c>
      <x:c r="M807" s="213" t="str">
        <x:v>S2_post_2024_studio_change_sensitivity_only</x:v>
      </x:c>
      <x:c r="N807" s="213" t="str">
        <x:v>Tuesday</x:v>
      </x:c>
      <x:c r="O807" s="213" t="str">
        <x:v>LottoMetrics full-history export</x:v>
      </x:c>
      <x:c r="P807" s="213" t="str">
        <x:v>Cross-checked: OPAP uploads + public archive</x:v>
      </x:c>
      <x:c r="Q807" s="54" t="str"/>
    </x:row>
    <x:row r="808">
      <x:c r="A808" s="74" t="n">
        <x:v>805</x:v>
      </x:c>
      <x:c r="B808" s="217" t="n">
        <x:v>45632</x:v>
      </x:c>
      <x:c r="C808" s="75" t="n">
        <x:v>8</x:v>
      </x:c>
      <x:c r="D808" s="75" t="n">
        <x:v>14</x:v>
      </x:c>
      <x:c r="E808" s="75" t="n">
        <x:v>45</x:v>
      </x:c>
      <x:c r="F808" s="75" t="n">
        <x:v>47</x:v>
      </x:c>
      <x:c r="G808" s="75" t="n">
        <x:v>50</x:v>
      </x:c>
      <x:c r="H808" s="75" t="n">
        <x:v>2</x:v>
      </x:c>
      <x:c r="I808" s="75" t="n">
        <x:v>12</x:v>
      </x:c>
      <x:c r="J808" s="75" t="n">
        <x:v>50</x:v>
      </x:c>
      <x:c r="K808" s="75" t="n">
        <x:v>12</x:v>
      </x:c>
      <x:c r="L808" s="75" t="str">
        <x:v>R3_5of50_2of12</x:v>
      </x:c>
      <x:c r="M808" s="213" t="str">
        <x:v>S2_post_2024_studio_change_sensitivity_only</x:v>
      </x:c>
      <x:c r="N808" s="213" t="str">
        <x:v>Friday</x:v>
      </x:c>
      <x:c r="O808" s="213" t="str">
        <x:v>LottoMetrics full-history export</x:v>
      </x:c>
      <x:c r="P808" s="213" t="str">
        <x:v>Cross-checked: OPAP uploads + public archive</x:v>
      </x:c>
      <x:c r="Q808" s="54" t="str"/>
    </x:row>
    <x:row r="809">
      <x:c r="A809" s="74" t="n">
        <x:v>806</x:v>
      </x:c>
      <x:c r="B809" s="217" t="n">
        <x:v>45636</x:v>
      </x:c>
      <x:c r="C809" s="75" t="n">
        <x:v>17</x:v>
      </x:c>
      <x:c r="D809" s="75" t="n">
        <x:v>23</x:v>
      </x:c>
      <x:c r="E809" s="75" t="n">
        <x:v>30</x:v>
      </x:c>
      <x:c r="F809" s="75" t="n">
        <x:v>41</x:v>
      </x:c>
      <x:c r="G809" s="75" t="n">
        <x:v>43</x:v>
      </x:c>
      <x:c r="H809" s="75" t="n">
        <x:v>4</x:v>
      </x:c>
      <x:c r="I809" s="75" t="n">
        <x:v>11</x:v>
      </x:c>
      <x:c r="J809" s="75" t="n">
        <x:v>50</x:v>
      </x:c>
      <x:c r="K809" s="75" t="n">
        <x:v>12</x:v>
      </x:c>
      <x:c r="L809" s="75" t="str">
        <x:v>R3_5of50_2of12</x:v>
      </x:c>
      <x:c r="M809" s="213" t="str">
        <x:v>S2_post_2024_studio_change_sensitivity_only</x:v>
      </x:c>
      <x:c r="N809" s="213" t="str">
        <x:v>Tuesday</x:v>
      </x:c>
      <x:c r="O809" s="213" t="str">
        <x:v>LottoMetrics full-history export</x:v>
      </x:c>
      <x:c r="P809" s="213" t="str">
        <x:v>Cross-checked: OPAP uploads + public archive</x:v>
      </x:c>
      <x:c r="Q809" s="54" t="str"/>
    </x:row>
    <x:row r="810">
      <x:c r="A810" s="74" t="n">
        <x:v>807</x:v>
      </x:c>
      <x:c r="B810" s="217" t="n">
        <x:v>45639</x:v>
      </x:c>
      <x:c r="C810" s="75" t="n">
        <x:v>1</x:v>
      </x:c>
      <x:c r="D810" s="75" t="n">
        <x:v>4</x:v>
      </x:c>
      <x:c r="E810" s="75" t="n">
        <x:v>19</x:v>
      </x:c>
      <x:c r="F810" s="75" t="n">
        <x:v>35</x:v>
      </x:c>
      <x:c r="G810" s="75" t="n">
        <x:v>42</x:v>
      </x:c>
      <x:c r="H810" s="75" t="n">
        <x:v>1</x:v>
      </x:c>
      <x:c r="I810" s="75" t="n">
        <x:v>3</x:v>
      </x:c>
      <x:c r="J810" s="75" t="n">
        <x:v>50</x:v>
      </x:c>
      <x:c r="K810" s="75" t="n">
        <x:v>12</x:v>
      </x:c>
      <x:c r="L810" s="75" t="str">
        <x:v>R3_5of50_2of12</x:v>
      </x:c>
      <x:c r="M810" s="213" t="str">
        <x:v>S2_post_2024_studio_change_sensitivity_only</x:v>
      </x:c>
      <x:c r="N810" s="213" t="str">
        <x:v>Friday</x:v>
      </x:c>
      <x:c r="O810" s="213" t="str">
        <x:v>LottoMetrics full-history export</x:v>
      </x:c>
      <x:c r="P810" s="213" t="str">
        <x:v>Cross-checked: OPAP uploads + public archive</x:v>
      </x:c>
      <x:c r="Q810" s="54" t="str"/>
    </x:row>
    <x:row r="811">
      <x:c r="A811" s="74" t="n">
        <x:v>808</x:v>
      </x:c>
      <x:c r="B811" s="217" t="n">
        <x:v>45643</x:v>
      </x:c>
      <x:c r="C811" s="75" t="n">
        <x:v>11</x:v>
      </x:c>
      <x:c r="D811" s="75" t="n">
        <x:v>14</x:v>
      </x:c>
      <x:c r="E811" s="75" t="n">
        <x:v>18</x:v>
      </x:c>
      <x:c r="F811" s="75" t="n">
        <x:v>35</x:v>
      </x:c>
      <x:c r="G811" s="75" t="n">
        <x:v>42</x:v>
      </x:c>
      <x:c r="H811" s="75" t="n">
        <x:v>4</x:v>
      </x:c>
      <x:c r="I811" s="75" t="n">
        <x:v>11</x:v>
      </x:c>
      <x:c r="J811" s="75" t="n">
        <x:v>50</x:v>
      </x:c>
      <x:c r="K811" s="75" t="n">
        <x:v>12</x:v>
      </x:c>
      <x:c r="L811" s="75" t="str">
        <x:v>R3_5of50_2of12</x:v>
      </x:c>
      <x:c r="M811" s="213" t="str">
        <x:v>S2_post_2024_studio_change_sensitivity_only</x:v>
      </x:c>
      <x:c r="N811" s="213" t="str">
        <x:v>Tuesday</x:v>
      </x:c>
      <x:c r="O811" s="213" t="str">
        <x:v>LottoMetrics full-history export</x:v>
      </x:c>
      <x:c r="P811" s="213" t="str">
        <x:v>Cross-checked: OPAP uploads + public archive</x:v>
      </x:c>
      <x:c r="Q811" s="54" t="str"/>
    </x:row>
    <x:row r="812">
      <x:c r="A812" s="74" t="n">
        <x:v>809</x:v>
      </x:c>
      <x:c r="B812" s="217" t="n">
        <x:v>45646</x:v>
      </x:c>
      <x:c r="C812" s="75" t="n">
        <x:v>1</x:v>
      </x:c>
      <x:c r="D812" s="75" t="n">
        <x:v>3</x:v>
      </x:c>
      <x:c r="E812" s="75" t="n">
        <x:v>10</x:v>
      </x:c>
      <x:c r="F812" s="75" t="n">
        <x:v>32</x:v>
      </x:c>
      <x:c r="G812" s="75" t="n">
        <x:v>44</x:v>
      </x:c>
      <x:c r="H812" s="75" t="n">
        <x:v>1</x:v>
      </x:c>
      <x:c r="I812" s="75" t="n">
        <x:v>8</x:v>
      </x:c>
      <x:c r="J812" s="75" t="n">
        <x:v>50</x:v>
      </x:c>
      <x:c r="K812" s="75" t="n">
        <x:v>12</x:v>
      </x:c>
      <x:c r="L812" s="75" t="str">
        <x:v>R3_5of50_2of12</x:v>
      </x:c>
      <x:c r="M812" s="213" t="str">
        <x:v>S2_post_2024_studio_change_sensitivity_only</x:v>
      </x:c>
      <x:c r="N812" s="213" t="str">
        <x:v>Friday</x:v>
      </x:c>
      <x:c r="O812" s="213" t="str">
        <x:v>LottoMetrics full-history export</x:v>
      </x:c>
      <x:c r="P812" s="213" t="str">
        <x:v>Cross-checked: OPAP uploads + public archive</x:v>
      </x:c>
      <x:c r="Q812" s="54" t="str"/>
    </x:row>
    <x:row r="813">
      <x:c r="A813" s="74" t="n">
        <x:v>810</x:v>
      </x:c>
      <x:c r="B813" s="217" t="n">
        <x:v>45650</x:v>
      </x:c>
      <x:c r="C813" s="75" t="n">
        <x:v>9</x:v>
      </x:c>
      <x:c r="D813" s="75" t="n">
        <x:v>15</x:v>
      </x:c>
      <x:c r="E813" s="75" t="n">
        <x:v>28</x:v>
      </x:c>
      <x:c r="F813" s="75" t="n">
        <x:v>36</x:v>
      </x:c>
      <x:c r="G813" s="75" t="n">
        <x:v>39</x:v>
      </x:c>
      <x:c r="H813" s="75" t="n">
        <x:v>6</x:v>
      </x:c>
      <x:c r="I813" s="75" t="n">
        <x:v>7</x:v>
      </x:c>
      <x:c r="J813" s="75" t="n">
        <x:v>50</x:v>
      </x:c>
      <x:c r="K813" s="75" t="n">
        <x:v>12</x:v>
      </x:c>
      <x:c r="L813" s="75" t="str">
        <x:v>R3_5of50_2of12</x:v>
      </x:c>
      <x:c r="M813" s="213" t="str">
        <x:v>S2_post_2024_studio_change_sensitivity_only</x:v>
      </x:c>
      <x:c r="N813" s="213" t="str">
        <x:v>Tuesday</x:v>
      </x:c>
      <x:c r="O813" s="213" t="str">
        <x:v>LottoMetrics full-history export</x:v>
      </x:c>
      <x:c r="P813" s="213" t="str">
        <x:v>Cross-checked: OPAP uploads + public archive</x:v>
      </x:c>
      <x:c r="Q813" s="54" t="str"/>
    </x:row>
    <x:row r="814">
      <x:c r="A814" s="74" t="n">
        <x:v>811</x:v>
      </x:c>
      <x:c r="B814" s="217" t="n">
        <x:v>45653</x:v>
      </x:c>
      <x:c r="C814" s="75" t="n">
        <x:v>1</x:v>
      </x:c>
      <x:c r="D814" s="75" t="n">
        <x:v>9</x:v>
      </x:c>
      <x:c r="E814" s="75" t="n">
        <x:v>25</x:v>
      </x:c>
      <x:c r="F814" s="75" t="n">
        <x:v>27</x:v>
      </x:c>
      <x:c r="G814" s="75" t="n">
        <x:v>37</x:v>
      </x:c>
      <x:c r="H814" s="75" t="n">
        <x:v>6</x:v>
      </x:c>
      <x:c r="I814" s="75" t="n">
        <x:v>8</x:v>
      </x:c>
      <x:c r="J814" s="75" t="n">
        <x:v>50</x:v>
      </x:c>
      <x:c r="K814" s="75" t="n">
        <x:v>12</x:v>
      </x:c>
      <x:c r="L814" s="75" t="str">
        <x:v>R3_5of50_2of12</x:v>
      </x:c>
      <x:c r="M814" s="213" t="str">
        <x:v>S2_post_2024_studio_change_sensitivity_only</x:v>
      </x:c>
      <x:c r="N814" s="213" t="str">
        <x:v>Friday</x:v>
      </x:c>
      <x:c r="O814" s="213" t="str">
        <x:v>LottoMetrics full-history export</x:v>
      </x:c>
      <x:c r="P814" s="213" t="str">
        <x:v>Cross-checked: OPAP uploads + public archive</x:v>
      </x:c>
      <x:c r="Q814" s="54" t="str"/>
    </x:row>
    <x:row r="815">
      <x:c r="A815" s="74" t="n">
        <x:v>812</x:v>
      </x:c>
      <x:c r="B815" s="217" t="n">
        <x:v>45657</x:v>
      </x:c>
      <x:c r="C815" s="75" t="n">
        <x:v>2</x:v>
      </x:c>
      <x:c r="D815" s="75" t="n">
        <x:v>21</x:v>
      </x:c>
      <x:c r="E815" s="75" t="n">
        <x:v>26</x:v>
      </x:c>
      <x:c r="F815" s="75" t="n">
        <x:v>34</x:v>
      </x:c>
      <x:c r="G815" s="75" t="n">
        <x:v>49</x:v>
      </x:c>
      <x:c r="H815" s="75" t="n">
        <x:v>7</x:v>
      </x:c>
      <x:c r="I815" s="75" t="n">
        <x:v>12</x:v>
      </x:c>
      <x:c r="J815" s="75" t="n">
        <x:v>50</x:v>
      </x:c>
      <x:c r="K815" s="75" t="n">
        <x:v>12</x:v>
      </x:c>
      <x:c r="L815" s="75" t="str">
        <x:v>R3_5of50_2of12</x:v>
      </x:c>
      <x:c r="M815" s="213" t="str">
        <x:v>S2_post_2024_studio_change_sensitivity_only</x:v>
      </x:c>
      <x:c r="N815" s="213" t="str">
        <x:v>Tuesday</x:v>
      </x:c>
      <x:c r="O815" s="213" t="str">
        <x:v>LottoMetrics full-history export</x:v>
      </x:c>
      <x:c r="P815" s="213" t="str">
        <x:v>Cross-checked: OPAP uploads + public archive</x:v>
      </x:c>
      <x:c r="Q815" s="54" t="str"/>
    </x:row>
    <x:row r="816">
      <x:c r="A816" s="74" t="n">
        <x:v>813</x:v>
      </x:c>
      <x:c r="B816" s="217" t="n">
        <x:v>45660</x:v>
      </x:c>
      <x:c r="C816" s="75" t="n">
        <x:v>1</x:v>
      </x:c>
      <x:c r="D816" s="75" t="n">
        <x:v>20</x:v>
      </x:c>
      <x:c r="E816" s="75" t="n">
        <x:v>21</x:v>
      </x:c>
      <x:c r="F816" s="75" t="n">
        <x:v>27</x:v>
      </x:c>
      <x:c r="G816" s="75" t="n">
        <x:v>29</x:v>
      </x:c>
      <x:c r="H816" s="75" t="n">
        <x:v>8</x:v>
      </x:c>
      <x:c r="I816" s="75" t="n">
        <x:v>10</x:v>
      </x:c>
      <x:c r="J816" s="75" t="n">
        <x:v>50</x:v>
      </x:c>
      <x:c r="K816" s="75" t="n">
        <x:v>12</x:v>
      </x:c>
      <x:c r="L816" s="75" t="str">
        <x:v>R3_5of50_2of12</x:v>
      </x:c>
      <x:c r="M816" s="213" t="str">
        <x:v>S2_post_2024_studio_change_sensitivity_only</x:v>
      </x:c>
      <x:c r="N816" s="213" t="str">
        <x:v>Friday</x:v>
      </x:c>
      <x:c r="O816" s="213" t="str">
        <x:v>LottoMetrics full-history export</x:v>
      </x:c>
      <x:c r="P816" s="213" t="str">
        <x:v>Cross-checked: OPAP uploads + public archive</x:v>
      </x:c>
      <x:c r="Q816" s="54" t="str"/>
    </x:row>
    <x:row r="817">
      <x:c r="A817" s="74" t="n">
        <x:v>814</x:v>
      </x:c>
      <x:c r="B817" s="217" t="n">
        <x:v>45664</x:v>
      </x:c>
      <x:c r="C817" s="75" t="n">
        <x:v>1</x:v>
      </x:c>
      <x:c r="D817" s="75" t="n">
        <x:v>16</x:v>
      </x:c>
      <x:c r="E817" s="75" t="n">
        <x:v>20</x:v>
      </x:c>
      <x:c r="F817" s="75" t="n">
        <x:v>23</x:v>
      </x:c>
      <x:c r="G817" s="75" t="n">
        <x:v>44</x:v>
      </x:c>
      <x:c r="H817" s="75" t="n">
        <x:v>5</x:v>
      </x:c>
      <x:c r="I817" s="75" t="n">
        <x:v>9</x:v>
      </x:c>
      <x:c r="J817" s="75" t="n">
        <x:v>50</x:v>
      </x:c>
      <x:c r="K817" s="75" t="n">
        <x:v>12</x:v>
      </x:c>
      <x:c r="L817" s="75" t="str">
        <x:v>R3_5of50_2of12</x:v>
      </x:c>
      <x:c r="M817" s="213" t="str">
        <x:v>S2_post_2024_studio_change_sensitivity_only</x:v>
      </x:c>
      <x:c r="N817" s="213" t="str">
        <x:v>Tuesday</x:v>
      </x:c>
      <x:c r="O817" s="213" t="str">
        <x:v>LottoMetrics full-history export</x:v>
      </x:c>
      <x:c r="P817" s="213" t="str">
        <x:v>Cross-checked: OPAP uploads + public archive</x:v>
      </x:c>
      <x:c r="Q817" s="54" t="str"/>
    </x:row>
    <x:row r="818">
      <x:c r="A818" s="74" t="n">
        <x:v>815</x:v>
      </x:c>
      <x:c r="B818" s="217" t="n">
        <x:v>45667</x:v>
      </x:c>
      <x:c r="C818" s="75" t="n">
        <x:v>17</x:v>
      </x:c>
      <x:c r="D818" s="75" t="n">
        <x:v>34</x:v>
      </x:c>
      <x:c r="E818" s="75" t="n">
        <x:v>38</x:v>
      </x:c>
      <x:c r="F818" s="75" t="n">
        <x:v>42</x:v>
      </x:c>
      <x:c r="G818" s="75" t="n">
        <x:v>48</x:v>
      </x:c>
      <x:c r="H818" s="75" t="n">
        <x:v>2</x:v>
      </x:c>
      <x:c r="I818" s="75" t="n">
        <x:v>11</x:v>
      </x:c>
      <x:c r="J818" s="75" t="n">
        <x:v>50</x:v>
      </x:c>
      <x:c r="K818" s="75" t="n">
        <x:v>12</x:v>
      </x:c>
      <x:c r="L818" s="75" t="str">
        <x:v>R3_5of50_2of12</x:v>
      </x:c>
      <x:c r="M818" s="213" t="str">
        <x:v>S2_post_2024_studio_change_sensitivity_only</x:v>
      </x:c>
      <x:c r="N818" s="213" t="str">
        <x:v>Friday</x:v>
      </x:c>
      <x:c r="O818" s="213" t="str">
        <x:v>LottoMetrics full-history export</x:v>
      </x:c>
      <x:c r="P818" s="213" t="str">
        <x:v>Cross-checked: OPAP uploads + public archive</x:v>
      </x:c>
      <x:c r="Q818" s="54" t="str"/>
    </x:row>
    <x:row r="819">
      <x:c r="A819" s="74" t="n">
        <x:v>816</x:v>
      </x:c>
      <x:c r="B819" s="217" t="n">
        <x:v>45671</x:v>
      </x:c>
      <x:c r="C819" s="75" t="n">
        <x:v>10</x:v>
      </x:c>
      <x:c r="D819" s="75" t="n">
        <x:v>11</x:v>
      </x:c>
      <x:c r="E819" s="75" t="n">
        <x:v>17</x:v>
      </x:c>
      <x:c r="F819" s="75" t="n">
        <x:v>20</x:v>
      </x:c>
      <x:c r="G819" s="75" t="n">
        <x:v>30</x:v>
      </x:c>
      <x:c r="H819" s="75" t="n">
        <x:v>2</x:v>
      </x:c>
      <x:c r="I819" s="75" t="n">
        <x:v>6</x:v>
      </x:c>
      <x:c r="J819" s="75" t="n">
        <x:v>50</x:v>
      </x:c>
      <x:c r="K819" s="75" t="n">
        <x:v>12</x:v>
      </x:c>
      <x:c r="L819" s="75" t="str">
        <x:v>R3_5of50_2of12</x:v>
      </x:c>
      <x:c r="M819" s="213" t="str">
        <x:v>S2_post_2024_studio_change_sensitivity_only</x:v>
      </x:c>
      <x:c r="N819" s="213" t="str">
        <x:v>Tuesday</x:v>
      </x:c>
      <x:c r="O819" s="213" t="str">
        <x:v>LottoMetrics full-history export</x:v>
      </x:c>
      <x:c r="P819" s="213" t="str">
        <x:v>Cross-checked: OPAP uploads + public archive</x:v>
      </x:c>
      <x:c r="Q819" s="54" t="str"/>
    </x:row>
    <x:row r="820">
      <x:c r="A820" s="74" t="n">
        <x:v>817</x:v>
      </x:c>
      <x:c r="B820" s="217" t="n">
        <x:v>45674</x:v>
      </x:c>
      <x:c r="C820" s="75" t="n">
        <x:v>7</x:v>
      </x:c>
      <x:c r="D820" s="75" t="n">
        <x:v>9</x:v>
      </x:c>
      <x:c r="E820" s="75" t="n">
        <x:v>14</x:v>
      </x:c>
      <x:c r="F820" s="75" t="n">
        <x:v>18</x:v>
      </x:c>
      <x:c r="G820" s="75" t="n">
        <x:v>31</x:v>
      </x:c>
      <x:c r="H820" s="75" t="n">
        <x:v>7</x:v>
      </x:c>
      <x:c r="I820" s="75" t="n">
        <x:v>8</x:v>
      </x:c>
      <x:c r="J820" s="75" t="n">
        <x:v>50</x:v>
      </x:c>
      <x:c r="K820" s="75" t="n">
        <x:v>12</x:v>
      </x:c>
      <x:c r="L820" s="75" t="str">
        <x:v>R3_5of50_2of12</x:v>
      </x:c>
      <x:c r="M820" s="213" t="str">
        <x:v>S2_post_2024_studio_change_sensitivity_only</x:v>
      </x:c>
      <x:c r="N820" s="213" t="str">
        <x:v>Friday</x:v>
      </x:c>
      <x:c r="O820" s="213" t="str">
        <x:v>LottoMetrics full-history export</x:v>
      </x:c>
      <x:c r="P820" s="213" t="str">
        <x:v>Cross-checked: OPAP uploads + public archive</x:v>
      </x:c>
      <x:c r="Q820" s="54" t="str"/>
    </x:row>
    <x:row r="821">
      <x:c r="A821" s="74" t="n">
        <x:v>818</x:v>
      </x:c>
      <x:c r="B821" s="217" t="n">
        <x:v>45678</x:v>
      </x:c>
      <x:c r="C821" s="75" t="n">
        <x:v>3</x:v>
      </x:c>
      <x:c r="D821" s="75" t="n">
        <x:v>17</x:v>
      </x:c>
      <x:c r="E821" s="75" t="n">
        <x:v>22</x:v>
      </x:c>
      <x:c r="F821" s="75" t="n">
        <x:v>28</x:v>
      </x:c>
      <x:c r="G821" s="75" t="n">
        <x:v>40</x:v>
      </x:c>
      <x:c r="H821" s="75" t="n">
        <x:v>4</x:v>
      </x:c>
      <x:c r="I821" s="75" t="n">
        <x:v>9</x:v>
      </x:c>
      <x:c r="J821" s="75" t="n">
        <x:v>50</x:v>
      </x:c>
      <x:c r="K821" s="75" t="n">
        <x:v>12</x:v>
      </x:c>
      <x:c r="L821" s="75" t="str">
        <x:v>R3_5of50_2of12</x:v>
      </x:c>
      <x:c r="M821" s="213" t="str">
        <x:v>S2_post_2024_studio_change_sensitivity_only</x:v>
      </x:c>
      <x:c r="N821" s="213" t="str">
        <x:v>Tuesday</x:v>
      </x:c>
      <x:c r="O821" s="213" t="str">
        <x:v>LottoMetrics full-history export</x:v>
      </x:c>
      <x:c r="P821" s="213" t="str">
        <x:v>Cross-checked: OPAP uploads + public archive</x:v>
      </x:c>
      <x:c r="Q821" s="54" t="str"/>
    </x:row>
    <x:row r="822">
      <x:c r="A822" s="74" t="n">
        <x:v>819</x:v>
      </x:c>
      <x:c r="B822" s="217" t="n">
        <x:v>45681</x:v>
      </x:c>
      <x:c r="C822" s="75" t="n">
        <x:v>2</x:v>
      </x:c>
      <x:c r="D822" s="75" t="n">
        <x:v>9</x:v>
      </x:c>
      <x:c r="E822" s="75" t="n">
        <x:v>16</x:v>
      </x:c>
      <x:c r="F822" s="75" t="n">
        <x:v>46</x:v>
      </x:c>
      <x:c r="G822" s="75" t="n">
        <x:v>47</x:v>
      </x:c>
      <x:c r="H822" s="75" t="n">
        <x:v>3</x:v>
      </x:c>
      <x:c r="I822" s="75" t="n">
        <x:v>9</x:v>
      </x:c>
      <x:c r="J822" s="75" t="n">
        <x:v>50</x:v>
      </x:c>
      <x:c r="K822" s="75" t="n">
        <x:v>12</x:v>
      </x:c>
      <x:c r="L822" s="75" t="str">
        <x:v>R3_5of50_2of12</x:v>
      </x:c>
      <x:c r="M822" s="213" t="str">
        <x:v>S2_post_2024_studio_change_sensitivity_only</x:v>
      </x:c>
      <x:c r="N822" s="213" t="str">
        <x:v>Friday</x:v>
      </x:c>
      <x:c r="O822" s="213" t="str">
        <x:v>Uploaded OPAP file + independent web verification</x:v>
      </x:c>
      <x:c r="P822" s="213" t="str">
        <x:v>Cross-checked: OPAP uploads + public archive</x:v>
      </x:c>
      <x:c r="Q822" s="54" t="str">
        <x:v>Corrected source discrepancy</x:v>
      </x:c>
    </x:row>
    <x:row r="823">
      <x:c r="A823" s="74" t="n">
        <x:v>820</x:v>
      </x:c>
      <x:c r="B823" s="217" t="n">
        <x:v>45685</x:v>
      </x:c>
      <x:c r="C823" s="75" t="n">
        <x:v>2</x:v>
      </x:c>
      <x:c r="D823" s="75" t="n">
        <x:v>7</x:v>
      </x:c>
      <x:c r="E823" s="75" t="n">
        <x:v>28</x:v>
      </x:c>
      <x:c r="F823" s="75" t="n">
        <x:v>43</x:v>
      </x:c>
      <x:c r="G823" s="75" t="n">
        <x:v>46</x:v>
      </x:c>
      <x:c r="H823" s="75" t="n">
        <x:v>5</x:v>
      </x:c>
      <x:c r="I823" s="75" t="n">
        <x:v>12</x:v>
      </x:c>
      <x:c r="J823" s="75" t="n">
        <x:v>50</x:v>
      </x:c>
      <x:c r="K823" s="75" t="n">
        <x:v>12</x:v>
      </x:c>
      <x:c r="L823" s="75" t="str">
        <x:v>R3_5of50_2of12</x:v>
      </x:c>
      <x:c r="M823" s="213" t="str">
        <x:v>S2_post_2024_studio_change_sensitivity_only</x:v>
      </x:c>
      <x:c r="N823" s="213" t="str">
        <x:v>Tuesday</x:v>
      </x:c>
      <x:c r="O823" s="213" t="str">
        <x:v>LottoMetrics full-history export</x:v>
      </x:c>
      <x:c r="P823" s="213" t="str">
        <x:v>Cross-checked: OPAP uploads + public archive</x:v>
      </x:c>
      <x:c r="Q823" s="54" t="str"/>
    </x:row>
    <x:row r="824">
      <x:c r="A824" s="74" t="n">
        <x:v>821</x:v>
      </x:c>
      <x:c r="B824" s="217" t="n">
        <x:v>45688</x:v>
      </x:c>
      <x:c r="C824" s="75" t="n">
        <x:v>1</x:v>
      </x:c>
      <x:c r="D824" s="75" t="n">
        <x:v>23</x:v>
      </x:c>
      <x:c r="E824" s="75" t="n">
        <x:v>32</x:v>
      </x:c>
      <x:c r="F824" s="75" t="n">
        <x:v>42</x:v>
      </x:c>
      <x:c r="G824" s="75" t="n">
        <x:v>47</x:v>
      </x:c>
      <x:c r="H824" s="75" t="n">
        <x:v>4</x:v>
      </x:c>
      <x:c r="I824" s="75" t="n">
        <x:v>11</x:v>
      </x:c>
      <x:c r="J824" s="75" t="n">
        <x:v>50</x:v>
      </x:c>
      <x:c r="K824" s="75" t="n">
        <x:v>12</x:v>
      </x:c>
      <x:c r="L824" s="75" t="str">
        <x:v>R3_5of50_2of12</x:v>
      </x:c>
      <x:c r="M824" s="213" t="str">
        <x:v>S2_post_2024_studio_change_sensitivity_only</x:v>
      </x:c>
      <x:c r="N824" s="213" t="str">
        <x:v>Friday</x:v>
      </x:c>
      <x:c r="O824" s="213" t="str">
        <x:v>LottoMetrics full-history export</x:v>
      </x:c>
      <x:c r="P824" s="213" t="str">
        <x:v>Cross-checked: OPAP uploads + public archive</x:v>
      </x:c>
      <x:c r="Q824" s="54" t="str"/>
    </x:row>
    <x:row r="825">
      <x:c r="A825" s="74" t="n">
        <x:v>822</x:v>
      </x:c>
      <x:c r="B825" s="217" t="n">
        <x:v>45692</x:v>
      </x:c>
      <x:c r="C825" s="75" t="n">
        <x:v>10</x:v>
      </x:c>
      <x:c r="D825" s="75" t="n">
        <x:v>18</x:v>
      </x:c>
      <x:c r="E825" s="75" t="n">
        <x:v>21</x:v>
      </x:c>
      <x:c r="F825" s="75" t="n">
        <x:v>41</x:v>
      </x:c>
      <x:c r="G825" s="75" t="n">
        <x:v>42</x:v>
      </x:c>
      <x:c r="H825" s="75" t="n">
        <x:v>3</x:v>
      </x:c>
      <x:c r="I825" s="75" t="n">
        <x:v>9</x:v>
      </x:c>
      <x:c r="J825" s="75" t="n">
        <x:v>50</x:v>
      </x:c>
      <x:c r="K825" s="75" t="n">
        <x:v>12</x:v>
      </x:c>
      <x:c r="L825" s="75" t="str">
        <x:v>R3_5of50_2of12</x:v>
      </x:c>
      <x:c r="M825" s="213" t="str">
        <x:v>S2_post_2024_studio_change_sensitivity_only</x:v>
      </x:c>
      <x:c r="N825" s="213" t="str">
        <x:v>Tuesday</x:v>
      </x:c>
      <x:c r="O825" s="213" t="str">
        <x:v>LottoMetrics full-history export</x:v>
      </x:c>
      <x:c r="P825" s="213" t="str">
        <x:v>Cross-checked: OPAP uploads + public archive</x:v>
      </x:c>
      <x:c r="Q825" s="54" t="str"/>
    </x:row>
    <x:row r="826">
      <x:c r="A826" s="74" t="n">
        <x:v>823</x:v>
      </x:c>
      <x:c r="B826" s="217" t="n">
        <x:v>45695</x:v>
      </x:c>
      <x:c r="C826" s="75" t="n">
        <x:v>15</x:v>
      </x:c>
      <x:c r="D826" s="75" t="n">
        <x:v>17</x:v>
      </x:c>
      <x:c r="E826" s="75" t="n">
        <x:v>27</x:v>
      </x:c>
      <x:c r="F826" s="75" t="n">
        <x:v>33</x:v>
      </x:c>
      <x:c r="G826" s="75" t="n">
        <x:v>45</x:v>
      </x:c>
      <x:c r="H826" s="75" t="n">
        <x:v>5</x:v>
      </x:c>
      <x:c r="I826" s="75" t="n">
        <x:v>9</x:v>
      </x:c>
      <x:c r="J826" s="75" t="n">
        <x:v>50</x:v>
      </x:c>
      <x:c r="K826" s="75" t="n">
        <x:v>12</x:v>
      </x:c>
      <x:c r="L826" s="75" t="str">
        <x:v>R3_5of50_2of12</x:v>
      </x:c>
      <x:c r="M826" s="213" t="str">
        <x:v>S2_post_2024_studio_change_sensitivity_only</x:v>
      </x:c>
      <x:c r="N826" s="213" t="str">
        <x:v>Friday</x:v>
      </x:c>
      <x:c r="O826" s="213" t="str">
        <x:v>LottoMetrics full-history export</x:v>
      </x:c>
      <x:c r="P826" s="213" t="str">
        <x:v>Cross-checked: OPAP uploads + public archive</x:v>
      </x:c>
      <x:c r="Q826" s="54" t="str"/>
    </x:row>
    <x:row r="827">
      <x:c r="A827" s="74" t="n">
        <x:v>824</x:v>
      </x:c>
      <x:c r="B827" s="217" t="n">
        <x:v>45699</x:v>
      </x:c>
      <x:c r="C827" s="75" t="n">
        <x:v>3</x:v>
      </x:c>
      <x:c r="D827" s="75" t="n">
        <x:v>12</x:v>
      </x:c>
      <x:c r="E827" s="75" t="n">
        <x:v>22</x:v>
      </x:c>
      <x:c r="F827" s="75" t="n">
        <x:v>28</x:v>
      </x:c>
      <x:c r="G827" s="75" t="n">
        <x:v>47</x:v>
      </x:c>
      <x:c r="H827" s="75" t="n">
        <x:v>1</x:v>
      </x:c>
      <x:c r="I827" s="75" t="n">
        <x:v>12</x:v>
      </x:c>
      <x:c r="J827" s="75" t="n">
        <x:v>50</x:v>
      </x:c>
      <x:c r="K827" s="75" t="n">
        <x:v>12</x:v>
      </x:c>
      <x:c r="L827" s="75" t="str">
        <x:v>R3_5of50_2of12</x:v>
      </x:c>
      <x:c r="M827" s="213" t="str">
        <x:v>S2_post_2024_studio_change_sensitivity_only</x:v>
      </x:c>
      <x:c r="N827" s="213" t="str">
        <x:v>Tuesday</x:v>
      </x:c>
      <x:c r="O827" s="213" t="str">
        <x:v>LottoMetrics full-history export</x:v>
      </x:c>
      <x:c r="P827" s="213" t="str">
        <x:v>Cross-checked: OPAP uploads + public archive</x:v>
      </x:c>
      <x:c r="Q827" s="54" t="str"/>
    </x:row>
    <x:row r="828">
      <x:c r="A828" s="74" t="n">
        <x:v>825</x:v>
      </x:c>
      <x:c r="B828" s="217" t="n">
        <x:v>45702</x:v>
      </x:c>
      <x:c r="C828" s="75" t="n">
        <x:v>12</x:v>
      </x:c>
      <x:c r="D828" s="75" t="n">
        <x:v>14</x:v>
      </x:c>
      <x:c r="E828" s="75" t="n">
        <x:v>18</x:v>
      </x:c>
      <x:c r="F828" s="75" t="n">
        <x:v>45</x:v>
      </x:c>
      <x:c r="G828" s="75" t="n">
        <x:v>50</x:v>
      </x:c>
      <x:c r="H828" s="75" t="n">
        <x:v>2</x:v>
      </x:c>
      <x:c r="I828" s="75" t="n">
        <x:v>10</x:v>
      </x:c>
      <x:c r="J828" s="75" t="n">
        <x:v>50</x:v>
      </x:c>
      <x:c r="K828" s="75" t="n">
        <x:v>12</x:v>
      </x:c>
      <x:c r="L828" s="75" t="str">
        <x:v>R3_5of50_2of12</x:v>
      </x:c>
      <x:c r="M828" s="213" t="str">
        <x:v>S2_post_2024_studio_change_sensitivity_only</x:v>
      </x:c>
      <x:c r="N828" s="213" t="str">
        <x:v>Friday</x:v>
      </x:c>
      <x:c r="O828" s="213" t="str">
        <x:v>LottoMetrics full-history export</x:v>
      </x:c>
      <x:c r="P828" s="213" t="str">
        <x:v>Cross-checked: OPAP uploads + public archive</x:v>
      </x:c>
      <x:c r="Q828" s="54" t="str"/>
    </x:row>
    <x:row r="829">
      <x:c r="A829" s="74" t="n">
        <x:v>826</x:v>
      </x:c>
      <x:c r="B829" s="217" t="n">
        <x:v>45706</x:v>
      </x:c>
      <x:c r="C829" s="75" t="n">
        <x:v>1</x:v>
      </x:c>
      <x:c r="D829" s="75" t="n">
        <x:v>9</x:v>
      </x:c>
      <x:c r="E829" s="75" t="n">
        <x:v>14</x:v>
      </x:c>
      <x:c r="F829" s="75" t="n">
        <x:v>19</x:v>
      </x:c>
      <x:c r="G829" s="75" t="n">
        <x:v>44</x:v>
      </x:c>
      <x:c r="H829" s="75" t="n">
        <x:v>2</x:v>
      </x:c>
      <x:c r="I829" s="75" t="n">
        <x:v>3</x:v>
      </x:c>
      <x:c r="J829" s="75" t="n">
        <x:v>50</x:v>
      </x:c>
      <x:c r="K829" s="75" t="n">
        <x:v>12</x:v>
      </x:c>
      <x:c r="L829" s="75" t="str">
        <x:v>R3_5of50_2of12</x:v>
      </x:c>
      <x:c r="M829" s="213" t="str">
        <x:v>S2_post_2024_studio_change_sensitivity_only</x:v>
      </x:c>
      <x:c r="N829" s="213" t="str">
        <x:v>Tuesday</x:v>
      </x:c>
      <x:c r="O829" s="213" t="str">
        <x:v>LottoMetrics full-history export</x:v>
      </x:c>
      <x:c r="P829" s="213" t="str">
        <x:v>Cross-checked: OPAP uploads + public archive</x:v>
      </x:c>
      <x:c r="Q829" s="54" t="str"/>
    </x:row>
    <x:row r="830">
      <x:c r="A830" s="74" t="n">
        <x:v>827</x:v>
      </x:c>
      <x:c r="B830" s="217" t="n">
        <x:v>45709</x:v>
      </x:c>
      <x:c r="C830" s="75" t="n">
        <x:v>18</x:v>
      </x:c>
      <x:c r="D830" s="75" t="n">
        <x:v>26</x:v>
      </x:c>
      <x:c r="E830" s="75" t="n">
        <x:v>29</x:v>
      </x:c>
      <x:c r="F830" s="75" t="n">
        <x:v>35</x:v>
      </x:c>
      <x:c r="G830" s="75" t="n">
        <x:v>36</x:v>
      </x:c>
      <x:c r="H830" s="75" t="n">
        <x:v>11</x:v>
      </x:c>
      <x:c r="I830" s="75" t="n">
        <x:v>12</x:v>
      </x:c>
      <x:c r="J830" s="75" t="n">
        <x:v>50</x:v>
      </x:c>
      <x:c r="K830" s="75" t="n">
        <x:v>12</x:v>
      </x:c>
      <x:c r="L830" s="75" t="str">
        <x:v>R3_5of50_2of12</x:v>
      </x:c>
      <x:c r="M830" s="213" t="str">
        <x:v>S2_post_2024_studio_change_sensitivity_only</x:v>
      </x:c>
      <x:c r="N830" s="213" t="str">
        <x:v>Friday</x:v>
      </x:c>
      <x:c r="O830" s="213" t="str">
        <x:v>LottoMetrics full-history export</x:v>
      </x:c>
      <x:c r="P830" s="213" t="str">
        <x:v>Cross-checked: OPAP uploads + public archive</x:v>
      </x:c>
      <x:c r="Q830" s="54" t="str"/>
    </x:row>
    <x:row r="831">
      <x:c r="A831" s="74" t="n">
        <x:v>828</x:v>
      </x:c>
      <x:c r="B831" s="217" t="n">
        <x:v>45713</x:v>
      </x:c>
      <x:c r="C831" s="75" t="n">
        <x:v>28</x:v>
      </x:c>
      <x:c r="D831" s="75" t="n">
        <x:v>31</x:v>
      </x:c>
      <x:c r="E831" s="75" t="n">
        <x:v>38</x:v>
      </x:c>
      <x:c r="F831" s="75" t="n">
        <x:v>42</x:v>
      </x:c>
      <x:c r="G831" s="75" t="n">
        <x:v>48</x:v>
      </x:c>
      <x:c r="H831" s="75" t="n">
        <x:v>3</x:v>
      </x:c>
      <x:c r="I831" s="75" t="n">
        <x:v>10</x:v>
      </x:c>
      <x:c r="J831" s="75" t="n">
        <x:v>50</x:v>
      </x:c>
      <x:c r="K831" s="75" t="n">
        <x:v>12</x:v>
      </x:c>
      <x:c r="L831" s="75" t="str">
        <x:v>R3_5of50_2of12</x:v>
      </x:c>
      <x:c r="M831" s="213" t="str">
        <x:v>S2_post_2024_studio_change_sensitivity_only</x:v>
      </x:c>
      <x:c r="N831" s="213" t="str">
        <x:v>Tuesday</x:v>
      </x:c>
      <x:c r="O831" s="213" t="str">
        <x:v>LottoMetrics full-history export</x:v>
      </x:c>
      <x:c r="P831" s="213" t="str">
        <x:v>Cross-checked: OPAP uploads + public archive</x:v>
      </x:c>
      <x:c r="Q831" s="54" t="str"/>
    </x:row>
    <x:row r="832">
      <x:c r="A832" s="74" t="n">
        <x:v>829</x:v>
      </x:c>
      <x:c r="B832" s="217" t="n">
        <x:v>45716</x:v>
      </x:c>
      <x:c r="C832" s="75" t="n">
        <x:v>3</x:v>
      </x:c>
      <x:c r="D832" s="75" t="n">
        <x:v>4</x:v>
      </x:c>
      <x:c r="E832" s="75" t="n">
        <x:v>13</x:v>
      </x:c>
      <x:c r="F832" s="75" t="n">
        <x:v>20</x:v>
      </x:c>
      <x:c r="G832" s="75" t="n">
        <x:v>21</x:v>
      </x:c>
      <x:c r="H832" s="75" t="n">
        <x:v>8</x:v>
      </x:c>
      <x:c r="I832" s="75" t="n">
        <x:v>12</x:v>
      </x:c>
      <x:c r="J832" s="75" t="n">
        <x:v>50</x:v>
      </x:c>
      <x:c r="K832" s="75" t="n">
        <x:v>12</x:v>
      </x:c>
      <x:c r="L832" s="75" t="str">
        <x:v>R3_5of50_2of12</x:v>
      </x:c>
      <x:c r="M832" s="213" t="str">
        <x:v>S2_post_2024_studio_change_sensitivity_only</x:v>
      </x:c>
      <x:c r="N832" s="213" t="str">
        <x:v>Friday</x:v>
      </x:c>
      <x:c r="O832" s="213" t="str">
        <x:v>LottoMetrics full-history export</x:v>
      </x:c>
      <x:c r="P832" s="213" t="str">
        <x:v>Cross-checked: OPAP uploads + public archive</x:v>
      </x:c>
      <x:c r="Q832" s="54" t="str"/>
    </x:row>
    <x:row r="833">
      <x:c r="A833" s="74" t="n">
        <x:v>830</x:v>
      </x:c>
      <x:c r="B833" s="217" t="n">
        <x:v>45720</x:v>
      </x:c>
      <x:c r="C833" s="75" t="n">
        <x:v>4</x:v>
      </x:c>
      <x:c r="D833" s="75" t="n">
        <x:v>12</x:v>
      </x:c>
      <x:c r="E833" s="75" t="n">
        <x:v>35</x:v>
      </x:c>
      <x:c r="F833" s="75" t="n">
        <x:v>37</x:v>
      </x:c>
      <x:c r="G833" s="75" t="n">
        <x:v>48</x:v>
      </x:c>
      <x:c r="H833" s="75" t="n">
        <x:v>4</x:v>
      </x:c>
      <x:c r="I833" s="75" t="n">
        <x:v>10</x:v>
      </x:c>
      <x:c r="J833" s="75" t="n">
        <x:v>50</x:v>
      </x:c>
      <x:c r="K833" s="75" t="n">
        <x:v>12</x:v>
      </x:c>
      <x:c r="L833" s="75" t="str">
        <x:v>R3_5of50_2of12</x:v>
      </x:c>
      <x:c r="M833" s="213" t="str">
        <x:v>S2_post_2024_studio_change_sensitivity_only</x:v>
      </x:c>
      <x:c r="N833" s="213" t="str">
        <x:v>Tuesday</x:v>
      </x:c>
      <x:c r="O833" s="213" t="str">
        <x:v>LottoMetrics full-history export</x:v>
      </x:c>
      <x:c r="P833" s="213" t="str">
        <x:v>Cross-checked: OPAP uploads + public archive</x:v>
      </x:c>
      <x:c r="Q833" s="54" t="str"/>
    </x:row>
    <x:row r="834">
      <x:c r="A834" s="74" t="n">
        <x:v>831</x:v>
      </x:c>
      <x:c r="B834" s="217" t="n">
        <x:v>45723</x:v>
      </x:c>
      <x:c r="C834" s="75" t="n">
        <x:v>7</x:v>
      </x:c>
      <x:c r="D834" s="75" t="n">
        <x:v>11</x:v>
      </x:c>
      <x:c r="E834" s="75" t="n">
        <x:v>12</x:v>
      </x:c>
      <x:c r="F834" s="75" t="n">
        <x:v>32</x:v>
      </x:c>
      <x:c r="G834" s="75" t="n">
        <x:v>42</x:v>
      </x:c>
      <x:c r="H834" s="75" t="n">
        <x:v>1</x:v>
      </x:c>
      <x:c r="I834" s="75" t="n">
        <x:v>4</x:v>
      </x:c>
      <x:c r="J834" s="75" t="n">
        <x:v>50</x:v>
      </x:c>
      <x:c r="K834" s="75" t="n">
        <x:v>12</x:v>
      </x:c>
      <x:c r="L834" s="75" t="str">
        <x:v>R3_5of50_2of12</x:v>
      </x:c>
      <x:c r="M834" s="213" t="str">
        <x:v>S2_post_2024_studio_change_sensitivity_only</x:v>
      </x:c>
      <x:c r="N834" s="213" t="str">
        <x:v>Friday</x:v>
      </x:c>
      <x:c r="O834" s="213" t="str">
        <x:v>LottoMetrics full-history export</x:v>
      </x:c>
      <x:c r="P834" s="213" t="str">
        <x:v>Cross-checked: OPAP uploads + public archive</x:v>
      </x:c>
      <x:c r="Q834" s="54" t="str"/>
    </x:row>
    <x:row r="835">
      <x:c r="A835" s="74" t="n">
        <x:v>832</x:v>
      </x:c>
      <x:c r="B835" s="217" t="n">
        <x:v>45727</x:v>
      </x:c>
      <x:c r="C835" s="75" t="n">
        <x:v>15</x:v>
      </x:c>
      <x:c r="D835" s="75" t="n">
        <x:v>18</x:v>
      </x:c>
      <x:c r="E835" s="75" t="n">
        <x:v>22</x:v>
      </x:c>
      <x:c r="F835" s="75" t="n">
        <x:v>23</x:v>
      </x:c>
      <x:c r="G835" s="75" t="n">
        <x:v>44</x:v>
      </x:c>
      <x:c r="H835" s="75" t="n">
        <x:v>1</x:v>
      </x:c>
      <x:c r="I835" s="75" t="n">
        <x:v>11</x:v>
      </x:c>
      <x:c r="J835" s="75" t="n">
        <x:v>50</x:v>
      </x:c>
      <x:c r="K835" s="75" t="n">
        <x:v>12</x:v>
      </x:c>
      <x:c r="L835" s="75" t="str">
        <x:v>R3_5of50_2of12</x:v>
      </x:c>
      <x:c r="M835" s="213" t="str">
        <x:v>S2_post_2024_studio_change_sensitivity_only</x:v>
      </x:c>
      <x:c r="N835" s="213" t="str">
        <x:v>Tuesday</x:v>
      </x:c>
      <x:c r="O835" s="213" t="str">
        <x:v>LottoMetrics full-history export</x:v>
      </x:c>
      <x:c r="P835" s="213" t="str">
        <x:v>Cross-checked: OPAP uploads + public archive</x:v>
      </x:c>
      <x:c r="Q835" s="54" t="str"/>
    </x:row>
    <x:row r="836">
      <x:c r="A836" s="74" t="n">
        <x:v>833</x:v>
      </x:c>
      <x:c r="B836" s="217" t="n">
        <x:v>45730</x:v>
      </x:c>
      <x:c r="C836" s="75" t="n">
        <x:v>6</x:v>
      </x:c>
      <x:c r="D836" s="75" t="n">
        <x:v>13</x:v>
      </x:c>
      <x:c r="E836" s="75" t="n">
        <x:v>28</x:v>
      </x:c>
      <x:c r="F836" s="75" t="n">
        <x:v>37</x:v>
      </x:c>
      <x:c r="G836" s="75" t="n">
        <x:v>45</x:v>
      </x:c>
      <x:c r="H836" s="75" t="n">
        <x:v>5</x:v>
      </x:c>
      <x:c r="I836" s="75" t="n">
        <x:v>10</x:v>
      </x:c>
      <x:c r="J836" s="75" t="n">
        <x:v>50</x:v>
      </x:c>
      <x:c r="K836" s="75" t="n">
        <x:v>12</x:v>
      </x:c>
      <x:c r="L836" s="75" t="str">
        <x:v>R3_5of50_2of12</x:v>
      </x:c>
      <x:c r="M836" s="213" t="str">
        <x:v>S2_post_2024_studio_change_sensitivity_only</x:v>
      </x:c>
      <x:c r="N836" s="213" t="str">
        <x:v>Friday</x:v>
      </x:c>
      <x:c r="O836" s="213" t="str">
        <x:v>LottoMetrics full-history export</x:v>
      </x:c>
      <x:c r="P836" s="213" t="str">
        <x:v>Cross-checked: OPAP uploads + public archive</x:v>
      </x:c>
      <x:c r="Q836" s="54" t="str"/>
    </x:row>
    <x:row r="837">
      <x:c r="A837" s="74" t="n">
        <x:v>834</x:v>
      </x:c>
      <x:c r="B837" s="217" t="n">
        <x:v>45734</x:v>
      </x:c>
      <x:c r="C837" s="75" t="n">
        <x:v>1</x:v>
      </x:c>
      <x:c r="D837" s="75" t="n">
        <x:v>7</x:v>
      </x:c>
      <x:c r="E837" s="75" t="n">
        <x:v>14</x:v>
      </x:c>
      <x:c r="F837" s="75" t="n">
        <x:v>47</x:v>
      </x:c>
      <x:c r="G837" s="75" t="n">
        <x:v>50</x:v>
      </x:c>
      <x:c r="H837" s="75" t="n">
        <x:v>3</x:v>
      </x:c>
      <x:c r="I837" s="75" t="n">
        <x:v>7</x:v>
      </x:c>
      <x:c r="J837" s="75" t="n">
        <x:v>50</x:v>
      </x:c>
      <x:c r="K837" s="75" t="n">
        <x:v>12</x:v>
      </x:c>
      <x:c r="L837" s="75" t="str">
        <x:v>R3_5of50_2of12</x:v>
      </x:c>
      <x:c r="M837" s="213" t="str">
        <x:v>S2_post_2024_studio_change_sensitivity_only</x:v>
      </x:c>
      <x:c r="N837" s="213" t="str">
        <x:v>Tuesday</x:v>
      </x:c>
      <x:c r="O837" s="213" t="str">
        <x:v>LottoMetrics full-history export</x:v>
      </x:c>
      <x:c r="P837" s="213" t="str">
        <x:v>Cross-checked: OPAP uploads + public archive</x:v>
      </x:c>
      <x:c r="Q837" s="54" t="str"/>
    </x:row>
    <x:row r="838">
      <x:c r="A838" s="74" t="n">
        <x:v>835</x:v>
      </x:c>
      <x:c r="B838" s="217" t="n">
        <x:v>45737</x:v>
      </x:c>
      <x:c r="C838" s="75" t="n">
        <x:v>8</x:v>
      </x:c>
      <x:c r="D838" s="75" t="n">
        <x:v>9</x:v>
      </x:c>
      <x:c r="E838" s="75" t="n">
        <x:v>12</x:v>
      </x:c>
      <x:c r="F838" s="75" t="n">
        <x:v>14</x:v>
      </x:c>
      <x:c r="G838" s="75" t="n">
        <x:v>16</x:v>
      </x:c>
      <x:c r="H838" s="75" t="n">
        <x:v>6</x:v>
      </x:c>
      <x:c r="I838" s="75" t="n">
        <x:v>12</x:v>
      </x:c>
      <x:c r="J838" s="75" t="n">
        <x:v>50</x:v>
      </x:c>
      <x:c r="K838" s="75" t="n">
        <x:v>12</x:v>
      </x:c>
      <x:c r="L838" s="75" t="str">
        <x:v>R3_5of50_2of12</x:v>
      </x:c>
      <x:c r="M838" s="213" t="str">
        <x:v>S2_post_2024_studio_change_sensitivity_only</x:v>
      </x:c>
      <x:c r="N838" s="213" t="str">
        <x:v>Friday</x:v>
      </x:c>
      <x:c r="O838" s="213" t="str">
        <x:v>LottoMetrics full-history export</x:v>
      </x:c>
      <x:c r="P838" s="213" t="str">
        <x:v>Cross-checked: OPAP uploads + public archive</x:v>
      </x:c>
      <x:c r="Q838" s="54" t="str"/>
    </x:row>
    <x:row r="839">
      <x:c r="A839" s="74" t="n">
        <x:v>836</x:v>
      </x:c>
      <x:c r="B839" s="217" t="n">
        <x:v>45741</x:v>
      </x:c>
      <x:c r="C839" s="75" t="n">
        <x:v>3</x:v>
      </x:c>
      <x:c r="D839" s="75" t="n">
        <x:v>11</x:v>
      </x:c>
      <x:c r="E839" s="75" t="n">
        <x:v>30</x:v>
      </x:c>
      <x:c r="F839" s="75" t="n">
        <x:v>35</x:v>
      </x:c>
      <x:c r="G839" s="75" t="n">
        <x:v>50</x:v>
      </x:c>
      <x:c r="H839" s="75" t="n">
        <x:v>4</x:v>
      </x:c>
      <x:c r="I839" s="75" t="n">
        <x:v>5</x:v>
      </x:c>
      <x:c r="J839" s="75" t="n">
        <x:v>50</x:v>
      </x:c>
      <x:c r="K839" s="75" t="n">
        <x:v>12</x:v>
      </x:c>
      <x:c r="L839" s="75" t="str">
        <x:v>R3_5of50_2of12</x:v>
      </x:c>
      <x:c r="M839" s="213" t="str">
        <x:v>S2_post_2024_studio_change_sensitivity_only</x:v>
      </x:c>
      <x:c r="N839" s="213" t="str">
        <x:v>Tuesday</x:v>
      </x:c>
      <x:c r="O839" s="213" t="str">
        <x:v>LottoMetrics full-history export</x:v>
      </x:c>
      <x:c r="P839" s="213" t="str">
        <x:v>Cross-checked: OPAP uploads + public archive</x:v>
      </x:c>
      <x:c r="Q839" s="54" t="str"/>
    </x:row>
    <x:row r="840">
      <x:c r="A840" s="74" t="n">
        <x:v>837</x:v>
      </x:c>
      <x:c r="B840" s="217" t="n">
        <x:v>45744</x:v>
      </x:c>
      <x:c r="C840" s="75" t="n">
        <x:v>2</x:v>
      </x:c>
      <x:c r="D840" s="75" t="n">
        <x:v>15</x:v>
      </x:c>
      <x:c r="E840" s="75" t="n">
        <x:v>19</x:v>
      </x:c>
      <x:c r="F840" s="75" t="n">
        <x:v>34</x:v>
      </x:c>
      <x:c r="G840" s="75" t="n">
        <x:v>49</x:v>
      </x:c>
      <x:c r="H840" s="75" t="n">
        <x:v>2</x:v>
      </x:c>
      <x:c r="I840" s="75" t="n">
        <x:v>6</x:v>
      </x:c>
      <x:c r="J840" s="75" t="n">
        <x:v>50</x:v>
      </x:c>
      <x:c r="K840" s="75" t="n">
        <x:v>12</x:v>
      </x:c>
      <x:c r="L840" s="75" t="str">
        <x:v>R3_5of50_2of12</x:v>
      </x:c>
      <x:c r="M840" s="213" t="str">
        <x:v>S2_post_2024_studio_change_sensitivity_only</x:v>
      </x:c>
      <x:c r="N840" s="213" t="str">
        <x:v>Friday</x:v>
      </x:c>
      <x:c r="O840" s="213" t="str">
        <x:v>LottoMetrics full-history export</x:v>
      </x:c>
      <x:c r="P840" s="213" t="str">
        <x:v>Cross-checked: OPAP uploads + public archive</x:v>
      </x:c>
      <x:c r="Q840" s="54" t="str"/>
    </x:row>
    <x:row r="841">
      <x:c r="A841" s="74" t="n">
        <x:v>838</x:v>
      </x:c>
      <x:c r="B841" s="217" t="n">
        <x:v>45748</x:v>
      </x:c>
      <x:c r="C841" s="75" t="n">
        <x:v>12</x:v>
      </x:c>
      <x:c r="D841" s="75" t="n">
        <x:v>17</x:v>
      </x:c>
      <x:c r="E841" s="75" t="n">
        <x:v>39</x:v>
      </x:c>
      <x:c r="F841" s="75" t="n">
        <x:v>41</x:v>
      </x:c>
      <x:c r="G841" s="75" t="n">
        <x:v>50</x:v>
      </x:c>
      <x:c r="H841" s="75" t="n">
        <x:v>9</x:v>
      </x:c>
      <x:c r="I841" s="75" t="n">
        <x:v>12</x:v>
      </x:c>
      <x:c r="J841" s="75" t="n">
        <x:v>50</x:v>
      </x:c>
      <x:c r="K841" s="75" t="n">
        <x:v>12</x:v>
      </x:c>
      <x:c r="L841" s="75" t="str">
        <x:v>R3_5of50_2of12</x:v>
      </x:c>
      <x:c r="M841" s="213" t="str">
        <x:v>S2_post_2024_studio_change_sensitivity_only</x:v>
      </x:c>
      <x:c r="N841" s="213" t="str">
        <x:v>Tuesday</x:v>
      </x:c>
      <x:c r="O841" s="213" t="str">
        <x:v>LottoMetrics full-history export</x:v>
      </x:c>
      <x:c r="P841" s="213" t="str">
        <x:v>Cross-checked: OPAP uploads + public archive</x:v>
      </x:c>
      <x:c r="Q841" s="54" t="str"/>
    </x:row>
    <x:row r="842">
      <x:c r="A842" s="74" t="n">
        <x:v>839</x:v>
      </x:c>
      <x:c r="B842" s="217" t="n">
        <x:v>45751</x:v>
      </x:c>
      <x:c r="C842" s="75" t="n">
        <x:v>19</x:v>
      </x:c>
      <x:c r="D842" s="75" t="n">
        <x:v>23</x:v>
      </x:c>
      <x:c r="E842" s="75" t="n">
        <x:v>29</x:v>
      </x:c>
      <x:c r="F842" s="75" t="n">
        <x:v>37</x:v>
      </x:c>
      <x:c r="G842" s="75" t="n">
        <x:v>38</x:v>
      </x:c>
      <x:c r="H842" s="75" t="n">
        <x:v>2</x:v>
      </x:c>
      <x:c r="I842" s="75" t="n">
        <x:v>8</x:v>
      </x:c>
      <x:c r="J842" s="75" t="n">
        <x:v>50</x:v>
      </x:c>
      <x:c r="K842" s="75" t="n">
        <x:v>12</x:v>
      </x:c>
      <x:c r="L842" s="75" t="str">
        <x:v>R3_5of50_2of12</x:v>
      </x:c>
      <x:c r="M842" s="213" t="str">
        <x:v>S2_post_2024_studio_change_sensitivity_only</x:v>
      </x:c>
      <x:c r="N842" s="213" t="str">
        <x:v>Friday</x:v>
      </x:c>
      <x:c r="O842" s="213" t="str">
        <x:v>LottoMetrics full-history export</x:v>
      </x:c>
      <x:c r="P842" s="213" t="str">
        <x:v>Cross-checked: OPAP uploads + public archive</x:v>
      </x:c>
      <x:c r="Q842" s="54" t="str"/>
    </x:row>
    <x:row r="843">
      <x:c r="A843" s="74" t="n">
        <x:v>840</x:v>
      </x:c>
      <x:c r="B843" s="217" t="n">
        <x:v>45755</x:v>
      </x:c>
      <x:c r="C843" s="75" t="n">
        <x:v>17</x:v>
      </x:c>
      <x:c r="D843" s="75" t="n">
        <x:v>39</x:v>
      </x:c>
      <x:c r="E843" s="75" t="n">
        <x:v>40</x:v>
      </x:c>
      <x:c r="F843" s="75" t="n">
        <x:v>41</x:v>
      </x:c>
      <x:c r="G843" s="75" t="n">
        <x:v>47</x:v>
      </x:c>
      <x:c r="H843" s="75" t="n">
        <x:v>5</x:v>
      </x:c>
      <x:c r="I843" s="75" t="n">
        <x:v>8</x:v>
      </x:c>
      <x:c r="J843" s="75" t="n">
        <x:v>50</x:v>
      </x:c>
      <x:c r="K843" s="75" t="n">
        <x:v>12</x:v>
      </x:c>
      <x:c r="L843" s="75" t="str">
        <x:v>R3_5of50_2of12</x:v>
      </x:c>
      <x:c r="M843" s="213" t="str">
        <x:v>S2_post_2024_studio_change_sensitivity_only</x:v>
      </x:c>
      <x:c r="N843" s="213" t="str">
        <x:v>Tuesday</x:v>
      </x:c>
      <x:c r="O843" s="213" t="str">
        <x:v>LottoMetrics full-history export</x:v>
      </x:c>
      <x:c r="P843" s="213" t="str">
        <x:v>Cross-checked: OPAP uploads + public archive</x:v>
      </x:c>
      <x:c r="Q843" s="54" t="str"/>
    </x:row>
    <x:row r="844">
      <x:c r="A844" s="74" t="n">
        <x:v>841</x:v>
      </x:c>
      <x:c r="B844" s="217" t="n">
        <x:v>45758</x:v>
      </x:c>
      <x:c r="C844" s="75" t="n">
        <x:v>2</x:v>
      </x:c>
      <x:c r="D844" s="75" t="n">
        <x:v>26</x:v>
      </x:c>
      <x:c r="E844" s="75" t="n">
        <x:v>27</x:v>
      </x:c>
      <x:c r="F844" s="75" t="n">
        <x:v>28</x:v>
      </x:c>
      <x:c r="G844" s="75" t="n">
        <x:v>49</x:v>
      </x:c>
      <x:c r="H844" s="75" t="n">
        <x:v>1</x:v>
      </x:c>
      <x:c r="I844" s="75" t="n">
        <x:v>10</x:v>
      </x:c>
      <x:c r="J844" s="75" t="n">
        <x:v>50</x:v>
      </x:c>
      <x:c r="K844" s="75" t="n">
        <x:v>12</x:v>
      </x:c>
      <x:c r="L844" s="75" t="str">
        <x:v>R3_5of50_2of12</x:v>
      </x:c>
      <x:c r="M844" s="213" t="str">
        <x:v>S2_post_2024_studio_change_sensitivity_only</x:v>
      </x:c>
      <x:c r="N844" s="213" t="str">
        <x:v>Friday</x:v>
      </x:c>
      <x:c r="O844" s="213" t="str">
        <x:v>LottoMetrics full-history export</x:v>
      </x:c>
      <x:c r="P844" s="213" t="str">
        <x:v>Cross-checked: OPAP uploads + public archive</x:v>
      </x:c>
      <x:c r="Q844" s="54" t="str"/>
    </x:row>
    <x:row r="845">
      <x:c r="A845" s="74" t="n">
        <x:v>842</x:v>
      </x:c>
      <x:c r="B845" s="217" t="n">
        <x:v>45762</x:v>
      </x:c>
      <x:c r="C845" s="75" t="n">
        <x:v>8</x:v>
      </x:c>
      <x:c r="D845" s="75" t="n">
        <x:v>11</x:v>
      </x:c>
      <x:c r="E845" s="75" t="n">
        <x:v>13</x:v>
      </x:c>
      <x:c r="F845" s="75" t="n">
        <x:v>33</x:v>
      </x:c>
      <x:c r="G845" s="75" t="n">
        <x:v>35</x:v>
      </x:c>
      <x:c r="H845" s="75" t="n">
        <x:v>1</x:v>
      </x:c>
      <x:c r="I845" s="75" t="n">
        <x:v>10</x:v>
      </x:c>
      <x:c r="J845" s="75" t="n">
        <x:v>50</x:v>
      </x:c>
      <x:c r="K845" s="75" t="n">
        <x:v>12</x:v>
      </x:c>
      <x:c r="L845" s="75" t="str">
        <x:v>R3_5of50_2of12</x:v>
      </x:c>
      <x:c r="M845" s="213" t="str">
        <x:v>S2_post_2024_studio_change_sensitivity_only</x:v>
      </x:c>
      <x:c r="N845" s="213" t="str">
        <x:v>Tuesday</x:v>
      </x:c>
      <x:c r="O845" s="213" t="str">
        <x:v>LottoMetrics full-history export</x:v>
      </x:c>
      <x:c r="P845" s="213" t="str">
        <x:v>Cross-checked: OPAP uploads + public archive</x:v>
      </x:c>
      <x:c r="Q845" s="54" t="str"/>
    </x:row>
    <x:row r="846">
      <x:c r="A846" s="74" t="n">
        <x:v>843</x:v>
      </x:c>
      <x:c r="B846" s="217" t="n">
        <x:v>45765</x:v>
      </x:c>
      <x:c r="C846" s="75" t="n">
        <x:v>7</x:v>
      </x:c>
      <x:c r="D846" s="75" t="n">
        <x:v>8</x:v>
      </x:c>
      <x:c r="E846" s="75" t="n">
        <x:v>12</x:v>
      </x:c>
      <x:c r="F846" s="75" t="n">
        <x:v>29</x:v>
      </x:c>
      <x:c r="G846" s="75" t="n">
        <x:v>44</x:v>
      </x:c>
      <x:c r="H846" s="75" t="n">
        <x:v>3</x:v>
      </x:c>
      <x:c r="I846" s="75" t="n">
        <x:v>12</x:v>
      </x:c>
      <x:c r="J846" s="75" t="n">
        <x:v>50</x:v>
      </x:c>
      <x:c r="K846" s="75" t="n">
        <x:v>12</x:v>
      </x:c>
      <x:c r="L846" s="75" t="str">
        <x:v>R3_5of50_2of12</x:v>
      </x:c>
      <x:c r="M846" s="213" t="str">
        <x:v>S2_post_2024_studio_change_sensitivity_only</x:v>
      </x:c>
      <x:c r="N846" s="213" t="str">
        <x:v>Friday</x:v>
      </x:c>
      <x:c r="O846" s="213" t="str">
        <x:v>LottoMetrics full-history export</x:v>
      </x:c>
      <x:c r="P846" s="213" t="str">
        <x:v>Cross-checked: OPAP uploads + public archive</x:v>
      </x:c>
      <x:c r="Q846" s="54" t="str"/>
    </x:row>
    <x:row r="847">
      <x:c r="A847" s="74" t="n">
        <x:v>844</x:v>
      </x:c>
      <x:c r="B847" s="217" t="n">
        <x:v>45769</x:v>
      </x:c>
      <x:c r="C847" s="75" t="n">
        <x:v>10</x:v>
      </x:c>
      <x:c r="D847" s="75" t="n">
        <x:v>16</x:v>
      </x:c>
      <x:c r="E847" s="75" t="n">
        <x:v>23</x:v>
      </x:c>
      <x:c r="F847" s="75" t="n">
        <x:v>29</x:v>
      </x:c>
      <x:c r="G847" s="75" t="n">
        <x:v>38</x:v>
      </x:c>
      <x:c r="H847" s="75" t="n">
        <x:v>3</x:v>
      </x:c>
      <x:c r="I847" s="75" t="n">
        <x:v>5</x:v>
      </x:c>
      <x:c r="J847" s="75" t="n">
        <x:v>50</x:v>
      </x:c>
      <x:c r="K847" s="75" t="n">
        <x:v>12</x:v>
      </x:c>
      <x:c r="L847" s="75" t="str">
        <x:v>R3_5of50_2of12</x:v>
      </x:c>
      <x:c r="M847" s="213" t="str">
        <x:v>S2_post_2024_studio_change_sensitivity_only</x:v>
      </x:c>
      <x:c r="N847" s="213" t="str">
        <x:v>Tuesday</x:v>
      </x:c>
      <x:c r="O847" s="213" t="str">
        <x:v>LottoMetrics full-history export</x:v>
      </x:c>
      <x:c r="P847" s="213" t="str">
        <x:v>Cross-checked: OPAP uploads + public archive</x:v>
      </x:c>
      <x:c r="Q847" s="54" t="str"/>
    </x:row>
    <x:row r="848">
      <x:c r="A848" s="74" t="n">
        <x:v>845</x:v>
      </x:c>
      <x:c r="B848" s="217" t="n">
        <x:v>45772</x:v>
      </x:c>
      <x:c r="C848" s="75" t="n">
        <x:v>13</x:v>
      </x:c>
      <x:c r="D848" s="75" t="n">
        <x:v>14</x:v>
      </x:c>
      <x:c r="E848" s="75" t="n">
        <x:v>40</x:v>
      </x:c>
      <x:c r="F848" s="75" t="n">
        <x:v>43</x:v>
      </x:c>
      <x:c r="G848" s="75" t="n">
        <x:v>45</x:v>
      </x:c>
      <x:c r="H848" s="75" t="n">
        <x:v>5</x:v>
      </x:c>
      <x:c r="I848" s="75" t="n">
        <x:v>8</x:v>
      </x:c>
      <x:c r="J848" s="75" t="n">
        <x:v>50</x:v>
      </x:c>
      <x:c r="K848" s="75" t="n">
        <x:v>12</x:v>
      </x:c>
      <x:c r="L848" s="75" t="str">
        <x:v>R3_5of50_2of12</x:v>
      </x:c>
      <x:c r="M848" s="213" t="str">
        <x:v>S2_post_2024_studio_change_sensitivity_only</x:v>
      </x:c>
      <x:c r="N848" s="213" t="str">
        <x:v>Friday</x:v>
      </x:c>
      <x:c r="O848" s="213" t="str">
        <x:v>LottoMetrics full-history export</x:v>
      </x:c>
      <x:c r="P848" s="213" t="str">
        <x:v>Cross-checked: OPAP uploads + public archive</x:v>
      </x:c>
      <x:c r="Q848" s="54" t="str"/>
    </x:row>
    <x:row r="849">
      <x:c r="A849" s="74" t="n">
        <x:v>846</x:v>
      </x:c>
      <x:c r="B849" s="217" t="n">
        <x:v>45776</x:v>
      </x:c>
      <x:c r="C849" s="75" t="n">
        <x:v>17</x:v>
      </x:c>
      <x:c r="D849" s="75" t="n">
        <x:v>21</x:v>
      </x:c>
      <x:c r="E849" s="75" t="n">
        <x:v>27</x:v>
      </x:c>
      <x:c r="F849" s="75" t="n">
        <x:v>30</x:v>
      </x:c>
      <x:c r="G849" s="75" t="n">
        <x:v>34</x:v>
      </x:c>
      <x:c r="H849" s="75" t="n">
        <x:v>8</x:v>
      </x:c>
      <x:c r="I849" s="75" t="n">
        <x:v>11</x:v>
      </x:c>
      <x:c r="J849" s="75" t="n">
        <x:v>50</x:v>
      </x:c>
      <x:c r="K849" s="75" t="n">
        <x:v>12</x:v>
      </x:c>
      <x:c r="L849" s="75" t="str">
        <x:v>R3_5of50_2of12</x:v>
      </x:c>
      <x:c r="M849" s="213" t="str">
        <x:v>S2_post_2024_studio_change_sensitivity_only</x:v>
      </x:c>
      <x:c r="N849" s="213" t="str">
        <x:v>Tuesday</x:v>
      </x:c>
      <x:c r="O849" s="213" t="str">
        <x:v>LottoMetrics full-history export</x:v>
      </x:c>
      <x:c r="P849" s="213" t="str">
        <x:v>Cross-checked: OPAP uploads + public archive</x:v>
      </x:c>
      <x:c r="Q849" s="54" t="str"/>
    </x:row>
    <x:row r="850">
      <x:c r="A850" s="74" t="n">
        <x:v>847</x:v>
      </x:c>
      <x:c r="B850" s="217" t="n">
        <x:v>45779</x:v>
      </x:c>
      <x:c r="C850" s="75" t="n">
        <x:v>3</x:v>
      </x:c>
      <x:c r="D850" s="75" t="n">
        <x:v>15</x:v>
      </x:c>
      <x:c r="E850" s="75" t="n">
        <x:v>22</x:v>
      </x:c>
      <x:c r="F850" s="75" t="n">
        <x:v>33</x:v>
      </x:c>
      <x:c r="G850" s="75" t="n">
        <x:v>35</x:v>
      </x:c>
      <x:c r="H850" s="75" t="n">
        <x:v>1</x:v>
      </x:c>
      <x:c r="I850" s="75" t="n">
        <x:v>7</x:v>
      </x:c>
      <x:c r="J850" s="75" t="n">
        <x:v>50</x:v>
      </x:c>
      <x:c r="K850" s="75" t="n">
        <x:v>12</x:v>
      </x:c>
      <x:c r="L850" s="75" t="str">
        <x:v>R3_5of50_2of12</x:v>
      </x:c>
      <x:c r="M850" s="213" t="str">
        <x:v>S2_post_2024_studio_change_sensitivity_only</x:v>
      </x:c>
      <x:c r="N850" s="213" t="str">
        <x:v>Friday</x:v>
      </x:c>
      <x:c r="O850" s="213" t="str">
        <x:v>LottoMetrics full-history export</x:v>
      </x:c>
      <x:c r="P850" s="213" t="str">
        <x:v>Cross-checked: OPAP uploads + public archive</x:v>
      </x:c>
      <x:c r="Q850" s="54" t="str"/>
    </x:row>
    <x:row r="851">
      <x:c r="A851" s="74" t="n">
        <x:v>848</x:v>
      </x:c>
      <x:c r="B851" s="217" t="n">
        <x:v>45783</x:v>
      </x:c>
      <x:c r="C851" s="75" t="n">
        <x:v>1</x:v>
      </x:c>
      <x:c r="D851" s="75" t="n">
        <x:v>21</x:v>
      </x:c>
      <x:c r="E851" s="75" t="n">
        <x:v>22</x:v>
      </x:c>
      <x:c r="F851" s="75" t="n">
        <x:v>46</x:v>
      </x:c>
      <x:c r="G851" s="75" t="n">
        <x:v>49</x:v>
      </x:c>
      <x:c r="H851" s="75" t="n">
        <x:v>9</x:v>
      </x:c>
      <x:c r="I851" s="75" t="n">
        <x:v>10</x:v>
      </x:c>
      <x:c r="J851" s="75" t="n">
        <x:v>50</x:v>
      </x:c>
      <x:c r="K851" s="75" t="n">
        <x:v>12</x:v>
      </x:c>
      <x:c r="L851" s="75" t="str">
        <x:v>R3_5of50_2of12</x:v>
      </x:c>
      <x:c r="M851" s="213" t="str">
        <x:v>S2_post_2024_studio_change_sensitivity_only</x:v>
      </x:c>
      <x:c r="N851" s="213" t="str">
        <x:v>Tuesday</x:v>
      </x:c>
      <x:c r="O851" s="213" t="str">
        <x:v>LottoMetrics full-history export</x:v>
      </x:c>
      <x:c r="P851" s="213" t="str">
        <x:v>Cross-checked: OPAP uploads + public archive</x:v>
      </x:c>
      <x:c r="Q851" s="54" t="str"/>
    </x:row>
    <x:row r="852">
      <x:c r="A852" s="74" t="n">
        <x:v>849</x:v>
      </x:c>
      <x:c r="B852" s="217" t="n">
        <x:v>45786</x:v>
      </x:c>
      <x:c r="C852" s="75" t="n">
        <x:v>1</x:v>
      </x:c>
      <x:c r="D852" s="75" t="n">
        <x:v>5</x:v>
      </x:c>
      <x:c r="E852" s="75" t="n">
        <x:v>27</x:v>
      </x:c>
      <x:c r="F852" s="75" t="n">
        <x:v>36</x:v>
      </x:c>
      <x:c r="G852" s="75" t="n">
        <x:v>43</x:v>
      </x:c>
      <x:c r="H852" s="75" t="n">
        <x:v>5</x:v>
      </x:c>
      <x:c r="I852" s="75" t="n">
        <x:v>9</x:v>
      </x:c>
      <x:c r="J852" s="75" t="n">
        <x:v>50</x:v>
      </x:c>
      <x:c r="K852" s="75" t="n">
        <x:v>12</x:v>
      </x:c>
      <x:c r="L852" s="75" t="str">
        <x:v>R3_5of50_2of12</x:v>
      </x:c>
      <x:c r="M852" s="213" t="str">
        <x:v>S2_post_2024_studio_change_sensitivity_only</x:v>
      </x:c>
      <x:c r="N852" s="213" t="str">
        <x:v>Friday</x:v>
      </x:c>
      <x:c r="O852" s="213" t="str">
        <x:v>LottoMetrics full-history export</x:v>
      </x:c>
      <x:c r="P852" s="213" t="str">
        <x:v>Cross-checked: OPAP uploads + public archive</x:v>
      </x:c>
      <x:c r="Q852" s="54" t="str"/>
    </x:row>
    <x:row r="853">
      <x:c r="A853" s="74" t="n">
        <x:v>850</x:v>
      </x:c>
      <x:c r="B853" s="217" t="n">
        <x:v>45790</x:v>
      </x:c>
      <x:c r="C853" s="75" t="n">
        <x:v>14</x:v>
      </x:c>
      <x:c r="D853" s="75" t="n">
        <x:v>16</x:v>
      </x:c>
      <x:c r="E853" s="75" t="n">
        <x:v>19</x:v>
      </x:c>
      <x:c r="F853" s="75" t="n">
        <x:v>33</x:v>
      </x:c>
      <x:c r="G853" s="75" t="n">
        <x:v>34</x:v>
      </x:c>
      <x:c r="H853" s="75" t="n">
        <x:v>5</x:v>
      </x:c>
      <x:c r="I853" s="75" t="n">
        <x:v>12</x:v>
      </x:c>
      <x:c r="J853" s="75" t="n">
        <x:v>50</x:v>
      </x:c>
      <x:c r="K853" s="75" t="n">
        <x:v>12</x:v>
      </x:c>
      <x:c r="L853" s="75" t="str">
        <x:v>R3_5of50_2of12</x:v>
      </x:c>
      <x:c r="M853" s="213" t="str">
        <x:v>S2_post_2024_studio_change_sensitivity_only</x:v>
      </x:c>
      <x:c r="N853" s="213" t="str">
        <x:v>Tuesday</x:v>
      </x:c>
      <x:c r="O853" s="213" t="str">
        <x:v>LottoMetrics full-history export</x:v>
      </x:c>
      <x:c r="P853" s="213" t="str">
        <x:v>Cross-checked: OPAP uploads + public archive</x:v>
      </x:c>
      <x:c r="Q853" s="54" t="str"/>
    </x:row>
    <x:row r="854">
      <x:c r="A854" s="74" t="n">
        <x:v>851</x:v>
      </x:c>
      <x:c r="B854" s="217" t="n">
        <x:v>45793</x:v>
      </x:c>
      <x:c r="C854" s="75" t="n">
        <x:v>6</x:v>
      </x:c>
      <x:c r="D854" s="75" t="n">
        <x:v>8</x:v>
      </x:c>
      <x:c r="E854" s="75" t="n">
        <x:v>15</x:v>
      </x:c>
      <x:c r="F854" s="75" t="n">
        <x:v>27</x:v>
      </x:c>
      <x:c r="G854" s="75" t="n">
        <x:v>39</x:v>
      </x:c>
      <x:c r="H854" s="75" t="n">
        <x:v>6</x:v>
      </x:c>
      <x:c r="I854" s="75" t="n">
        <x:v>12</x:v>
      </x:c>
      <x:c r="J854" s="75" t="n">
        <x:v>50</x:v>
      </x:c>
      <x:c r="K854" s="75" t="n">
        <x:v>12</x:v>
      </x:c>
      <x:c r="L854" s="75" t="str">
        <x:v>R3_5of50_2of12</x:v>
      </x:c>
      <x:c r="M854" s="213" t="str">
        <x:v>S2_post_2024_studio_change_sensitivity_only</x:v>
      </x:c>
      <x:c r="N854" s="213" t="str">
        <x:v>Friday</x:v>
      </x:c>
      <x:c r="O854" s="213" t="str">
        <x:v>LottoMetrics full-history export</x:v>
      </x:c>
      <x:c r="P854" s="213" t="str">
        <x:v>Cross-checked: OPAP uploads + public archive</x:v>
      </x:c>
      <x:c r="Q854" s="54" t="str"/>
    </x:row>
    <x:row r="855">
      <x:c r="A855" s="74" t="n">
        <x:v>852</x:v>
      </x:c>
      <x:c r="B855" s="217" t="n">
        <x:v>45797</x:v>
      </x:c>
      <x:c r="C855" s="75" t="n">
        <x:v>8</x:v>
      </x:c>
      <x:c r="D855" s="75" t="n">
        <x:v>19</x:v>
      </x:c>
      <x:c r="E855" s="75" t="n">
        <x:v>20</x:v>
      </x:c>
      <x:c r="F855" s="75" t="n">
        <x:v>21</x:v>
      </x:c>
      <x:c r="G855" s="75" t="n">
        <x:v>28</x:v>
      </x:c>
      <x:c r="H855" s="75" t="n">
        <x:v>7</x:v>
      </x:c>
      <x:c r="I855" s="75" t="n">
        <x:v>10</x:v>
      </x:c>
      <x:c r="J855" s="75" t="n">
        <x:v>50</x:v>
      </x:c>
      <x:c r="K855" s="75" t="n">
        <x:v>12</x:v>
      </x:c>
      <x:c r="L855" s="75" t="str">
        <x:v>R3_5of50_2of12</x:v>
      </x:c>
      <x:c r="M855" s="213" t="str">
        <x:v>S2_post_2024_studio_change_sensitivity_only</x:v>
      </x:c>
      <x:c r="N855" s="213" t="str">
        <x:v>Tuesday</x:v>
      </x:c>
      <x:c r="O855" s="213" t="str">
        <x:v>LottoMetrics full-history export</x:v>
      </x:c>
      <x:c r="P855" s="213" t="str">
        <x:v>Cross-checked: OPAP uploads + public archive</x:v>
      </x:c>
      <x:c r="Q855" s="54" t="str"/>
    </x:row>
    <x:row r="856">
      <x:c r="A856" s="74" t="n">
        <x:v>853</x:v>
      </x:c>
      <x:c r="B856" s="217" t="n">
        <x:v>45800</x:v>
      </x:c>
      <x:c r="C856" s="75" t="n">
        <x:v>11</x:v>
      </x:c>
      <x:c r="D856" s="75" t="n">
        <x:v>17</x:v>
      </x:c>
      <x:c r="E856" s="75" t="n">
        <x:v>19</x:v>
      </x:c>
      <x:c r="F856" s="75" t="n">
        <x:v>33</x:v>
      </x:c>
      <x:c r="G856" s="75" t="n">
        <x:v>40</x:v>
      </x:c>
      <x:c r="H856" s="75" t="n">
        <x:v>7</x:v>
      </x:c>
      <x:c r="I856" s="75" t="n">
        <x:v>12</x:v>
      </x:c>
      <x:c r="J856" s="75" t="n">
        <x:v>50</x:v>
      </x:c>
      <x:c r="K856" s="75" t="n">
        <x:v>12</x:v>
      </x:c>
      <x:c r="L856" s="75" t="str">
        <x:v>R3_5of50_2of12</x:v>
      </x:c>
      <x:c r="M856" s="213" t="str">
        <x:v>S2_post_2024_studio_change_sensitivity_only</x:v>
      </x:c>
      <x:c r="N856" s="213" t="str">
        <x:v>Friday</x:v>
      </x:c>
      <x:c r="O856" s="213" t="str">
        <x:v>LottoMetrics full-history export</x:v>
      </x:c>
      <x:c r="P856" s="213" t="str">
        <x:v>Cross-checked: OPAP uploads + public archive</x:v>
      </x:c>
      <x:c r="Q856" s="54" t="str"/>
    </x:row>
    <x:row r="857">
      <x:c r="A857" s="74" t="n">
        <x:v>854</x:v>
      </x:c>
      <x:c r="B857" s="217" t="n">
        <x:v>45804</x:v>
      </x:c>
      <x:c r="C857" s="75" t="n">
        <x:v>6</x:v>
      </x:c>
      <x:c r="D857" s="75" t="n">
        <x:v>9</x:v>
      </x:c>
      <x:c r="E857" s="75" t="n">
        <x:v>17</x:v>
      </x:c>
      <x:c r="F857" s="75" t="n">
        <x:v>25</x:v>
      </x:c>
      <x:c r="G857" s="75" t="n">
        <x:v>41</x:v>
      </x:c>
      <x:c r="H857" s="75" t="n">
        <x:v>4</x:v>
      </x:c>
      <x:c r="I857" s="75" t="n">
        <x:v>10</x:v>
      </x:c>
      <x:c r="J857" s="75" t="n">
        <x:v>50</x:v>
      </x:c>
      <x:c r="K857" s="75" t="n">
        <x:v>12</x:v>
      </x:c>
      <x:c r="L857" s="75" t="str">
        <x:v>R3_5of50_2of12</x:v>
      </x:c>
      <x:c r="M857" s="213" t="str">
        <x:v>S2_post_2024_studio_change_sensitivity_only</x:v>
      </x:c>
      <x:c r="N857" s="213" t="str">
        <x:v>Tuesday</x:v>
      </x:c>
      <x:c r="O857" s="213" t="str">
        <x:v>LottoMetrics full-history export</x:v>
      </x:c>
      <x:c r="P857" s="213" t="str">
        <x:v>Cross-checked: OPAP uploads + public archive</x:v>
      </x:c>
      <x:c r="Q857" s="54" t="str"/>
    </x:row>
    <x:row r="858">
      <x:c r="A858" s="74" t="n">
        <x:v>855</x:v>
      </x:c>
      <x:c r="B858" s="217" t="n">
        <x:v>45807</x:v>
      </x:c>
      <x:c r="C858" s="75" t="n">
        <x:v>4</x:v>
      </x:c>
      <x:c r="D858" s="75" t="n">
        <x:v>5</x:v>
      </x:c>
      <x:c r="E858" s="75" t="n">
        <x:v>26</x:v>
      </x:c>
      <x:c r="F858" s="75" t="n">
        <x:v>29</x:v>
      </x:c>
      <x:c r="G858" s="75" t="n">
        <x:v>43</x:v>
      </x:c>
      <x:c r="H858" s="75" t="n">
        <x:v>5</x:v>
      </x:c>
      <x:c r="I858" s="75" t="n">
        <x:v>9</x:v>
      </x:c>
      <x:c r="J858" s="75" t="n">
        <x:v>50</x:v>
      </x:c>
      <x:c r="K858" s="75" t="n">
        <x:v>12</x:v>
      </x:c>
      <x:c r="L858" s="75" t="str">
        <x:v>R3_5of50_2of12</x:v>
      </x:c>
      <x:c r="M858" s="213" t="str">
        <x:v>S2_post_2024_studio_change_sensitivity_only</x:v>
      </x:c>
      <x:c r="N858" s="213" t="str">
        <x:v>Friday</x:v>
      </x:c>
      <x:c r="O858" s="213" t="str">
        <x:v>LottoMetrics full-history export</x:v>
      </x:c>
      <x:c r="P858" s="213" t="str">
        <x:v>Cross-checked: OPAP uploads + public archive</x:v>
      </x:c>
      <x:c r="Q858" s="54" t="str"/>
    </x:row>
    <x:row r="859">
      <x:c r="A859" s="74" t="n">
        <x:v>856</x:v>
      </x:c>
      <x:c r="B859" s="217" t="n">
        <x:v>45811</x:v>
      </x:c>
      <x:c r="C859" s="75" t="n">
        <x:v>6</x:v>
      </x:c>
      <x:c r="D859" s="75" t="n">
        <x:v>8</x:v>
      </x:c>
      <x:c r="E859" s="75" t="n">
        <x:v>19</x:v>
      </x:c>
      <x:c r="F859" s="75" t="n">
        <x:v>26</x:v>
      </x:c>
      <x:c r="G859" s="75" t="n">
        <x:v>30</x:v>
      </x:c>
      <x:c r="H859" s="75" t="n">
        <x:v>1</x:v>
      </x:c>
      <x:c r="I859" s="75" t="n">
        <x:v>12</x:v>
      </x:c>
      <x:c r="J859" s="75" t="n">
        <x:v>50</x:v>
      </x:c>
      <x:c r="K859" s="75" t="n">
        <x:v>12</x:v>
      </x:c>
      <x:c r="L859" s="75" t="str">
        <x:v>R3_5of50_2of12</x:v>
      </x:c>
      <x:c r="M859" s="213" t="str">
        <x:v>S2_post_2024_studio_change_sensitivity_only</x:v>
      </x:c>
      <x:c r="N859" s="213" t="str">
        <x:v>Tuesday</x:v>
      </x:c>
      <x:c r="O859" s="213" t="str">
        <x:v>LottoMetrics full-history export</x:v>
      </x:c>
      <x:c r="P859" s="213" t="str">
        <x:v>Cross-checked: OPAP uploads + public archive</x:v>
      </x:c>
      <x:c r="Q859" s="54" t="str"/>
    </x:row>
    <x:row r="860">
      <x:c r="A860" s="74" t="n">
        <x:v>857</x:v>
      </x:c>
      <x:c r="B860" s="217" t="n">
        <x:v>45814</x:v>
      </x:c>
      <x:c r="C860" s="75" t="n">
        <x:v>7</x:v>
      </x:c>
      <x:c r="D860" s="75" t="n">
        <x:v>8</x:v>
      </x:c>
      <x:c r="E860" s="75" t="n">
        <x:v>11</x:v>
      </x:c>
      <x:c r="F860" s="75" t="n">
        <x:v>23</x:v>
      </x:c>
      <x:c r="G860" s="75" t="n">
        <x:v>39</x:v>
      </x:c>
      <x:c r="H860" s="75" t="n">
        <x:v>5</x:v>
      </x:c>
      <x:c r="I860" s="75" t="n">
        <x:v>11</x:v>
      </x:c>
      <x:c r="J860" s="75" t="n">
        <x:v>50</x:v>
      </x:c>
      <x:c r="K860" s="75" t="n">
        <x:v>12</x:v>
      </x:c>
      <x:c r="L860" s="75" t="str">
        <x:v>R3_5of50_2of12</x:v>
      </x:c>
      <x:c r="M860" s="213" t="str">
        <x:v>S2_post_2024_studio_change_sensitivity_only</x:v>
      </x:c>
      <x:c r="N860" s="213" t="str">
        <x:v>Friday</x:v>
      </x:c>
      <x:c r="O860" s="213" t="str">
        <x:v>LottoMetrics full-history export</x:v>
      </x:c>
      <x:c r="P860" s="213" t="str">
        <x:v>Cross-checked: OPAP uploads + public archive</x:v>
      </x:c>
      <x:c r="Q860" s="54" t="str"/>
    </x:row>
    <x:row r="861">
      <x:c r="A861" s="74" t="n">
        <x:v>858</x:v>
      </x:c>
      <x:c r="B861" s="217" t="n">
        <x:v>45818</x:v>
      </x:c>
      <x:c r="C861" s="75" t="n">
        <x:v>1</x:v>
      </x:c>
      <x:c r="D861" s="75" t="n">
        <x:v>17</x:v>
      </x:c>
      <x:c r="E861" s="75" t="n">
        <x:v>20</x:v>
      </x:c>
      <x:c r="F861" s="75" t="n">
        <x:v>28</x:v>
      </x:c>
      <x:c r="G861" s="75" t="n">
        <x:v>42</x:v>
      </x:c>
      <x:c r="H861" s="75" t="n">
        <x:v>2</x:v>
      </x:c>
      <x:c r="I861" s="75" t="n">
        <x:v>12</x:v>
      </x:c>
      <x:c r="J861" s="75" t="n">
        <x:v>50</x:v>
      </x:c>
      <x:c r="K861" s="75" t="n">
        <x:v>12</x:v>
      </x:c>
      <x:c r="L861" s="75" t="str">
        <x:v>R3_5of50_2of12</x:v>
      </x:c>
      <x:c r="M861" s="213" t="str">
        <x:v>S2_post_2024_studio_change_sensitivity_only</x:v>
      </x:c>
      <x:c r="N861" s="213" t="str">
        <x:v>Tuesday</x:v>
      </x:c>
      <x:c r="O861" s="213" t="str">
        <x:v>LottoMetrics full-history export</x:v>
      </x:c>
      <x:c r="P861" s="213" t="str">
        <x:v>Cross-checked: OPAP uploads + public archive</x:v>
      </x:c>
      <x:c r="Q861" s="54" t="str"/>
    </x:row>
    <x:row r="862">
      <x:c r="A862" s="74" t="n">
        <x:v>859</x:v>
      </x:c>
      <x:c r="B862" s="217" t="n">
        <x:v>45821</x:v>
      </x:c>
      <x:c r="C862" s="75" t="n">
        <x:v>1</x:v>
      </x:c>
      <x:c r="D862" s="75" t="n">
        <x:v>15</x:v>
      </x:c>
      <x:c r="E862" s="75" t="n">
        <x:v>18</x:v>
      </x:c>
      <x:c r="F862" s="75" t="n">
        <x:v>27</x:v>
      </x:c>
      <x:c r="G862" s="75" t="n">
        <x:v>46</x:v>
      </x:c>
      <x:c r="H862" s="75" t="n">
        <x:v>5</x:v>
      </x:c>
      <x:c r="I862" s="75" t="n">
        <x:v>9</x:v>
      </x:c>
      <x:c r="J862" s="75" t="n">
        <x:v>50</x:v>
      </x:c>
      <x:c r="K862" s="75" t="n">
        <x:v>12</x:v>
      </x:c>
      <x:c r="L862" s="75" t="str">
        <x:v>R3_5of50_2of12</x:v>
      </x:c>
      <x:c r="M862" s="213" t="str">
        <x:v>S2_post_2024_studio_change_sensitivity_only</x:v>
      </x:c>
      <x:c r="N862" s="213" t="str">
        <x:v>Friday</x:v>
      </x:c>
      <x:c r="O862" s="213" t="str">
        <x:v>LottoMetrics full-history export</x:v>
      </x:c>
      <x:c r="P862" s="213" t="str">
        <x:v>Cross-checked: OPAP uploads + public archive</x:v>
      </x:c>
      <x:c r="Q862" s="54" t="str"/>
    </x:row>
    <x:row r="863">
      <x:c r="A863" s="74" t="n">
        <x:v>860</x:v>
      </x:c>
      <x:c r="B863" s="217" t="n">
        <x:v>45825</x:v>
      </x:c>
      <x:c r="C863" s="75" t="n">
        <x:v>10</x:v>
      </x:c>
      <x:c r="D863" s="75" t="n">
        <x:v>13</x:v>
      </x:c>
      <x:c r="E863" s="75" t="n">
        <x:v>15</x:v>
      </x:c>
      <x:c r="F863" s="75" t="n">
        <x:v>33</x:v>
      </x:c>
      <x:c r="G863" s="75" t="n">
        <x:v>35</x:v>
      </x:c>
      <x:c r="H863" s="75" t="n">
        <x:v>7</x:v>
      </x:c>
      <x:c r="I863" s="75" t="n">
        <x:v>12</x:v>
      </x:c>
      <x:c r="J863" s="75" t="n">
        <x:v>50</x:v>
      </x:c>
      <x:c r="K863" s="75" t="n">
        <x:v>12</x:v>
      </x:c>
      <x:c r="L863" s="75" t="str">
        <x:v>R3_5of50_2of12</x:v>
      </x:c>
      <x:c r="M863" s="213" t="str">
        <x:v>S2_post_2024_studio_change_sensitivity_only</x:v>
      </x:c>
      <x:c r="N863" s="213" t="str">
        <x:v>Tuesday</x:v>
      </x:c>
      <x:c r="O863" s="213" t="str">
        <x:v>LottoMetrics full-history export</x:v>
      </x:c>
      <x:c r="P863" s="213" t="str">
        <x:v>Cross-checked: OPAP uploads + public archive</x:v>
      </x:c>
      <x:c r="Q863" s="54" t="str"/>
    </x:row>
    <x:row r="864">
      <x:c r="A864" s="74" t="n">
        <x:v>861</x:v>
      </x:c>
      <x:c r="B864" s="217" t="n">
        <x:v>45828</x:v>
      </x:c>
      <x:c r="C864" s="75" t="n">
        <x:v>6</x:v>
      </x:c>
      <x:c r="D864" s="75" t="n">
        <x:v>12</x:v>
      </x:c>
      <x:c r="E864" s="75" t="n">
        <x:v>18</x:v>
      </x:c>
      <x:c r="F864" s="75" t="n">
        <x:v>37</x:v>
      </x:c>
      <x:c r="G864" s="75" t="n">
        <x:v>46</x:v>
      </x:c>
      <x:c r="H864" s="75" t="n">
        <x:v>7</x:v>
      </x:c>
      <x:c r="I864" s="75" t="n">
        <x:v>9</x:v>
      </x:c>
      <x:c r="J864" s="75" t="n">
        <x:v>50</x:v>
      </x:c>
      <x:c r="K864" s="75" t="n">
        <x:v>12</x:v>
      </x:c>
      <x:c r="L864" s="75" t="str">
        <x:v>R3_5of50_2of12</x:v>
      </x:c>
      <x:c r="M864" s="213" t="str">
        <x:v>S2_post_2024_studio_change_sensitivity_only</x:v>
      </x:c>
      <x:c r="N864" s="213" t="str">
        <x:v>Friday</x:v>
      </x:c>
      <x:c r="O864" s="213" t="str">
        <x:v>LottoMetrics full-history export</x:v>
      </x:c>
      <x:c r="P864" s="213" t="str">
        <x:v>Cross-checked: OPAP uploads + public archive</x:v>
      </x:c>
      <x:c r="Q864" s="54" t="str"/>
    </x:row>
    <x:row r="865">
      <x:c r="A865" s="74" t="n">
        <x:v>862</x:v>
      </x:c>
      <x:c r="B865" s="217" t="n">
        <x:v>45832</x:v>
      </x:c>
      <x:c r="C865" s="75" t="n">
        <x:v>20</x:v>
      </x:c>
      <x:c r="D865" s="75" t="n">
        <x:v>31</x:v>
      </x:c>
      <x:c r="E865" s="75" t="n">
        <x:v>35</x:v>
      </x:c>
      <x:c r="F865" s="75" t="n">
        <x:v>40</x:v>
      </x:c>
      <x:c r="G865" s="75" t="n">
        <x:v>44</x:v>
      </x:c>
      <x:c r="H865" s="75" t="n">
        <x:v>3</x:v>
      </x:c>
      <x:c r="I865" s="75" t="n">
        <x:v>4</x:v>
      </x:c>
      <x:c r="J865" s="75" t="n">
        <x:v>50</x:v>
      </x:c>
      <x:c r="K865" s="75" t="n">
        <x:v>12</x:v>
      </x:c>
      <x:c r="L865" s="75" t="str">
        <x:v>R3_5of50_2of12</x:v>
      </x:c>
      <x:c r="M865" s="213" t="str">
        <x:v>S2_post_2024_studio_change_sensitivity_only</x:v>
      </x:c>
      <x:c r="N865" s="213" t="str">
        <x:v>Tuesday</x:v>
      </x:c>
      <x:c r="O865" s="213" t="str">
        <x:v>LottoMetrics full-history export</x:v>
      </x:c>
      <x:c r="P865" s="213" t="str">
        <x:v>Cross-checked: OPAP uploads + public archive</x:v>
      </x:c>
      <x:c r="Q865" s="54" t="str"/>
    </x:row>
    <x:row r="866">
      <x:c r="A866" s="74" t="n">
        <x:v>863</x:v>
      </x:c>
      <x:c r="B866" s="217" t="n">
        <x:v>45835</x:v>
      </x:c>
      <x:c r="C866" s="75" t="n">
        <x:v>4</x:v>
      </x:c>
      <x:c r="D866" s="75" t="n">
        <x:v>14</x:v>
      </x:c>
      <x:c r="E866" s="75" t="n">
        <x:v>26</x:v>
      </x:c>
      <x:c r="F866" s="75" t="n">
        <x:v>29</x:v>
      </x:c>
      <x:c r="G866" s="75" t="n">
        <x:v>50</x:v>
      </x:c>
      <x:c r="H866" s="75" t="n">
        <x:v>3</x:v>
      </x:c>
      <x:c r="I866" s="75" t="n">
        <x:v>12</x:v>
      </x:c>
      <x:c r="J866" s="75" t="n">
        <x:v>50</x:v>
      </x:c>
      <x:c r="K866" s="75" t="n">
        <x:v>12</x:v>
      </x:c>
      <x:c r="L866" s="75" t="str">
        <x:v>R3_5of50_2of12</x:v>
      </x:c>
      <x:c r="M866" s="213" t="str">
        <x:v>S2_post_2024_studio_change_sensitivity_only</x:v>
      </x:c>
      <x:c r="N866" s="213" t="str">
        <x:v>Friday</x:v>
      </x:c>
      <x:c r="O866" s="213" t="str">
        <x:v>LottoMetrics full-history export</x:v>
      </x:c>
      <x:c r="P866" s="213" t="str">
        <x:v>Cross-checked: OPAP uploads + public archive</x:v>
      </x:c>
      <x:c r="Q866" s="54" t="str"/>
    </x:row>
    <x:row r="867">
      <x:c r="A867" s="74" t="n">
        <x:v>864</x:v>
      </x:c>
      <x:c r="B867" s="217" t="n">
        <x:v>45839</x:v>
      </x:c>
      <x:c r="C867" s="75" t="n">
        <x:v>1</x:v>
      </x:c>
      <x:c r="D867" s="75" t="n">
        <x:v>9</x:v>
      </x:c>
      <x:c r="E867" s="75" t="n">
        <x:v>10</x:v>
      </x:c>
      <x:c r="F867" s="75" t="n">
        <x:v>12</x:v>
      </x:c>
      <x:c r="G867" s="75" t="n">
        <x:v>14</x:v>
      </x:c>
      <x:c r="H867" s="75" t="n">
        <x:v>6</x:v>
      </x:c>
      <x:c r="I867" s="75" t="n">
        <x:v>8</x:v>
      </x:c>
      <x:c r="J867" s="75" t="n">
        <x:v>50</x:v>
      </x:c>
      <x:c r="K867" s="75" t="n">
        <x:v>12</x:v>
      </x:c>
      <x:c r="L867" s="75" t="str">
        <x:v>R3_5of50_2of12</x:v>
      </x:c>
      <x:c r="M867" s="213" t="str">
        <x:v>S2_post_2024_studio_change_sensitivity_only</x:v>
      </x:c>
      <x:c r="N867" s="213" t="str">
        <x:v>Tuesday</x:v>
      </x:c>
      <x:c r="O867" s="213" t="str">
        <x:v>LottoMetrics full-history export</x:v>
      </x:c>
      <x:c r="P867" s="213" t="str">
        <x:v>Cross-checked: OPAP uploads + public archive</x:v>
      </x:c>
      <x:c r="Q867" s="54" t="str"/>
    </x:row>
    <x:row r="868">
      <x:c r="A868" s="74" t="n">
        <x:v>865</x:v>
      </x:c>
      <x:c r="B868" s="217" t="n">
        <x:v>45842</x:v>
      </x:c>
      <x:c r="C868" s="75" t="n">
        <x:v>14</x:v>
      </x:c>
      <x:c r="D868" s="75" t="n">
        <x:v>23</x:v>
      </x:c>
      <x:c r="E868" s="75" t="n">
        <x:v>34</x:v>
      </x:c>
      <x:c r="F868" s="75" t="n">
        <x:v>41</x:v>
      </x:c>
      <x:c r="G868" s="75" t="n">
        <x:v>44</x:v>
      </x:c>
      <x:c r="H868" s="75" t="n">
        <x:v>5</x:v>
      </x:c>
      <x:c r="I868" s="75" t="n">
        <x:v>10</x:v>
      </x:c>
      <x:c r="J868" s="75" t="n">
        <x:v>50</x:v>
      </x:c>
      <x:c r="K868" s="75" t="n">
        <x:v>12</x:v>
      </x:c>
      <x:c r="L868" s="75" t="str">
        <x:v>R3_5of50_2of12</x:v>
      </x:c>
      <x:c r="M868" s="213" t="str">
        <x:v>S2_post_2024_studio_change_sensitivity_only</x:v>
      </x:c>
      <x:c r="N868" s="213" t="str">
        <x:v>Friday</x:v>
      </x:c>
      <x:c r="O868" s="213" t="str">
        <x:v>LottoMetrics full-history export</x:v>
      </x:c>
      <x:c r="P868" s="213" t="str">
        <x:v>Cross-checked: OPAP uploads + public archive</x:v>
      </x:c>
      <x:c r="Q868" s="54" t="str"/>
    </x:row>
    <x:row r="869">
      <x:c r="A869" s="74" t="n">
        <x:v>866</x:v>
      </x:c>
      <x:c r="B869" s="217" t="n">
        <x:v>45846</x:v>
      </x:c>
      <x:c r="C869" s="75" t="n">
        <x:v>21</x:v>
      </x:c>
      <x:c r="D869" s="75" t="n">
        <x:v>27</x:v>
      </x:c>
      <x:c r="E869" s="75" t="n">
        <x:v>29</x:v>
      </x:c>
      <x:c r="F869" s="75" t="n">
        <x:v>34</x:v>
      </x:c>
      <x:c r="G869" s="75" t="n">
        <x:v>43</x:v>
      </x:c>
      <x:c r="H869" s="75" t="n">
        <x:v>6</x:v>
      </x:c>
      <x:c r="I869" s="75" t="n">
        <x:v>10</x:v>
      </x:c>
      <x:c r="J869" s="75" t="n">
        <x:v>50</x:v>
      </x:c>
      <x:c r="K869" s="75" t="n">
        <x:v>12</x:v>
      </x:c>
      <x:c r="L869" s="75" t="str">
        <x:v>R3_5of50_2of12</x:v>
      </x:c>
      <x:c r="M869" s="213" t="str">
        <x:v>S2_post_2024_studio_change_sensitivity_only</x:v>
      </x:c>
      <x:c r="N869" s="213" t="str">
        <x:v>Tuesday</x:v>
      </x:c>
      <x:c r="O869" s="213" t="str">
        <x:v>LottoMetrics full-history export</x:v>
      </x:c>
      <x:c r="P869" s="213" t="str">
        <x:v>Cross-checked: OPAP uploads + public archive</x:v>
      </x:c>
      <x:c r="Q869" s="54" t="str"/>
    </x:row>
    <x:row r="870">
      <x:c r="A870" s="74" t="n">
        <x:v>867</x:v>
      </x:c>
      <x:c r="B870" s="217" t="n">
        <x:v>45849</x:v>
      </x:c>
      <x:c r="C870" s="75" t="n">
        <x:v>6</x:v>
      </x:c>
      <x:c r="D870" s="75" t="n">
        <x:v>12</x:v>
      </x:c>
      <x:c r="E870" s="75" t="n">
        <x:v>13</x:v>
      </x:c>
      <x:c r="F870" s="75" t="n">
        <x:v>43</x:v>
      </x:c>
      <x:c r="G870" s="75" t="n">
        <x:v>46</x:v>
      </x:c>
      <x:c r="H870" s="75" t="n">
        <x:v>6</x:v>
      </x:c>
      <x:c r="I870" s="75" t="n">
        <x:v>11</x:v>
      </x:c>
      <x:c r="J870" s="75" t="n">
        <x:v>50</x:v>
      </x:c>
      <x:c r="K870" s="75" t="n">
        <x:v>12</x:v>
      </x:c>
      <x:c r="L870" s="75" t="str">
        <x:v>R3_5of50_2of12</x:v>
      </x:c>
      <x:c r="M870" s="213" t="str">
        <x:v>S2_post_2024_studio_change_sensitivity_only</x:v>
      </x:c>
      <x:c r="N870" s="213" t="str">
        <x:v>Friday</x:v>
      </x:c>
      <x:c r="O870" s="213" t="str">
        <x:v>LottoMetrics full-history export</x:v>
      </x:c>
      <x:c r="P870" s="213" t="str">
        <x:v>Cross-checked: OPAP uploads + public archive</x:v>
      </x:c>
      <x:c r="Q870" s="54" t="str"/>
    </x:row>
    <x:row r="871">
      <x:c r="A871" s="74" t="n">
        <x:v>868</x:v>
      </x:c>
      <x:c r="B871" s="217" t="n">
        <x:v>45853</x:v>
      </x:c>
      <x:c r="C871" s="75" t="n">
        <x:v>13</x:v>
      </x:c>
      <x:c r="D871" s="75" t="n">
        <x:v>28</x:v>
      </x:c>
      <x:c r="E871" s="75" t="n">
        <x:v>33</x:v>
      </x:c>
      <x:c r="F871" s="75" t="n">
        <x:v>37</x:v>
      </x:c>
      <x:c r="G871" s="75" t="n">
        <x:v>45</x:v>
      </x:c>
      <x:c r="H871" s="75" t="n">
        <x:v>6</x:v>
      </x:c>
      <x:c r="I871" s="75" t="n">
        <x:v>11</x:v>
      </x:c>
      <x:c r="J871" s="75" t="n">
        <x:v>50</x:v>
      </x:c>
      <x:c r="K871" s="75" t="n">
        <x:v>12</x:v>
      </x:c>
      <x:c r="L871" s="75" t="str">
        <x:v>R3_5of50_2of12</x:v>
      </x:c>
      <x:c r="M871" s="213" t="str">
        <x:v>S2_post_2024_studio_change_sensitivity_only</x:v>
      </x:c>
      <x:c r="N871" s="213" t="str">
        <x:v>Tuesday</x:v>
      </x:c>
      <x:c r="O871" s="213" t="str">
        <x:v>LottoMetrics full-history export</x:v>
      </x:c>
      <x:c r="P871" s="213" t="str">
        <x:v>Cross-checked: OPAP uploads + public archive</x:v>
      </x:c>
      <x:c r="Q871" s="54" t="str"/>
    </x:row>
    <x:row r="872">
      <x:c r="A872" s="74" t="n">
        <x:v>869</x:v>
      </x:c>
      <x:c r="B872" s="217" t="n">
        <x:v>45856</x:v>
      </x:c>
      <x:c r="C872" s="75" t="n">
        <x:v>10</x:v>
      </x:c>
      <x:c r="D872" s="75" t="n">
        <x:v>12</x:v>
      </x:c>
      <x:c r="E872" s="75" t="n">
        <x:v>21</x:v>
      </x:c>
      <x:c r="F872" s="75" t="n">
        <x:v>25</x:v>
      </x:c>
      <x:c r="G872" s="75" t="n">
        <x:v>39</x:v>
      </x:c>
      <x:c r="H872" s="75" t="n">
        <x:v>2</x:v>
      </x:c>
      <x:c r="I872" s="75" t="n">
        <x:v>4</x:v>
      </x:c>
      <x:c r="J872" s="75" t="n">
        <x:v>50</x:v>
      </x:c>
      <x:c r="K872" s="75" t="n">
        <x:v>12</x:v>
      </x:c>
      <x:c r="L872" s="75" t="str">
        <x:v>R3_5of50_2of12</x:v>
      </x:c>
      <x:c r="M872" s="213" t="str">
        <x:v>S2_post_2024_studio_change_sensitivity_only</x:v>
      </x:c>
      <x:c r="N872" s="213" t="str">
        <x:v>Friday</x:v>
      </x:c>
      <x:c r="O872" s="213" t="str">
        <x:v>LottoMetrics full-history export</x:v>
      </x:c>
      <x:c r="P872" s="213" t="str">
        <x:v>Cross-checked: OPAP uploads + public archive</x:v>
      </x:c>
      <x:c r="Q872" s="54" t="str"/>
    </x:row>
    <x:row r="873">
      <x:c r="A873" s="74" t="n">
        <x:v>870</x:v>
      </x:c>
      <x:c r="B873" s="217" t="n">
        <x:v>45860</x:v>
      </x:c>
      <x:c r="C873" s="75" t="n">
        <x:v>5</x:v>
      </x:c>
      <x:c r="D873" s="75" t="n">
        <x:v>20</x:v>
      </x:c>
      <x:c r="E873" s="75" t="n">
        <x:v>42</x:v>
      </x:c>
      <x:c r="F873" s="75" t="n">
        <x:v>46</x:v>
      </x:c>
      <x:c r="G873" s="75" t="n">
        <x:v>48</x:v>
      </x:c>
      <x:c r="H873" s="75" t="n">
        <x:v>7</x:v>
      </x:c>
      <x:c r="I873" s="75" t="n">
        <x:v>8</x:v>
      </x:c>
      <x:c r="J873" s="75" t="n">
        <x:v>50</x:v>
      </x:c>
      <x:c r="K873" s="75" t="n">
        <x:v>12</x:v>
      </x:c>
      <x:c r="L873" s="75" t="str">
        <x:v>R3_5of50_2of12</x:v>
      </x:c>
      <x:c r="M873" s="213" t="str">
        <x:v>S2_post_2024_studio_change_sensitivity_only</x:v>
      </x:c>
      <x:c r="N873" s="213" t="str">
        <x:v>Tuesday</x:v>
      </x:c>
      <x:c r="O873" s="213" t="str">
        <x:v>LottoMetrics full-history export</x:v>
      </x:c>
      <x:c r="P873" s="213" t="str">
        <x:v>Cross-checked: OPAP uploads + public archive</x:v>
      </x:c>
      <x:c r="Q873" s="54" t="str"/>
    </x:row>
    <x:row r="874">
      <x:c r="A874" s="74" t="n">
        <x:v>871</x:v>
      </x:c>
      <x:c r="B874" s="217" t="n">
        <x:v>45863</x:v>
      </x:c>
      <x:c r="C874" s="75" t="n">
        <x:v>7</x:v>
      </x:c>
      <x:c r="D874" s="75" t="n">
        <x:v>8</x:v>
      </x:c>
      <x:c r="E874" s="75" t="n">
        <x:v>13</x:v>
      </x:c>
      <x:c r="F874" s="75" t="n">
        <x:v>29</x:v>
      </x:c>
      <x:c r="G874" s="75" t="n">
        <x:v>36</x:v>
      </x:c>
      <x:c r="H874" s="75" t="n">
        <x:v>4</x:v>
      </x:c>
      <x:c r="I874" s="75" t="n">
        <x:v>8</x:v>
      </x:c>
      <x:c r="J874" s="75" t="n">
        <x:v>50</x:v>
      </x:c>
      <x:c r="K874" s="75" t="n">
        <x:v>12</x:v>
      </x:c>
      <x:c r="L874" s="75" t="str">
        <x:v>R3_5of50_2of12</x:v>
      </x:c>
      <x:c r="M874" s="213" t="str">
        <x:v>S2_post_2024_studio_change_sensitivity_only</x:v>
      </x:c>
      <x:c r="N874" s="213" t="str">
        <x:v>Friday</x:v>
      </x:c>
      <x:c r="O874" s="213" t="str">
        <x:v>LottoMetrics full-history export</x:v>
      </x:c>
      <x:c r="P874" s="213" t="str">
        <x:v>Cross-checked: OPAP uploads + public archive</x:v>
      </x:c>
      <x:c r="Q874" s="54" t="str"/>
    </x:row>
    <x:row r="875">
      <x:c r="A875" s="74" t="n">
        <x:v>872</x:v>
      </x:c>
      <x:c r="B875" s="217" t="n">
        <x:v>45867</x:v>
      </x:c>
      <x:c r="C875" s="75" t="n">
        <x:v>20</x:v>
      </x:c>
      <x:c r="D875" s="75" t="n">
        <x:v>21</x:v>
      </x:c>
      <x:c r="E875" s="75" t="n">
        <x:v>38</x:v>
      </x:c>
      <x:c r="F875" s="75" t="n">
        <x:v>43</x:v>
      </x:c>
      <x:c r="G875" s="75" t="n">
        <x:v>49</x:v>
      </x:c>
      <x:c r="H875" s="75" t="n">
        <x:v>6</x:v>
      </x:c>
      <x:c r="I875" s="75" t="n">
        <x:v>11</x:v>
      </x:c>
      <x:c r="J875" s="75" t="n">
        <x:v>50</x:v>
      </x:c>
      <x:c r="K875" s="75" t="n">
        <x:v>12</x:v>
      </x:c>
      <x:c r="L875" s="75" t="str">
        <x:v>R3_5of50_2of12</x:v>
      </x:c>
      <x:c r="M875" s="213" t="str">
        <x:v>S2_post_2024_studio_change_sensitivity_only</x:v>
      </x:c>
      <x:c r="N875" s="213" t="str">
        <x:v>Tuesday</x:v>
      </x:c>
      <x:c r="O875" s="213" t="str">
        <x:v>LottoMetrics full-history export</x:v>
      </x:c>
      <x:c r="P875" s="213" t="str">
        <x:v>Cross-checked: OPAP uploads + public archive</x:v>
      </x:c>
      <x:c r="Q875" s="54" t="str"/>
    </x:row>
    <x:row r="876">
      <x:c r="A876" s="74" t="n">
        <x:v>873</x:v>
      </x:c>
      <x:c r="B876" s="217" t="n">
        <x:v>45870</x:v>
      </x:c>
      <x:c r="C876" s="75" t="n">
        <x:v>4</x:v>
      </x:c>
      <x:c r="D876" s="75" t="n">
        <x:v>11</x:v>
      </x:c>
      <x:c r="E876" s="75" t="n">
        <x:v>12</x:v>
      </x:c>
      <x:c r="F876" s="75" t="n">
        <x:v>20</x:v>
      </x:c>
      <x:c r="G876" s="75" t="n">
        <x:v>33</x:v>
      </x:c>
      <x:c r="H876" s="75" t="n">
        <x:v>3</x:v>
      </x:c>
      <x:c r="I876" s="75" t="n">
        <x:v>5</x:v>
      </x:c>
      <x:c r="J876" s="75" t="n">
        <x:v>50</x:v>
      </x:c>
      <x:c r="K876" s="75" t="n">
        <x:v>12</x:v>
      </x:c>
      <x:c r="L876" s="75" t="str">
        <x:v>R3_5of50_2of12</x:v>
      </x:c>
      <x:c r="M876" s="213" t="str">
        <x:v>S2_post_2024_studio_change_sensitivity_only</x:v>
      </x:c>
      <x:c r="N876" s="213" t="str">
        <x:v>Friday</x:v>
      </x:c>
      <x:c r="O876" s="213" t="str">
        <x:v>LottoMetrics full-history export</x:v>
      </x:c>
      <x:c r="P876" s="213" t="str">
        <x:v>Cross-checked: OPAP uploads + public archive</x:v>
      </x:c>
      <x:c r="Q876" s="54" t="str"/>
    </x:row>
    <x:row r="877">
      <x:c r="A877" s="74" t="n">
        <x:v>874</x:v>
      </x:c>
      <x:c r="B877" s="217" t="n">
        <x:v>45874</x:v>
      </x:c>
      <x:c r="C877" s="75" t="n">
        <x:v>1</x:v>
      </x:c>
      <x:c r="D877" s="75" t="n">
        <x:v>18</x:v>
      </x:c>
      <x:c r="E877" s="75" t="n">
        <x:v>21</x:v>
      </x:c>
      <x:c r="F877" s="75" t="n">
        <x:v>22</x:v>
      </x:c>
      <x:c r="G877" s="75" t="n">
        <x:v>34</x:v>
      </x:c>
      <x:c r="H877" s="75" t="n">
        <x:v>1</x:v>
      </x:c>
      <x:c r="I877" s="75" t="n">
        <x:v>6</x:v>
      </x:c>
      <x:c r="J877" s="75" t="n">
        <x:v>50</x:v>
      </x:c>
      <x:c r="K877" s="75" t="n">
        <x:v>12</x:v>
      </x:c>
      <x:c r="L877" s="75" t="str">
        <x:v>R3_5of50_2of12</x:v>
      </x:c>
      <x:c r="M877" s="213" t="str">
        <x:v>S2_post_2024_studio_change_sensitivity_only</x:v>
      </x:c>
      <x:c r="N877" s="213" t="str">
        <x:v>Tuesday</x:v>
      </x:c>
      <x:c r="O877" s="213" t="str">
        <x:v>LottoMetrics full-history export</x:v>
      </x:c>
      <x:c r="P877" s="213" t="str">
        <x:v>Cross-checked: OPAP uploads + public archive</x:v>
      </x:c>
      <x:c r="Q877" s="54" t="str"/>
    </x:row>
    <x:row r="878">
      <x:c r="A878" s="74" t="n">
        <x:v>875</x:v>
      </x:c>
      <x:c r="B878" s="217" t="n">
        <x:v>45877</x:v>
      </x:c>
      <x:c r="C878" s="75" t="n">
        <x:v>7</x:v>
      </x:c>
      <x:c r="D878" s="75" t="n">
        <x:v>16</x:v>
      </x:c>
      <x:c r="E878" s="75" t="n">
        <x:v>23</x:v>
      </x:c>
      <x:c r="F878" s="75" t="n">
        <x:v>41</x:v>
      </x:c>
      <x:c r="G878" s="75" t="n">
        <x:v>42</x:v>
      </x:c>
      <x:c r="H878" s="75" t="n">
        <x:v>1</x:v>
      </x:c>
      <x:c r="I878" s="75" t="n">
        <x:v>4</x:v>
      </x:c>
      <x:c r="J878" s="75" t="n">
        <x:v>50</x:v>
      </x:c>
      <x:c r="K878" s="75" t="n">
        <x:v>12</x:v>
      </x:c>
      <x:c r="L878" s="75" t="str">
        <x:v>R3_5of50_2of12</x:v>
      </x:c>
      <x:c r="M878" s="213" t="str">
        <x:v>S2_post_2024_studio_change_sensitivity_only</x:v>
      </x:c>
      <x:c r="N878" s="213" t="str">
        <x:v>Friday</x:v>
      </x:c>
      <x:c r="O878" s="213" t="str">
        <x:v>LottoMetrics full-history export</x:v>
      </x:c>
      <x:c r="P878" s="213" t="str">
        <x:v>Cross-checked: OPAP uploads + public archive</x:v>
      </x:c>
      <x:c r="Q878" s="54" t="str"/>
    </x:row>
    <x:row r="879">
      <x:c r="A879" s="74" t="n">
        <x:v>876</x:v>
      </x:c>
      <x:c r="B879" s="217" t="n">
        <x:v>45881</x:v>
      </x:c>
      <x:c r="C879" s="75" t="n">
        <x:v>11</x:v>
      </x:c>
      <x:c r="D879" s="75" t="n">
        <x:v>16</x:v>
      </x:c>
      <x:c r="E879" s="75" t="n">
        <x:v>29</x:v>
      </x:c>
      <x:c r="F879" s="75" t="n">
        <x:v>37</x:v>
      </x:c>
      <x:c r="G879" s="75" t="n">
        <x:v>42</x:v>
      </x:c>
      <x:c r="H879" s="75" t="n">
        <x:v>1</x:v>
      </x:c>
      <x:c r="I879" s="75" t="n">
        <x:v>11</x:v>
      </x:c>
      <x:c r="J879" s="75" t="n">
        <x:v>50</x:v>
      </x:c>
      <x:c r="K879" s="75" t="n">
        <x:v>12</x:v>
      </x:c>
      <x:c r="L879" s="75" t="str">
        <x:v>R3_5of50_2of12</x:v>
      </x:c>
      <x:c r="M879" s="213" t="str">
        <x:v>S2_post_2024_studio_change_sensitivity_only</x:v>
      </x:c>
      <x:c r="N879" s="213" t="str">
        <x:v>Tuesday</x:v>
      </x:c>
      <x:c r="O879" s="213" t="str">
        <x:v>LottoMetrics full-history export</x:v>
      </x:c>
      <x:c r="P879" s="213" t="str">
        <x:v>Cross-checked: OPAP uploads + public archive</x:v>
      </x:c>
      <x:c r="Q879" s="54" t="str"/>
    </x:row>
    <x:row r="880">
      <x:c r="A880" s="74" t="n">
        <x:v>877</x:v>
      </x:c>
      <x:c r="B880" s="217" t="n">
        <x:v>45884</x:v>
      </x:c>
      <x:c r="C880" s="75" t="n">
        <x:v>5</x:v>
      </x:c>
      <x:c r="D880" s="75" t="n">
        <x:v>11</x:v>
      </x:c>
      <x:c r="E880" s="75" t="n">
        <x:v>20</x:v>
      </x:c>
      <x:c r="F880" s="75" t="n">
        <x:v>33</x:v>
      </x:c>
      <x:c r="G880" s="75" t="n">
        <x:v>43</x:v>
      </x:c>
      <x:c r="H880" s="75" t="n">
        <x:v>6</x:v>
      </x:c>
      <x:c r="I880" s="75" t="n">
        <x:v>12</x:v>
      </x:c>
      <x:c r="J880" s="75" t="n">
        <x:v>50</x:v>
      </x:c>
      <x:c r="K880" s="75" t="n">
        <x:v>12</x:v>
      </x:c>
      <x:c r="L880" s="75" t="str">
        <x:v>R3_5of50_2of12</x:v>
      </x:c>
      <x:c r="M880" s="213" t="str">
        <x:v>S2_post_2024_studio_change_sensitivity_only</x:v>
      </x:c>
      <x:c r="N880" s="213" t="str">
        <x:v>Friday</x:v>
      </x:c>
      <x:c r="O880" s="213" t="str">
        <x:v>LottoMetrics full-history export</x:v>
      </x:c>
      <x:c r="P880" s="213" t="str">
        <x:v>Cross-checked: OPAP uploads + public archive</x:v>
      </x:c>
      <x:c r="Q880" s="54" t="str"/>
    </x:row>
    <x:row r="881">
      <x:c r="A881" s="74" t="n">
        <x:v>878</x:v>
      </x:c>
      <x:c r="B881" s="217" t="n">
        <x:v>45888</x:v>
      </x:c>
      <x:c r="C881" s="75" t="n">
        <x:v>3</x:v>
      </x:c>
      <x:c r="D881" s="75" t="n">
        <x:v>4</x:v>
      </x:c>
      <x:c r="E881" s="75" t="n">
        <x:v>11</x:v>
      </x:c>
      <x:c r="F881" s="75" t="n">
        <x:v>33</x:v>
      </x:c>
      <x:c r="G881" s="75" t="n">
        <x:v>47</x:v>
      </x:c>
      <x:c r="H881" s="75" t="n">
        <x:v>6</x:v>
      </x:c>
      <x:c r="I881" s="75" t="n">
        <x:v>9</x:v>
      </x:c>
      <x:c r="J881" s="75" t="n">
        <x:v>50</x:v>
      </x:c>
      <x:c r="K881" s="75" t="n">
        <x:v>12</x:v>
      </x:c>
      <x:c r="L881" s="75" t="str">
        <x:v>R3_5of50_2of12</x:v>
      </x:c>
      <x:c r="M881" s="213" t="str">
        <x:v>S2_post_2024_studio_change_sensitivity_only</x:v>
      </x:c>
      <x:c r="N881" s="213" t="str">
        <x:v>Tuesday</x:v>
      </x:c>
      <x:c r="O881" s="213" t="str">
        <x:v>LottoMetrics full-history export</x:v>
      </x:c>
      <x:c r="P881" s="213" t="str">
        <x:v>Cross-checked: OPAP uploads + public archive</x:v>
      </x:c>
      <x:c r="Q881" s="54" t="str"/>
    </x:row>
    <x:row r="882">
      <x:c r="A882" s="74" t="n">
        <x:v>879</x:v>
      </x:c>
      <x:c r="B882" s="217" t="n">
        <x:v>45891</x:v>
      </x:c>
      <x:c r="C882" s="75" t="n">
        <x:v>3</x:v>
      </x:c>
      <x:c r="D882" s="75" t="n">
        <x:v>14</x:v>
      </x:c>
      <x:c r="E882" s="75" t="n">
        <x:v>16</x:v>
      </x:c>
      <x:c r="F882" s="75" t="n">
        <x:v>22</x:v>
      </x:c>
      <x:c r="G882" s="75" t="n">
        <x:v>34</x:v>
      </x:c>
      <x:c r="H882" s="75" t="n">
        <x:v>7</x:v>
      </x:c>
      <x:c r="I882" s="75" t="n">
        <x:v>10</x:v>
      </x:c>
      <x:c r="J882" s="75" t="n">
        <x:v>50</x:v>
      </x:c>
      <x:c r="K882" s="75" t="n">
        <x:v>12</x:v>
      </x:c>
      <x:c r="L882" s="75" t="str">
        <x:v>R3_5of50_2of12</x:v>
      </x:c>
      <x:c r="M882" s="213" t="str">
        <x:v>S2_post_2024_studio_change_sensitivity_only</x:v>
      </x:c>
      <x:c r="N882" s="213" t="str">
        <x:v>Friday</x:v>
      </x:c>
      <x:c r="O882" s="213" t="str">
        <x:v>LottoMetrics full-history export</x:v>
      </x:c>
      <x:c r="P882" s="213" t="str">
        <x:v>Cross-checked: OPAP uploads + public archive</x:v>
      </x:c>
      <x:c r="Q882" s="54" t="str"/>
    </x:row>
    <x:row r="883">
      <x:c r="A883" s="74" t="n">
        <x:v>880</x:v>
      </x:c>
      <x:c r="B883" s="217" t="n">
        <x:v>45895</x:v>
      </x:c>
      <x:c r="C883" s="75" t="n">
        <x:v>8</x:v>
      </x:c>
      <x:c r="D883" s="75" t="n">
        <x:v>14</x:v>
      </x:c>
      <x:c r="E883" s="75" t="n">
        <x:v>21</x:v>
      </x:c>
      <x:c r="F883" s="75" t="n">
        <x:v>26</x:v>
      </x:c>
      <x:c r="G883" s="75" t="n">
        <x:v>35</x:v>
      </x:c>
      <x:c r="H883" s="75" t="n">
        <x:v>4</x:v>
      </x:c>
      <x:c r="I883" s="75" t="n">
        <x:v>8</x:v>
      </x:c>
      <x:c r="J883" s="75" t="n">
        <x:v>50</x:v>
      </x:c>
      <x:c r="K883" s="75" t="n">
        <x:v>12</x:v>
      </x:c>
      <x:c r="L883" s="75" t="str">
        <x:v>R3_5of50_2of12</x:v>
      </x:c>
      <x:c r="M883" s="213" t="str">
        <x:v>S2_post_2024_studio_change_sensitivity_only</x:v>
      </x:c>
      <x:c r="N883" s="213" t="str">
        <x:v>Tuesday</x:v>
      </x:c>
      <x:c r="O883" s="213" t="str">
        <x:v>LottoMetrics full-history export</x:v>
      </x:c>
      <x:c r="P883" s="213" t="str">
        <x:v>Cross-checked: OPAP uploads + public archive</x:v>
      </x:c>
      <x:c r="Q883" s="54" t="str"/>
    </x:row>
    <x:row r="884">
      <x:c r="A884" s="74" t="n">
        <x:v>881</x:v>
      </x:c>
      <x:c r="B884" s="217" t="n">
        <x:v>45898</x:v>
      </x:c>
      <x:c r="C884" s="75" t="n">
        <x:v>3</x:v>
      </x:c>
      <x:c r="D884" s="75" t="n">
        <x:v>5</x:v>
      </x:c>
      <x:c r="E884" s="75" t="n">
        <x:v>19</x:v>
      </x:c>
      <x:c r="F884" s="75" t="n">
        <x:v>23</x:v>
      </x:c>
      <x:c r="G884" s="75" t="n">
        <x:v>48</x:v>
      </x:c>
      <x:c r="H884" s="75" t="n">
        <x:v>1</x:v>
      </x:c>
      <x:c r="I884" s="75" t="n">
        <x:v>5</x:v>
      </x:c>
      <x:c r="J884" s="75" t="n">
        <x:v>50</x:v>
      </x:c>
      <x:c r="K884" s="75" t="n">
        <x:v>12</x:v>
      </x:c>
      <x:c r="L884" s="75" t="str">
        <x:v>R3_5of50_2of12</x:v>
      </x:c>
      <x:c r="M884" s="213" t="str">
        <x:v>S2_post_2024_studio_change_sensitivity_only</x:v>
      </x:c>
      <x:c r="N884" s="213" t="str">
        <x:v>Friday</x:v>
      </x:c>
      <x:c r="O884" s="213" t="str">
        <x:v>LottoMetrics full-history export</x:v>
      </x:c>
      <x:c r="P884" s="213" t="str">
        <x:v>Cross-checked: OPAP uploads + public archive</x:v>
      </x:c>
      <x:c r="Q884" s="54" t="str"/>
    </x:row>
    <x:row r="885">
      <x:c r="A885" s="74" t="n">
        <x:v>882</x:v>
      </x:c>
      <x:c r="B885" s="217" t="n">
        <x:v>45902</x:v>
      </x:c>
      <x:c r="C885" s="75" t="n">
        <x:v>1</x:v>
      </x:c>
      <x:c r="D885" s="75" t="n">
        <x:v>5</x:v>
      </x:c>
      <x:c r="E885" s="75" t="n">
        <x:v>12</x:v>
      </x:c>
      <x:c r="F885" s="75" t="n">
        <x:v>38</x:v>
      </x:c>
      <x:c r="G885" s="75" t="n">
        <x:v>47</x:v>
      </x:c>
      <x:c r="H885" s="75" t="n">
        <x:v>7</x:v>
      </x:c>
      <x:c r="I885" s="75" t="n">
        <x:v>8</x:v>
      </x:c>
      <x:c r="J885" s="75" t="n">
        <x:v>50</x:v>
      </x:c>
      <x:c r="K885" s="75" t="n">
        <x:v>12</x:v>
      </x:c>
      <x:c r="L885" s="75" t="str">
        <x:v>R3_5of50_2of12</x:v>
      </x:c>
      <x:c r="M885" s="213" t="str">
        <x:v>S2_post_2024_studio_change_sensitivity_only</x:v>
      </x:c>
      <x:c r="N885" s="213" t="str">
        <x:v>Tuesday</x:v>
      </x:c>
      <x:c r="O885" s="213" t="str">
        <x:v>LottoMetrics full-history export</x:v>
      </x:c>
      <x:c r="P885" s="213" t="str">
        <x:v>Cross-checked: OPAP uploads + public archive</x:v>
      </x:c>
      <x:c r="Q885" s="54" t="str"/>
    </x:row>
    <x:row r="886">
      <x:c r="A886" s="74" t="n">
        <x:v>883</x:v>
      </x:c>
      <x:c r="B886" s="217" t="n">
        <x:v>45905</x:v>
      </x:c>
      <x:c r="C886" s="75" t="n">
        <x:v>6</x:v>
      </x:c>
      <x:c r="D886" s="75" t="n">
        <x:v>14</x:v>
      </x:c>
      <x:c r="E886" s="75" t="n">
        <x:v>25</x:v>
      </x:c>
      <x:c r="F886" s="75" t="n">
        <x:v>29</x:v>
      </x:c>
      <x:c r="G886" s="75" t="n">
        <x:v>46</x:v>
      </x:c>
      <x:c r="H886" s="75" t="n">
        <x:v>7</x:v>
      </x:c>
      <x:c r="I886" s="75" t="n">
        <x:v>11</x:v>
      </x:c>
      <x:c r="J886" s="75" t="n">
        <x:v>50</x:v>
      </x:c>
      <x:c r="K886" s="75" t="n">
        <x:v>12</x:v>
      </x:c>
      <x:c r="L886" s="75" t="str">
        <x:v>R3_5of50_2of12</x:v>
      </x:c>
      <x:c r="M886" s="213" t="str">
        <x:v>S2_post_2024_studio_change_sensitivity_only</x:v>
      </x:c>
      <x:c r="N886" s="213" t="str">
        <x:v>Friday</x:v>
      </x:c>
      <x:c r="O886" s="213" t="str">
        <x:v>LottoMetrics full-history export</x:v>
      </x:c>
      <x:c r="P886" s="213" t="str">
        <x:v>Cross-checked: OPAP uploads + public archive</x:v>
      </x:c>
      <x:c r="Q886" s="54" t="str"/>
    </x:row>
    <x:row r="887">
      <x:c r="A887" s="74" t="n">
        <x:v>884</x:v>
      </x:c>
      <x:c r="B887" s="217" t="n">
        <x:v>45909</x:v>
      </x:c>
      <x:c r="C887" s="75" t="n">
        <x:v>14</x:v>
      </x:c>
      <x:c r="D887" s="75" t="n">
        <x:v>18</x:v>
      </x:c>
      <x:c r="E887" s="75" t="n">
        <x:v>24</x:v>
      </x:c>
      <x:c r="F887" s="75" t="n">
        <x:v>27</x:v>
      </x:c>
      <x:c r="G887" s="75" t="n">
        <x:v>50</x:v>
      </x:c>
      <x:c r="H887" s="75" t="n">
        <x:v>8</x:v>
      </x:c>
      <x:c r="I887" s="75" t="n">
        <x:v>9</x:v>
      </x:c>
      <x:c r="J887" s="75" t="n">
        <x:v>50</x:v>
      </x:c>
      <x:c r="K887" s="75" t="n">
        <x:v>12</x:v>
      </x:c>
      <x:c r="L887" s="75" t="str">
        <x:v>R3_5of50_2of12</x:v>
      </x:c>
      <x:c r="M887" s="213" t="str">
        <x:v>S2_post_2024_studio_change_sensitivity_only</x:v>
      </x:c>
      <x:c r="N887" s="213" t="str">
        <x:v>Tuesday</x:v>
      </x:c>
      <x:c r="O887" s="213" t="str">
        <x:v>LottoMetrics full-history export</x:v>
      </x:c>
      <x:c r="P887" s="213" t="str">
        <x:v>Cross-checked: OPAP uploads + public archive</x:v>
      </x:c>
      <x:c r="Q887" s="54" t="str"/>
    </x:row>
    <x:row r="888">
      <x:c r="A888" s="74" t="n">
        <x:v>885</x:v>
      </x:c>
      <x:c r="B888" s="217" t="n">
        <x:v>45912</x:v>
      </x:c>
      <x:c r="C888" s="75" t="n">
        <x:v>7</x:v>
      </x:c>
      <x:c r="D888" s="75" t="n">
        <x:v>22</x:v>
      </x:c>
      <x:c r="E888" s="75" t="n">
        <x:v>24</x:v>
      </x:c>
      <x:c r="F888" s="75" t="n">
        <x:v>33</x:v>
      </x:c>
      <x:c r="G888" s="75" t="n">
        <x:v>45</x:v>
      </x:c>
      <x:c r="H888" s="75" t="n">
        <x:v>4</x:v>
      </x:c>
      <x:c r="I888" s="75" t="n">
        <x:v>12</x:v>
      </x:c>
      <x:c r="J888" s="75" t="n">
        <x:v>50</x:v>
      </x:c>
      <x:c r="K888" s="75" t="n">
        <x:v>12</x:v>
      </x:c>
      <x:c r="L888" s="75" t="str">
        <x:v>R3_5of50_2of12</x:v>
      </x:c>
      <x:c r="M888" s="213" t="str">
        <x:v>S2_post_2024_studio_change_sensitivity_only</x:v>
      </x:c>
      <x:c r="N888" s="213" t="str">
        <x:v>Friday</x:v>
      </x:c>
      <x:c r="O888" s="213" t="str">
        <x:v>LottoMetrics full-history export</x:v>
      </x:c>
      <x:c r="P888" s="213" t="str">
        <x:v>Cross-checked: OPAP uploads + public archive</x:v>
      </x:c>
      <x:c r="Q888" s="54" t="str"/>
    </x:row>
    <x:row r="889">
      <x:c r="A889" s="74" t="n">
        <x:v>886</x:v>
      </x:c>
      <x:c r="B889" s="217" t="n">
        <x:v>45916</x:v>
      </x:c>
      <x:c r="C889" s="75" t="n">
        <x:v>8</x:v>
      </x:c>
      <x:c r="D889" s="75" t="n">
        <x:v>9</x:v>
      </x:c>
      <x:c r="E889" s="75" t="n">
        <x:v>14</x:v>
      </x:c>
      <x:c r="F889" s="75" t="n">
        <x:v>37</x:v>
      </x:c>
      <x:c r="G889" s="75" t="n">
        <x:v>39</x:v>
      </x:c>
      <x:c r="H889" s="75" t="n">
        <x:v>1</x:v>
      </x:c>
      <x:c r="I889" s="75" t="n">
        <x:v>9</x:v>
      </x:c>
      <x:c r="J889" s="75" t="n">
        <x:v>50</x:v>
      </x:c>
      <x:c r="K889" s="75" t="n">
        <x:v>12</x:v>
      </x:c>
      <x:c r="L889" s="75" t="str">
        <x:v>R3_5of50_2of12</x:v>
      </x:c>
      <x:c r="M889" s="213" t="str">
        <x:v>S2_post_2024_studio_change_sensitivity_only</x:v>
      </x:c>
      <x:c r="N889" s="213" t="str">
        <x:v>Tuesday</x:v>
      </x:c>
      <x:c r="O889" s="213" t="str">
        <x:v>LottoMetrics full-history export</x:v>
      </x:c>
      <x:c r="P889" s="213" t="str">
        <x:v>Cross-checked: OPAP uploads + public archive</x:v>
      </x:c>
      <x:c r="Q889" s="54" t="str"/>
    </x:row>
    <x:row r="890">
      <x:c r="A890" s="74" t="n">
        <x:v>887</x:v>
      </x:c>
      <x:c r="B890" s="217" t="n">
        <x:v>45919</x:v>
      </x:c>
      <x:c r="C890" s="75" t="n">
        <x:v>9</x:v>
      </x:c>
      <x:c r="D890" s="75" t="n">
        <x:v>37</x:v>
      </x:c>
      <x:c r="E890" s="75" t="n">
        <x:v>40</x:v>
      </x:c>
      <x:c r="F890" s="75" t="n">
        <x:v>41</x:v>
      </x:c>
      <x:c r="G890" s="75" t="n">
        <x:v>46</x:v>
      </x:c>
      <x:c r="H890" s="75" t="n">
        <x:v>1</x:v>
      </x:c>
      <x:c r="I890" s="75" t="n">
        <x:v>12</x:v>
      </x:c>
      <x:c r="J890" s="75" t="n">
        <x:v>50</x:v>
      </x:c>
      <x:c r="K890" s="75" t="n">
        <x:v>12</x:v>
      </x:c>
      <x:c r="L890" s="75" t="str">
        <x:v>R3_5of50_2of12</x:v>
      </x:c>
      <x:c r="M890" s="213" t="str">
        <x:v>S2_post_2024_studio_change_sensitivity_only</x:v>
      </x:c>
      <x:c r="N890" s="213" t="str">
        <x:v>Friday</x:v>
      </x:c>
      <x:c r="O890" s="213" t="str">
        <x:v>LottoMetrics full-history export</x:v>
      </x:c>
      <x:c r="P890" s="213" t="str">
        <x:v>Cross-checked: OPAP uploads + public archive</x:v>
      </x:c>
      <x:c r="Q890" s="54" t="str"/>
    </x:row>
    <x:row r="891">
      <x:c r="A891" s="74" t="n">
        <x:v>888</x:v>
      </x:c>
      <x:c r="B891" s="217" t="n">
        <x:v>45923</x:v>
      </x:c>
      <x:c r="C891" s="75" t="n">
        <x:v>7</x:v>
      </x:c>
      <x:c r="D891" s="75" t="n">
        <x:v>18</x:v>
      </x:c>
      <x:c r="E891" s="75" t="n">
        <x:v>31</x:v>
      </x:c>
      <x:c r="F891" s="75" t="n">
        <x:v>32</x:v>
      </x:c>
      <x:c r="G891" s="75" t="n">
        <x:v>33</x:v>
      </x:c>
      <x:c r="H891" s="75" t="n">
        <x:v>10</x:v>
      </x:c>
      <x:c r="I891" s="75" t="n">
        <x:v>11</x:v>
      </x:c>
      <x:c r="J891" s="75" t="n">
        <x:v>50</x:v>
      </x:c>
      <x:c r="K891" s="75" t="n">
        <x:v>12</x:v>
      </x:c>
      <x:c r="L891" s="75" t="str">
        <x:v>R3_5of50_2of12</x:v>
      </x:c>
      <x:c r="M891" s="213" t="str">
        <x:v>S2_post_2024_studio_change_sensitivity_only</x:v>
      </x:c>
      <x:c r="N891" s="213" t="str">
        <x:v>Tuesday</x:v>
      </x:c>
      <x:c r="O891" s="213" t="str">
        <x:v>LottoMetrics full-history export</x:v>
      </x:c>
      <x:c r="P891" s="213" t="str">
        <x:v>Cross-checked: OPAP uploads + public archive</x:v>
      </x:c>
      <x:c r="Q891" s="54" t="str"/>
    </x:row>
    <x:row r="892">
      <x:c r="A892" s="74" t="n">
        <x:v>889</x:v>
      </x:c>
      <x:c r="B892" s="217" t="n">
        <x:v>45926</x:v>
      </x:c>
      <x:c r="C892" s="75" t="n">
        <x:v>12</x:v>
      </x:c>
      <x:c r="D892" s="75" t="n">
        <x:v>24</x:v>
      </x:c>
      <x:c r="E892" s="75" t="n">
        <x:v>26</x:v>
      </x:c>
      <x:c r="F892" s="75" t="n">
        <x:v>35</x:v>
      </x:c>
      <x:c r="G892" s="75" t="n">
        <x:v>48</x:v>
      </x:c>
      <x:c r="H892" s="75" t="n">
        <x:v>1</x:v>
      </x:c>
      <x:c r="I892" s="75" t="n">
        <x:v>2</x:v>
      </x:c>
      <x:c r="J892" s="75" t="n">
        <x:v>50</x:v>
      </x:c>
      <x:c r="K892" s="75" t="n">
        <x:v>12</x:v>
      </x:c>
      <x:c r="L892" s="75" t="str">
        <x:v>R3_5of50_2of12</x:v>
      </x:c>
      <x:c r="M892" s="213" t="str">
        <x:v>S2_post_2024_studio_change_sensitivity_only</x:v>
      </x:c>
      <x:c r="N892" s="213" t="str">
        <x:v>Friday</x:v>
      </x:c>
      <x:c r="O892" s="213" t="str">
        <x:v>LottoMetrics full-history export</x:v>
      </x:c>
      <x:c r="P892" s="213" t="str">
        <x:v>Cross-checked: OPAP uploads + public archive</x:v>
      </x:c>
      <x:c r="Q892" s="54" t="str"/>
    </x:row>
    <x:row r="893">
      <x:c r="A893" s="74" t="n">
        <x:v>890</x:v>
      </x:c>
      <x:c r="B893" s="217" t="n">
        <x:v>45930</x:v>
      </x:c>
      <x:c r="C893" s="75" t="n">
        <x:v>8</x:v>
      </x:c>
      <x:c r="D893" s="75" t="n">
        <x:v>11</x:v>
      </x:c>
      <x:c r="E893" s="75" t="n">
        <x:v>13</x:v>
      </x:c>
      <x:c r="F893" s="75" t="n">
        <x:v>24</x:v>
      </x:c>
      <x:c r="G893" s="75" t="n">
        <x:v>27</x:v>
      </x:c>
      <x:c r="H893" s="75" t="n">
        <x:v>3</x:v>
      </x:c>
      <x:c r="I893" s="75" t="n">
        <x:v>7</x:v>
      </x:c>
      <x:c r="J893" s="75" t="n">
        <x:v>50</x:v>
      </x:c>
      <x:c r="K893" s="75" t="n">
        <x:v>12</x:v>
      </x:c>
      <x:c r="L893" s="75" t="str">
        <x:v>R3_5of50_2of12</x:v>
      </x:c>
      <x:c r="M893" s="213" t="str">
        <x:v>S2_post_2024_studio_change_sensitivity_only</x:v>
      </x:c>
      <x:c r="N893" s="213" t="str">
        <x:v>Tuesday</x:v>
      </x:c>
      <x:c r="O893" s="213" t="str">
        <x:v>LottoMetrics full-history export</x:v>
      </x:c>
      <x:c r="P893" s="213" t="str">
        <x:v>Cross-checked: OPAP uploads + public archive</x:v>
      </x:c>
      <x:c r="Q893" s="54" t="str"/>
    </x:row>
    <x:row r="894">
      <x:c r="A894" s="74" t="n">
        <x:v>891</x:v>
      </x:c>
      <x:c r="B894" s="217" t="n">
        <x:v>45933</x:v>
      </x:c>
      <x:c r="C894" s="75" t="n">
        <x:v>1</x:v>
      </x:c>
      <x:c r="D894" s="75" t="n">
        <x:v>2</x:v>
      </x:c>
      <x:c r="E894" s="75" t="n">
        <x:v>7</x:v>
      </x:c>
      <x:c r="F894" s="75" t="n">
        <x:v>21</x:v>
      </x:c>
      <x:c r="G894" s="75" t="n">
        <x:v>27</x:v>
      </x:c>
      <x:c r="H894" s="75" t="n">
        <x:v>8</x:v>
      </x:c>
      <x:c r="I894" s="75" t="n">
        <x:v>12</x:v>
      </x:c>
      <x:c r="J894" s="75" t="n">
        <x:v>50</x:v>
      </x:c>
      <x:c r="K894" s="75" t="n">
        <x:v>12</x:v>
      </x:c>
      <x:c r="L894" s="75" t="str">
        <x:v>R3_5of50_2of12</x:v>
      </x:c>
      <x:c r="M894" s="213" t="str">
        <x:v>S2_post_2024_studio_change_sensitivity_only</x:v>
      </x:c>
      <x:c r="N894" s="213" t="str">
        <x:v>Friday</x:v>
      </x:c>
      <x:c r="O894" s="213" t="str">
        <x:v>LottoMetrics full-history export</x:v>
      </x:c>
      <x:c r="P894" s="213" t="str">
        <x:v>Cross-checked: OPAP uploads + public archive</x:v>
      </x:c>
      <x:c r="Q894" s="54" t="str"/>
    </x:row>
    <x:row r="895">
      <x:c r="A895" s="74" t="n">
        <x:v>892</x:v>
      </x:c>
      <x:c r="B895" s="217" t="n">
        <x:v>45937</x:v>
      </x:c>
      <x:c r="C895" s="75" t="n">
        <x:v>10</x:v>
      </x:c>
      <x:c r="D895" s="75" t="n">
        <x:v>22</x:v>
      </x:c>
      <x:c r="E895" s="75" t="n">
        <x:v>38</x:v>
      </x:c>
      <x:c r="F895" s="75" t="n">
        <x:v>42</x:v>
      </x:c>
      <x:c r="G895" s="75" t="n">
        <x:v>48</x:v>
      </x:c>
      <x:c r="H895" s="75" t="n">
        <x:v>2</x:v>
      </x:c>
      <x:c r="I895" s="75" t="n">
        <x:v>9</x:v>
      </x:c>
      <x:c r="J895" s="75" t="n">
        <x:v>50</x:v>
      </x:c>
      <x:c r="K895" s="75" t="n">
        <x:v>12</x:v>
      </x:c>
      <x:c r="L895" s="75" t="str">
        <x:v>R3_5of50_2of12</x:v>
      </x:c>
      <x:c r="M895" s="213" t="str">
        <x:v>S2_post_2024_studio_change_sensitivity_only</x:v>
      </x:c>
      <x:c r="N895" s="213" t="str">
        <x:v>Tuesday</x:v>
      </x:c>
      <x:c r="O895" s="213" t="str">
        <x:v>LottoMetrics full-history export</x:v>
      </x:c>
      <x:c r="P895" s="213" t="str">
        <x:v>Cross-checked: OPAP uploads + public archive</x:v>
      </x:c>
      <x:c r="Q895" s="54" t="str"/>
    </x:row>
    <x:row r="896">
      <x:c r="A896" s="74" t="n">
        <x:v>893</x:v>
      </x:c>
      <x:c r="B896" s="217" t="n">
        <x:v>45940</x:v>
      </x:c>
      <x:c r="C896" s="75" t="n">
        <x:v>4</x:v>
      </x:c>
      <x:c r="D896" s="75" t="n">
        <x:v>5</x:v>
      </x:c>
      <x:c r="E896" s="75" t="n">
        <x:v>24</x:v>
      </x:c>
      <x:c r="F896" s="75" t="n">
        <x:v>31</x:v>
      </x:c>
      <x:c r="G896" s="75" t="n">
        <x:v>41</x:v>
      </x:c>
      <x:c r="H896" s="75" t="n">
        <x:v>3</x:v>
      </x:c>
      <x:c r="I896" s="75" t="n">
        <x:v>12</x:v>
      </x:c>
      <x:c r="J896" s="75" t="n">
        <x:v>50</x:v>
      </x:c>
      <x:c r="K896" s="75" t="n">
        <x:v>12</x:v>
      </x:c>
      <x:c r="L896" s="75" t="str">
        <x:v>R3_5of50_2of12</x:v>
      </x:c>
      <x:c r="M896" s="213" t="str">
        <x:v>S2_post_2024_studio_change_sensitivity_only</x:v>
      </x:c>
      <x:c r="N896" s="213" t="str">
        <x:v>Friday</x:v>
      </x:c>
      <x:c r="O896" s="213" t="str">
        <x:v>LottoMetrics full-history export</x:v>
      </x:c>
      <x:c r="P896" s="213" t="str">
        <x:v>Cross-checked: OPAP uploads + public archive</x:v>
      </x:c>
      <x:c r="Q896" s="54" t="str"/>
    </x:row>
    <x:row r="897">
      <x:c r="A897" s="74" t="n">
        <x:v>894</x:v>
      </x:c>
      <x:c r="B897" s="217" t="n">
        <x:v>45944</x:v>
      </x:c>
      <x:c r="C897" s="75" t="n">
        <x:v>8</x:v>
      </x:c>
      <x:c r="D897" s="75" t="n">
        <x:v>12</x:v>
      </x:c>
      <x:c r="E897" s="75" t="n">
        <x:v>13</x:v>
      </x:c>
      <x:c r="F897" s="75" t="n">
        <x:v>49</x:v>
      </x:c>
      <x:c r="G897" s="75" t="n">
        <x:v>50</x:v>
      </x:c>
      <x:c r="H897" s="75" t="n">
        <x:v>2</x:v>
      </x:c>
      <x:c r="I897" s="75" t="n">
        <x:v>4</x:v>
      </x:c>
      <x:c r="J897" s="75" t="n">
        <x:v>50</x:v>
      </x:c>
      <x:c r="K897" s="75" t="n">
        <x:v>12</x:v>
      </x:c>
      <x:c r="L897" s="75" t="str">
        <x:v>R3_5of50_2of12</x:v>
      </x:c>
      <x:c r="M897" s="213" t="str">
        <x:v>S2_post_2024_studio_change_sensitivity_only</x:v>
      </x:c>
      <x:c r="N897" s="213" t="str">
        <x:v>Tuesday</x:v>
      </x:c>
      <x:c r="O897" s="213" t="str">
        <x:v>LottoMetrics full-history export</x:v>
      </x:c>
      <x:c r="P897" s="213" t="str">
        <x:v>Cross-checked: OPAP uploads + public archive</x:v>
      </x:c>
      <x:c r="Q897" s="54" t="str"/>
    </x:row>
    <x:row r="898">
      <x:c r="A898" s="74" t="n">
        <x:v>895</x:v>
      </x:c>
      <x:c r="B898" s="217" t="n">
        <x:v>45947</x:v>
      </x:c>
      <x:c r="C898" s="75" t="n">
        <x:v>18</x:v>
      </x:c>
      <x:c r="D898" s="75" t="n">
        <x:v>21</x:v>
      </x:c>
      <x:c r="E898" s="75" t="n">
        <x:v>34</x:v>
      </x:c>
      <x:c r="F898" s="75" t="n">
        <x:v>35</x:v>
      </x:c>
      <x:c r="G898" s="75" t="n">
        <x:v>46</x:v>
      </x:c>
      <x:c r="H898" s="75" t="n">
        <x:v>2</x:v>
      </x:c>
      <x:c r="I898" s="75" t="n">
        <x:v>3</x:v>
      </x:c>
      <x:c r="J898" s="75" t="n">
        <x:v>50</x:v>
      </x:c>
      <x:c r="K898" s="75" t="n">
        <x:v>12</x:v>
      </x:c>
      <x:c r="L898" s="75" t="str">
        <x:v>R3_5of50_2of12</x:v>
      </x:c>
      <x:c r="M898" s="213" t="str">
        <x:v>S2_post_2024_studio_change_sensitivity_only</x:v>
      </x:c>
      <x:c r="N898" s="213" t="str">
        <x:v>Friday</x:v>
      </x:c>
      <x:c r="O898" s="213" t="str">
        <x:v>LottoMetrics full-history export</x:v>
      </x:c>
      <x:c r="P898" s="213" t="str">
        <x:v>Cross-checked: OPAP uploads + public archive</x:v>
      </x:c>
      <x:c r="Q898" s="54" t="str"/>
    </x:row>
    <x:row r="899">
      <x:c r="A899" s="74" t="n">
        <x:v>896</x:v>
      </x:c>
      <x:c r="B899" s="217" t="n">
        <x:v>45951</x:v>
      </x:c>
      <x:c r="C899" s="75" t="n">
        <x:v>6</x:v>
      </x:c>
      <x:c r="D899" s="75" t="n">
        <x:v>21</x:v>
      </x:c>
      <x:c r="E899" s="75" t="n">
        <x:v>30</x:v>
      </x:c>
      <x:c r="F899" s="75" t="n">
        <x:v>40</x:v>
      </x:c>
      <x:c r="G899" s="75" t="n">
        <x:v>46</x:v>
      </x:c>
      <x:c r="H899" s="75" t="n">
        <x:v>3</x:v>
      </x:c>
      <x:c r="I899" s="75" t="n">
        <x:v>4</x:v>
      </x:c>
      <x:c r="J899" s="75" t="n">
        <x:v>50</x:v>
      </x:c>
      <x:c r="K899" s="75" t="n">
        <x:v>12</x:v>
      </x:c>
      <x:c r="L899" s="75" t="str">
        <x:v>R3_5of50_2of12</x:v>
      </x:c>
      <x:c r="M899" s="213" t="str">
        <x:v>S2_post_2024_studio_change_sensitivity_only</x:v>
      </x:c>
      <x:c r="N899" s="213" t="str">
        <x:v>Tuesday</x:v>
      </x:c>
      <x:c r="O899" s="213" t="str">
        <x:v>LottoMetrics full-history export</x:v>
      </x:c>
      <x:c r="P899" s="213" t="str">
        <x:v>Cross-checked: OPAP uploads + public archive</x:v>
      </x:c>
      <x:c r="Q899" s="54" t="str"/>
    </x:row>
    <x:row r="900">
      <x:c r="A900" s="74" t="n">
        <x:v>897</x:v>
      </x:c>
      <x:c r="B900" s="217" t="n">
        <x:v>45954</x:v>
      </x:c>
      <x:c r="C900" s="75" t="n">
        <x:v>12</x:v>
      </x:c>
      <x:c r="D900" s="75" t="n">
        <x:v>13</x:v>
      </x:c>
      <x:c r="E900" s="75" t="n">
        <x:v>27</x:v>
      </x:c>
      <x:c r="F900" s="75" t="n">
        <x:v>42</x:v>
      </x:c>
      <x:c r="G900" s="75" t="n">
        <x:v>43</x:v>
      </x:c>
      <x:c r="H900" s="75" t="n">
        <x:v>3</x:v>
      </x:c>
      <x:c r="I900" s="75" t="n">
        <x:v>4</x:v>
      </x:c>
      <x:c r="J900" s="75" t="n">
        <x:v>50</x:v>
      </x:c>
      <x:c r="K900" s="75" t="n">
        <x:v>12</x:v>
      </x:c>
      <x:c r="L900" s="75" t="str">
        <x:v>R3_5of50_2of12</x:v>
      </x:c>
      <x:c r="M900" s="213" t="str">
        <x:v>S2_post_2024_studio_change_sensitivity_only</x:v>
      </x:c>
      <x:c r="N900" s="213" t="str">
        <x:v>Friday</x:v>
      </x:c>
      <x:c r="O900" s="213" t="str">
        <x:v>LottoMetrics full-history export</x:v>
      </x:c>
      <x:c r="P900" s="213" t="str">
        <x:v>Cross-checked: OPAP uploads + public archive</x:v>
      </x:c>
      <x:c r="Q900" s="54" t="str"/>
    </x:row>
    <x:row r="901">
      <x:c r="A901" s="74" t="n">
        <x:v>898</x:v>
      </x:c>
      <x:c r="B901" s="217" t="n">
        <x:v>45958</x:v>
      </x:c>
      <x:c r="C901" s="75" t="n">
        <x:v>3</x:v>
      </x:c>
      <x:c r="D901" s="75" t="n">
        <x:v>4</x:v>
      </x:c>
      <x:c r="E901" s="75" t="n">
        <x:v>22</x:v>
      </x:c>
      <x:c r="F901" s="75" t="n">
        <x:v>45</x:v>
      </x:c>
      <x:c r="G901" s="75" t="n">
        <x:v>50</x:v>
      </x:c>
      <x:c r="H901" s="75" t="n">
        <x:v>9</x:v>
      </x:c>
      <x:c r="I901" s="75" t="n">
        <x:v>12</x:v>
      </x:c>
      <x:c r="J901" s="75" t="n">
        <x:v>50</x:v>
      </x:c>
      <x:c r="K901" s="75" t="n">
        <x:v>12</x:v>
      </x:c>
      <x:c r="L901" s="75" t="str">
        <x:v>R3_5of50_2of12</x:v>
      </x:c>
      <x:c r="M901" s="213" t="str">
        <x:v>S2_post_2024_studio_change_sensitivity_only</x:v>
      </x:c>
      <x:c r="N901" s="213" t="str">
        <x:v>Tuesday</x:v>
      </x:c>
      <x:c r="O901" s="213" t="str">
        <x:v>LottoMetrics full-history export</x:v>
      </x:c>
      <x:c r="P901" s="213" t="str">
        <x:v>Cross-checked: OPAP uploads + public archive</x:v>
      </x:c>
      <x:c r="Q901" s="54" t="str"/>
    </x:row>
    <x:row r="902">
      <x:c r="A902" s="74" t="n">
        <x:v>899</x:v>
      </x:c>
      <x:c r="B902" s="217" t="n">
        <x:v>45961</x:v>
      </x:c>
      <x:c r="C902" s="75" t="n">
        <x:v>5</x:v>
      </x:c>
      <x:c r="D902" s="75" t="n">
        <x:v>11</x:v>
      </x:c>
      <x:c r="E902" s="75" t="n">
        <x:v>40</x:v>
      </x:c>
      <x:c r="F902" s="75" t="n">
        <x:v>41</x:v>
      </x:c>
      <x:c r="G902" s="75" t="n">
        <x:v>47</x:v>
      </x:c>
      <x:c r="H902" s="75" t="n">
        <x:v>1</x:v>
      </x:c>
      <x:c r="I902" s="75" t="n">
        <x:v>5</x:v>
      </x:c>
      <x:c r="J902" s="75" t="n">
        <x:v>50</x:v>
      </x:c>
      <x:c r="K902" s="75" t="n">
        <x:v>12</x:v>
      </x:c>
      <x:c r="L902" s="75" t="str">
        <x:v>R3_5of50_2of12</x:v>
      </x:c>
      <x:c r="M902" s="213" t="str">
        <x:v>S2_post_2024_studio_change_sensitivity_only</x:v>
      </x:c>
      <x:c r="N902" s="213" t="str">
        <x:v>Friday</x:v>
      </x:c>
      <x:c r="O902" s="213" t="str">
        <x:v>LottoMetrics full-history export</x:v>
      </x:c>
      <x:c r="P902" s="213" t="str">
        <x:v>Cross-checked: OPAP uploads + public archive</x:v>
      </x:c>
      <x:c r="Q902" s="54" t="str"/>
    </x:row>
    <x:row r="903">
      <x:c r="A903" s="74" t="n">
        <x:v>900</x:v>
      </x:c>
      <x:c r="B903" s="217" t="n">
        <x:v>45965</x:v>
      </x:c>
      <x:c r="C903" s="75" t="n">
        <x:v>3</x:v>
      </x:c>
      <x:c r="D903" s="75" t="n">
        <x:v>21</x:v>
      </x:c>
      <x:c r="E903" s="75" t="n">
        <x:v>22</x:v>
      </x:c>
      <x:c r="F903" s="75" t="n">
        <x:v>33</x:v>
      </x:c>
      <x:c r="G903" s="75" t="n">
        <x:v>39</x:v>
      </x:c>
      <x:c r="H903" s="75" t="n">
        <x:v>1</x:v>
      </x:c>
      <x:c r="I903" s="75" t="n">
        <x:v>9</x:v>
      </x:c>
      <x:c r="J903" s="75" t="n">
        <x:v>50</x:v>
      </x:c>
      <x:c r="K903" s="75" t="n">
        <x:v>12</x:v>
      </x:c>
      <x:c r="L903" s="75" t="str">
        <x:v>R3_5of50_2of12</x:v>
      </x:c>
      <x:c r="M903" s="213" t="str">
        <x:v>S2_post_2024_studio_change_sensitivity_only</x:v>
      </x:c>
      <x:c r="N903" s="213" t="str">
        <x:v>Tuesday</x:v>
      </x:c>
      <x:c r="O903" s="213" t="str">
        <x:v>LottoMetrics full-history export</x:v>
      </x:c>
      <x:c r="P903" s="213" t="str">
        <x:v>Cross-checked: OPAP uploads + public archive</x:v>
      </x:c>
      <x:c r="Q903" s="54" t="str"/>
    </x:row>
    <x:row r="904">
      <x:c r="A904" s="74" t="n">
        <x:v>901</x:v>
      </x:c>
      <x:c r="B904" s="217" t="n">
        <x:v>45968</x:v>
      </x:c>
      <x:c r="C904" s="75" t="n">
        <x:v>13</x:v>
      </x:c>
      <x:c r="D904" s="75" t="n">
        <x:v>19</x:v>
      </x:c>
      <x:c r="E904" s="75" t="n">
        <x:v>22</x:v>
      </x:c>
      <x:c r="F904" s="75" t="n">
        <x:v>35</x:v>
      </x:c>
      <x:c r="G904" s="75" t="n">
        <x:v>40</x:v>
      </x:c>
      <x:c r="H904" s="75" t="n">
        <x:v>2</x:v>
      </x:c>
      <x:c r="I904" s="75" t="n">
        <x:v>8</x:v>
      </x:c>
      <x:c r="J904" s="75" t="n">
        <x:v>50</x:v>
      </x:c>
      <x:c r="K904" s="75" t="n">
        <x:v>12</x:v>
      </x:c>
      <x:c r="L904" s="75" t="str">
        <x:v>R3_5of50_2of12</x:v>
      </x:c>
      <x:c r="M904" s="213" t="str">
        <x:v>S2_post_2024_studio_change_sensitivity_only</x:v>
      </x:c>
      <x:c r="N904" s="213" t="str">
        <x:v>Friday</x:v>
      </x:c>
      <x:c r="O904" s="213" t="str">
        <x:v>LottoMetrics full-history export</x:v>
      </x:c>
      <x:c r="P904" s="213" t="str">
        <x:v>Cross-checked: OPAP uploads + public archive</x:v>
      </x:c>
      <x:c r="Q904" s="54" t="str"/>
    </x:row>
    <x:row r="905">
      <x:c r="A905" s="74" t="n">
        <x:v>902</x:v>
      </x:c>
      <x:c r="B905" s="217" t="n">
        <x:v>45972</x:v>
      </x:c>
      <x:c r="C905" s="75" t="n">
        <x:v>8</x:v>
      </x:c>
      <x:c r="D905" s="75" t="n">
        <x:v>24</x:v>
      </x:c>
      <x:c r="E905" s="75" t="n">
        <x:v>25</x:v>
      </x:c>
      <x:c r="F905" s="75" t="n">
        <x:v>41</x:v>
      </x:c>
      <x:c r="G905" s="75" t="n">
        <x:v>50</x:v>
      </x:c>
      <x:c r="H905" s="75" t="n">
        <x:v>8</x:v>
      </x:c>
      <x:c r="I905" s="75" t="n">
        <x:v>9</x:v>
      </x:c>
      <x:c r="J905" s="75" t="n">
        <x:v>50</x:v>
      </x:c>
      <x:c r="K905" s="75" t="n">
        <x:v>12</x:v>
      </x:c>
      <x:c r="L905" s="75" t="str">
        <x:v>R3_5of50_2of12</x:v>
      </x:c>
      <x:c r="M905" s="213" t="str">
        <x:v>S2_post_2024_studio_change_sensitivity_only</x:v>
      </x:c>
      <x:c r="N905" s="213" t="str">
        <x:v>Tuesday</x:v>
      </x:c>
      <x:c r="O905" s="213" t="str">
        <x:v>LottoMetrics full-history export</x:v>
      </x:c>
      <x:c r="P905" s="213" t="str">
        <x:v>Cross-checked: OPAP uploads + public archive</x:v>
      </x:c>
      <x:c r="Q905" s="54" t="str"/>
    </x:row>
    <x:row r="906">
      <x:c r="A906" s="74" t="n">
        <x:v>903</x:v>
      </x:c>
      <x:c r="B906" s="217" t="n">
        <x:v>45975</x:v>
      </x:c>
      <x:c r="C906" s="75" t="n">
        <x:v>3</x:v>
      </x:c>
      <x:c r="D906" s="75" t="n">
        <x:v>5</x:v>
      </x:c>
      <x:c r="E906" s="75" t="n">
        <x:v>20</x:v>
      </x:c>
      <x:c r="F906" s="75" t="n">
        <x:v>30</x:v>
      </x:c>
      <x:c r="G906" s="75" t="n">
        <x:v>37</x:v>
      </x:c>
      <x:c r="H906" s="75" t="n">
        <x:v>6</x:v>
      </x:c>
      <x:c r="I906" s="75" t="n">
        <x:v>12</x:v>
      </x:c>
      <x:c r="J906" s="75" t="n">
        <x:v>50</x:v>
      </x:c>
      <x:c r="K906" s="75" t="n">
        <x:v>12</x:v>
      </x:c>
      <x:c r="L906" s="75" t="str">
        <x:v>R3_5of50_2of12</x:v>
      </x:c>
      <x:c r="M906" s="213" t="str">
        <x:v>S2_post_2024_studio_change_sensitivity_only</x:v>
      </x:c>
      <x:c r="N906" s="213" t="str">
        <x:v>Friday</x:v>
      </x:c>
      <x:c r="O906" s="213" t="str">
        <x:v>LottoMetrics full-history export</x:v>
      </x:c>
      <x:c r="P906" s="213" t="str">
        <x:v>Cross-checked: OPAP uploads + public archive</x:v>
      </x:c>
      <x:c r="Q906" s="54" t="str"/>
    </x:row>
    <x:row r="907">
      <x:c r="A907" s="74" t="n">
        <x:v>904</x:v>
      </x:c>
      <x:c r="B907" s="217" t="n">
        <x:v>45979</x:v>
      </x:c>
      <x:c r="C907" s="75" t="n">
        <x:v>19</x:v>
      </x:c>
      <x:c r="D907" s="75" t="n">
        <x:v>25</x:v>
      </x:c>
      <x:c r="E907" s="75" t="n">
        <x:v>27</x:v>
      </x:c>
      <x:c r="F907" s="75" t="n">
        <x:v>41</x:v>
      </x:c>
      <x:c r="G907" s="75" t="n">
        <x:v>49</x:v>
      </x:c>
      <x:c r="H907" s="75" t="n">
        <x:v>3</x:v>
      </x:c>
      <x:c r="I907" s="75" t="n">
        <x:v>9</x:v>
      </x:c>
      <x:c r="J907" s="75" t="n">
        <x:v>50</x:v>
      </x:c>
      <x:c r="K907" s="75" t="n">
        <x:v>12</x:v>
      </x:c>
      <x:c r="L907" s="75" t="str">
        <x:v>R3_5of50_2of12</x:v>
      </x:c>
      <x:c r="M907" s="213" t="str">
        <x:v>S2_post_2024_studio_change_sensitivity_only</x:v>
      </x:c>
      <x:c r="N907" s="213" t="str">
        <x:v>Tuesday</x:v>
      </x:c>
      <x:c r="O907" s="213" t="str">
        <x:v>LottoMetrics full-history export</x:v>
      </x:c>
      <x:c r="P907" s="213" t="str">
        <x:v>Cross-checked: OPAP uploads + public archive</x:v>
      </x:c>
      <x:c r="Q907" s="54" t="str"/>
    </x:row>
    <x:row r="908">
      <x:c r="A908" s="74" t="n">
        <x:v>905</x:v>
      </x:c>
      <x:c r="B908" s="217" t="n">
        <x:v>45982</x:v>
      </x:c>
      <x:c r="C908" s="75" t="n">
        <x:v>15</x:v>
      </x:c>
      <x:c r="D908" s="75" t="n">
        <x:v>24</x:v>
      </x:c>
      <x:c r="E908" s="75" t="n">
        <x:v>30</x:v>
      </x:c>
      <x:c r="F908" s="75" t="n">
        <x:v>45</x:v>
      </x:c>
      <x:c r="G908" s="75" t="n">
        <x:v>50</x:v>
      </x:c>
      <x:c r="H908" s="75" t="n">
        <x:v>5</x:v>
      </x:c>
      <x:c r="I908" s="75" t="n">
        <x:v>6</x:v>
      </x:c>
      <x:c r="J908" s="75" t="n">
        <x:v>50</x:v>
      </x:c>
      <x:c r="K908" s="75" t="n">
        <x:v>12</x:v>
      </x:c>
      <x:c r="L908" s="75" t="str">
        <x:v>R3_5of50_2of12</x:v>
      </x:c>
      <x:c r="M908" s="213" t="str">
        <x:v>S2_post_2024_studio_change_sensitivity_only</x:v>
      </x:c>
      <x:c r="N908" s="213" t="str">
        <x:v>Friday</x:v>
      </x:c>
      <x:c r="O908" s="213" t="str">
        <x:v>LottoMetrics full-history export</x:v>
      </x:c>
      <x:c r="P908" s="213" t="str">
        <x:v>Cross-checked: OPAP uploads + public archive</x:v>
      </x:c>
      <x:c r="Q908" s="54" t="str"/>
    </x:row>
    <x:row r="909">
      <x:c r="A909" s="74" t="n">
        <x:v>906</x:v>
      </x:c>
      <x:c r="B909" s="217" t="n">
        <x:v>45986</x:v>
      </x:c>
      <x:c r="C909" s="75" t="n">
        <x:v>1</x:v>
      </x:c>
      <x:c r="D909" s="75" t="n">
        <x:v>23</x:v>
      </x:c>
      <x:c r="E909" s="75" t="n">
        <x:v>30</x:v>
      </x:c>
      <x:c r="F909" s="75" t="n">
        <x:v>35</x:v>
      </x:c>
      <x:c r="G909" s="75" t="n">
        <x:v>46</x:v>
      </x:c>
      <x:c r="H909" s="75" t="n">
        <x:v>4</x:v>
      </x:c>
      <x:c r="I909" s="75" t="n">
        <x:v>8</x:v>
      </x:c>
      <x:c r="J909" s="75" t="n">
        <x:v>50</x:v>
      </x:c>
      <x:c r="K909" s="75" t="n">
        <x:v>12</x:v>
      </x:c>
      <x:c r="L909" s="75" t="str">
        <x:v>R3_5of50_2of12</x:v>
      </x:c>
      <x:c r="M909" s="213" t="str">
        <x:v>S2_post_2024_studio_change_sensitivity_only</x:v>
      </x:c>
      <x:c r="N909" s="213" t="str">
        <x:v>Tuesday</x:v>
      </x:c>
      <x:c r="O909" s="213" t="str">
        <x:v>LottoMetrics full-history export</x:v>
      </x:c>
      <x:c r="P909" s="213" t="str">
        <x:v>Cross-checked: OPAP uploads + public archive</x:v>
      </x:c>
      <x:c r="Q909" s="54" t="str"/>
    </x:row>
    <x:row r="910">
      <x:c r="A910" s="74" t="n">
        <x:v>907</x:v>
      </x:c>
      <x:c r="B910" s="217" t="n">
        <x:v>45989</x:v>
      </x:c>
      <x:c r="C910" s="75" t="n">
        <x:v>12</x:v>
      </x:c>
      <x:c r="D910" s="75" t="n">
        <x:v>16</x:v>
      </x:c>
      <x:c r="E910" s="75" t="n">
        <x:v>35</x:v>
      </x:c>
      <x:c r="F910" s="75" t="n">
        <x:v>46</x:v>
      </x:c>
      <x:c r="G910" s="75" t="n">
        <x:v>50</x:v>
      </x:c>
      <x:c r="H910" s="75" t="n">
        <x:v>3</x:v>
      </x:c>
      <x:c r="I910" s="75" t="n">
        <x:v>5</x:v>
      </x:c>
      <x:c r="J910" s="75" t="n">
        <x:v>50</x:v>
      </x:c>
      <x:c r="K910" s="75" t="n">
        <x:v>12</x:v>
      </x:c>
      <x:c r="L910" s="75" t="str">
        <x:v>R3_5of50_2of12</x:v>
      </x:c>
      <x:c r="M910" s="213" t="str">
        <x:v>S2_post_2024_studio_change_sensitivity_only</x:v>
      </x:c>
      <x:c r="N910" s="213" t="str">
        <x:v>Friday</x:v>
      </x:c>
      <x:c r="O910" s="213" t="str">
        <x:v>LottoMetrics full-history export</x:v>
      </x:c>
      <x:c r="P910" s="213" t="str">
        <x:v>Cross-checked: OPAP uploads + public archive</x:v>
      </x:c>
      <x:c r="Q910" s="54" t="str"/>
    </x:row>
    <x:row r="911">
      <x:c r="A911" s="74" t="n">
        <x:v>908</x:v>
      </x:c>
      <x:c r="B911" s="217" t="n">
        <x:v>45993</x:v>
      </x:c>
      <x:c r="C911" s="75" t="n">
        <x:v>14</x:v>
      </x:c>
      <x:c r="D911" s="75" t="n">
        <x:v>30</x:v>
      </x:c>
      <x:c r="E911" s="75" t="n">
        <x:v>34</x:v>
      </x:c>
      <x:c r="F911" s="75" t="n">
        <x:v>35</x:v>
      </x:c>
      <x:c r="G911" s="75" t="n">
        <x:v>40</x:v>
      </x:c>
      <x:c r="H911" s="75" t="n">
        <x:v>4</x:v>
      </x:c>
      <x:c r="I911" s="75" t="n">
        <x:v>6</x:v>
      </x:c>
      <x:c r="J911" s="75" t="n">
        <x:v>50</x:v>
      </x:c>
      <x:c r="K911" s="75" t="n">
        <x:v>12</x:v>
      </x:c>
      <x:c r="L911" s="75" t="str">
        <x:v>R3_5of50_2of12</x:v>
      </x:c>
      <x:c r="M911" s="213" t="str">
        <x:v>S2_post_2024_studio_change_sensitivity_only</x:v>
      </x:c>
      <x:c r="N911" s="213" t="str">
        <x:v>Tuesday</x:v>
      </x:c>
      <x:c r="O911" s="213" t="str">
        <x:v>LottoMetrics full-history export</x:v>
      </x:c>
      <x:c r="P911" s="213" t="str">
        <x:v>Cross-checked: OPAP uploads + public archive</x:v>
      </x:c>
      <x:c r="Q911" s="54" t="str"/>
    </x:row>
    <x:row r="912">
      <x:c r="A912" s="74" t="n">
        <x:v>909</x:v>
      </x:c>
      <x:c r="B912" s="217" t="n">
        <x:v>45996</x:v>
      </x:c>
      <x:c r="C912" s="75" t="n">
        <x:v>1</x:v>
      </x:c>
      <x:c r="D912" s="75" t="n">
        <x:v>4</x:v>
      </x:c>
      <x:c r="E912" s="75" t="n">
        <x:v>18</x:v>
      </x:c>
      <x:c r="F912" s="75" t="n">
        <x:v>22</x:v>
      </x:c>
      <x:c r="G912" s="75" t="n">
        <x:v>24</x:v>
      </x:c>
      <x:c r="H912" s="75" t="n">
        <x:v>6</x:v>
      </x:c>
      <x:c r="I912" s="75" t="n">
        <x:v>10</x:v>
      </x:c>
      <x:c r="J912" s="75" t="n">
        <x:v>50</x:v>
      </x:c>
      <x:c r="K912" s="75" t="n">
        <x:v>12</x:v>
      </x:c>
      <x:c r="L912" s="75" t="str">
        <x:v>R3_5of50_2of12</x:v>
      </x:c>
      <x:c r="M912" s="213" t="str">
        <x:v>S2_post_2024_studio_change_sensitivity_only</x:v>
      </x:c>
      <x:c r="N912" s="213" t="str">
        <x:v>Friday</x:v>
      </x:c>
      <x:c r="O912" s="213" t="str">
        <x:v>LottoMetrics full-history export</x:v>
      </x:c>
      <x:c r="P912" s="213" t="str">
        <x:v>Cross-checked: OPAP uploads + public archive</x:v>
      </x:c>
      <x:c r="Q912" s="54" t="str"/>
    </x:row>
    <x:row r="913">
      <x:c r="A913" s="74" t="n">
        <x:v>910</x:v>
      </x:c>
      <x:c r="B913" s="217" t="n">
        <x:v>46000</x:v>
      </x:c>
      <x:c r="C913" s="75" t="n">
        <x:v>2</x:v>
      </x:c>
      <x:c r="D913" s="75" t="n">
        <x:v>30</x:v>
      </x:c>
      <x:c r="E913" s="75" t="n">
        <x:v>32</x:v>
      </x:c>
      <x:c r="F913" s="75" t="n">
        <x:v>33</x:v>
      </x:c>
      <x:c r="G913" s="75" t="n">
        <x:v>37</x:v>
      </x:c>
      <x:c r="H913" s="75" t="n">
        <x:v>2</x:v>
      </x:c>
      <x:c r="I913" s="75" t="n">
        <x:v>9</x:v>
      </x:c>
      <x:c r="J913" s="75" t="n">
        <x:v>50</x:v>
      </x:c>
      <x:c r="K913" s="75" t="n">
        <x:v>12</x:v>
      </x:c>
      <x:c r="L913" s="75" t="str">
        <x:v>R3_5of50_2of12</x:v>
      </x:c>
      <x:c r="M913" s="213" t="str">
        <x:v>S2_post_2024_studio_change_sensitivity_only</x:v>
      </x:c>
      <x:c r="N913" s="213" t="str">
        <x:v>Tuesday</x:v>
      </x:c>
      <x:c r="O913" s="213" t="str">
        <x:v>LottoMetrics full-history export</x:v>
      </x:c>
      <x:c r="P913" s="213" t="str">
        <x:v>Cross-checked: OPAP uploads + public archive</x:v>
      </x:c>
      <x:c r="Q913" s="54" t="str"/>
    </x:row>
    <x:row r="914">
      <x:c r="A914" s="74" t="n">
        <x:v>911</x:v>
      </x:c>
      <x:c r="B914" s="217" t="n">
        <x:v>46003</x:v>
      </x:c>
      <x:c r="C914" s="75" t="n">
        <x:v>2</x:v>
      </x:c>
      <x:c r="D914" s="75" t="n">
        <x:v>25</x:v>
      </x:c>
      <x:c r="E914" s="75" t="n">
        <x:v>27</x:v>
      </x:c>
      <x:c r="F914" s="75" t="n">
        <x:v>37</x:v>
      </x:c>
      <x:c r="G914" s="75" t="n">
        <x:v>50</x:v>
      </x:c>
      <x:c r="H914" s="75" t="n">
        <x:v>2</x:v>
      </x:c>
      <x:c r="I914" s="75" t="n">
        <x:v>11</x:v>
      </x:c>
      <x:c r="J914" s="75" t="n">
        <x:v>50</x:v>
      </x:c>
      <x:c r="K914" s="75" t="n">
        <x:v>12</x:v>
      </x:c>
      <x:c r="L914" s="75" t="str">
        <x:v>R3_5of50_2of12</x:v>
      </x:c>
      <x:c r="M914" s="213" t="str">
        <x:v>S2_post_2024_studio_change_sensitivity_only</x:v>
      </x:c>
      <x:c r="N914" s="213" t="str">
        <x:v>Friday</x:v>
      </x:c>
      <x:c r="O914" s="213" t="str">
        <x:v>LottoMetrics full-history export</x:v>
      </x:c>
      <x:c r="P914" s="213" t="str">
        <x:v>Cross-checked: OPAP uploads + public archive</x:v>
      </x:c>
      <x:c r="Q914" s="54" t="str"/>
    </x:row>
    <x:row r="915">
      <x:c r="A915" s="74" t="n">
        <x:v>912</x:v>
      </x:c>
      <x:c r="B915" s="217" t="n">
        <x:v>46007</x:v>
      </x:c>
      <x:c r="C915" s="75" t="n">
        <x:v>12</x:v>
      </x:c>
      <x:c r="D915" s="75" t="n">
        <x:v>22</x:v>
      </x:c>
      <x:c r="E915" s="75" t="n">
        <x:v>28</x:v>
      </x:c>
      <x:c r="F915" s="75" t="n">
        <x:v>30</x:v>
      </x:c>
      <x:c r="G915" s="75" t="n">
        <x:v>31</x:v>
      </x:c>
      <x:c r="H915" s="75" t="n">
        <x:v>4</x:v>
      </x:c>
      <x:c r="I915" s="75" t="n">
        <x:v>11</x:v>
      </x:c>
      <x:c r="J915" s="75" t="n">
        <x:v>50</x:v>
      </x:c>
      <x:c r="K915" s="75" t="n">
        <x:v>12</x:v>
      </x:c>
      <x:c r="L915" s="75" t="str">
        <x:v>R3_5of50_2of12</x:v>
      </x:c>
      <x:c r="M915" s="213" t="str">
        <x:v>S2_post_2024_studio_change_sensitivity_only</x:v>
      </x:c>
      <x:c r="N915" s="213" t="str">
        <x:v>Tuesday</x:v>
      </x:c>
      <x:c r="O915" s="213" t="str">
        <x:v>LottoMetrics full-history export</x:v>
      </x:c>
      <x:c r="P915" s="213" t="str">
        <x:v>Cross-checked: OPAP uploads + public archive</x:v>
      </x:c>
      <x:c r="Q915" s="54" t="str"/>
    </x:row>
    <x:row r="916">
      <x:c r="A916" s="74" t="n">
        <x:v>913</x:v>
      </x:c>
      <x:c r="B916" s="217" t="n">
        <x:v>46010</x:v>
      </x:c>
      <x:c r="C916" s="75" t="n">
        <x:v>8</x:v>
      </x:c>
      <x:c r="D916" s="75" t="n">
        <x:v>9</x:v>
      </x:c>
      <x:c r="E916" s="75" t="n">
        <x:v>15</x:v>
      </x:c>
      <x:c r="F916" s="75" t="n">
        <x:v>35</x:v>
      </x:c>
      <x:c r="G916" s="75" t="n">
        <x:v>45</x:v>
      </x:c>
      <x:c r="H916" s="75" t="n">
        <x:v>2</x:v>
      </x:c>
      <x:c r="I916" s="75" t="n">
        <x:v>5</x:v>
      </x:c>
      <x:c r="J916" s="75" t="n">
        <x:v>50</x:v>
      </x:c>
      <x:c r="K916" s="75" t="n">
        <x:v>12</x:v>
      </x:c>
      <x:c r="L916" s="75" t="str">
        <x:v>R3_5of50_2of12</x:v>
      </x:c>
      <x:c r="M916" s="213" t="str">
        <x:v>S2_post_2024_studio_change_sensitivity_only</x:v>
      </x:c>
      <x:c r="N916" s="213" t="str">
        <x:v>Friday</x:v>
      </x:c>
      <x:c r="O916" s="213" t="str">
        <x:v>LottoMetrics full-history export</x:v>
      </x:c>
      <x:c r="P916" s="213" t="str">
        <x:v>Cross-checked: OPAP uploads + public archive</x:v>
      </x:c>
      <x:c r="Q916" s="54" t="str"/>
    </x:row>
    <x:row r="917">
      <x:c r="A917" s="74" t="n">
        <x:v>914</x:v>
      </x:c>
      <x:c r="B917" s="217" t="n">
        <x:v>46014</x:v>
      </x:c>
      <x:c r="C917" s="75" t="n">
        <x:v>24</x:v>
      </x:c>
      <x:c r="D917" s="75" t="n">
        <x:v>29</x:v>
      </x:c>
      <x:c r="E917" s="75" t="n">
        <x:v>35</x:v>
      </x:c>
      <x:c r="F917" s="75" t="n">
        <x:v>40</x:v>
      </x:c>
      <x:c r="G917" s="75" t="n">
        <x:v>41</x:v>
      </x:c>
      <x:c r="H917" s="75" t="n">
        <x:v>6</x:v>
      </x:c>
      <x:c r="I917" s="75" t="n">
        <x:v>7</x:v>
      </x:c>
      <x:c r="J917" s="75" t="n">
        <x:v>50</x:v>
      </x:c>
      <x:c r="K917" s="75" t="n">
        <x:v>12</x:v>
      </x:c>
      <x:c r="L917" s="75" t="str">
        <x:v>R3_5of50_2of12</x:v>
      </x:c>
      <x:c r="M917" s="213" t="str">
        <x:v>S2_post_2024_studio_change_sensitivity_only</x:v>
      </x:c>
      <x:c r="N917" s="213" t="str">
        <x:v>Tuesday</x:v>
      </x:c>
      <x:c r="O917" s="213" t="str">
        <x:v>LottoMetrics full-history export</x:v>
      </x:c>
      <x:c r="P917" s="213" t="str">
        <x:v>Cross-checked: OPAP uploads + public archive</x:v>
      </x:c>
      <x:c r="Q917" s="54" t="str"/>
    </x:row>
    <x:row r="918">
      <x:c r="A918" s="74" t="n">
        <x:v>915</x:v>
      </x:c>
      <x:c r="B918" s="217" t="n">
        <x:v>46017</x:v>
      </x:c>
      <x:c r="C918" s="75" t="n">
        <x:v>15</x:v>
      </x:c>
      <x:c r="D918" s="75" t="n">
        <x:v>21</x:v>
      </x:c>
      <x:c r="E918" s="75" t="n">
        <x:v>26</x:v>
      </x:c>
      <x:c r="F918" s="75" t="n">
        <x:v>29</x:v>
      </x:c>
      <x:c r="G918" s="75" t="n">
        <x:v>42</x:v>
      </x:c>
      <x:c r="H918" s="75" t="n">
        <x:v>4</x:v>
      </x:c>
      <x:c r="I918" s="75" t="n">
        <x:v>12</x:v>
      </x:c>
      <x:c r="J918" s="75" t="n">
        <x:v>50</x:v>
      </x:c>
      <x:c r="K918" s="75" t="n">
        <x:v>12</x:v>
      </x:c>
      <x:c r="L918" s="75" t="str">
        <x:v>R3_5of50_2of12</x:v>
      </x:c>
      <x:c r="M918" s="213" t="str">
        <x:v>S2_post_2024_studio_change_sensitivity_only</x:v>
      </x:c>
      <x:c r="N918" s="213" t="str">
        <x:v>Friday</x:v>
      </x:c>
      <x:c r="O918" s="213" t="str">
        <x:v>LottoMetrics full-history export</x:v>
      </x:c>
      <x:c r="P918" s="213" t="str">
        <x:v>Cross-checked: OPAP uploads + public archive</x:v>
      </x:c>
      <x:c r="Q918" s="54" t="str"/>
    </x:row>
    <x:row r="919">
      <x:c r="A919" s="74" t="n">
        <x:v>916</x:v>
      </x:c>
      <x:c r="B919" s="217" t="n">
        <x:v>46021</x:v>
      </x:c>
      <x:c r="C919" s="75" t="n">
        <x:v>10</x:v>
      </x:c>
      <x:c r="D919" s="75" t="n">
        <x:v>18</x:v>
      </x:c>
      <x:c r="E919" s="75" t="n">
        <x:v>20</x:v>
      </x:c>
      <x:c r="F919" s="75" t="n">
        <x:v>23</x:v>
      </x:c>
      <x:c r="G919" s="75" t="n">
        <x:v>27</x:v>
      </x:c>
      <x:c r="H919" s="75" t="n">
        <x:v>1</x:v>
      </x:c>
      <x:c r="I919" s="75" t="n">
        <x:v>6</x:v>
      </x:c>
      <x:c r="J919" s="75" t="n">
        <x:v>50</x:v>
      </x:c>
      <x:c r="K919" s="75" t="n">
        <x:v>12</x:v>
      </x:c>
      <x:c r="L919" s="75" t="str">
        <x:v>R3_5of50_2of12</x:v>
      </x:c>
      <x:c r="M919" s="213" t="str">
        <x:v>S2_post_2024_studio_change_sensitivity_only</x:v>
      </x:c>
      <x:c r="N919" s="213" t="str">
        <x:v>Tuesday</x:v>
      </x:c>
      <x:c r="O919" s="213" t="str">
        <x:v>LottoMetrics full-history export</x:v>
      </x:c>
      <x:c r="P919" s="213" t="str">
        <x:v>Cross-checked: OPAP uploads + public archive</x:v>
      </x:c>
      <x:c r="Q919" s="54" t="str"/>
    </x:row>
    <x:row r="920">
      <x:c r="A920" s="74" t="n">
        <x:v>917</x:v>
      </x:c>
      <x:c r="B920" s="217" t="n">
        <x:v>46024</x:v>
      </x:c>
      <x:c r="C920" s="75" t="n">
        <x:v>10</x:v>
      </x:c>
      <x:c r="D920" s="75" t="n">
        <x:v>15</x:v>
      </x:c>
      <x:c r="E920" s="75" t="n">
        <x:v>29</x:v>
      </x:c>
      <x:c r="F920" s="75" t="n">
        <x:v>34</x:v>
      </x:c>
      <x:c r="G920" s="75" t="n">
        <x:v>38</x:v>
      </x:c>
      <x:c r="H920" s="75" t="n">
        <x:v>2</x:v>
      </x:c>
      <x:c r="I920" s="75" t="n">
        <x:v>9</x:v>
      </x:c>
      <x:c r="J920" s="75" t="n">
        <x:v>50</x:v>
      </x:c>
      <x:c r="K920" s="75" t="n">
        <x:v>12</x:v>
      </x:c>
      <x:c r="L920" s="75" t="str">
        <x:v>R3_5of50_2of12</x:v>
      </x:c>
      <x:c r="M920" s="213" t="str">
        <x:v>S2_post_2024_studio_change_sensitivity_only</x:v>
      </x:c>
      <x:c r="N920" s="213" t="str">
        <x:v>Friday</x:v>
      </x:c>
      <x:c r="O920" s="213" t="str">
        <x:v>LottoMetrics full-history export</x:v>
      </x:c>
      <x:c r="P920" s="213" t="str">
        <x:v>Cross-checked: OPAP uploads + public archive</x:v>
      </x:c>
      <x:c r="Q920" s="54" t="str"/>
    </x:row>
    <x:row r="921">
      <x:c r="A921" s="74" t="n">
        <x:v>918</x:v>
      </x:c>
      <x:c r="B921" s="217" t="n">
        <x:v>46028</x:v>
      </x:c>
      <x:c r="C921" s="75" t="n">
        <x:v>21</x:v>
      </x:c>
      <x:c r="D921" s="75" t="n">
        <x:v>23</x:v>
      </x:c>
      <x:c r="E921" s="75" t="n">
        <x:v>30</x:v>
      </x:c>
      <x:c r="F921" s="75" t="n">
        <x:v>33</x:v>
      </x:c>
      <x:c r="G921" s="75" t="n">
        <x:v>38</x:v>
      </x:c>
      <x:c r="H921" s="75" t="n">
        <x:v>8</x:v>
      </x:c>
      <x:c r="I921" s="75" t="n">
        <x:v>12</x:v>
      </x:c>
      <x:c r="J921" s="75" t="n">
        <x:v>50</x:v>
      </x:c>
      <x:c r="K921" s="75" t="n">
        <x:v>12</x:v>
      </x:c>
      <x:c r="L921" s="75" t="str">
        <x:v>R3_5of50_2of12</x:v>
      </x:c>
      <x:c r="M921" s="213" t="str">
        <x:v>S2_post_2024_studio_change_sensitivity_only</x:v>
      </x:c>
      <x:c r="N921" s="213" t="str">
        <x:v>Tuesday</x:v>
      </x:c>
      <x:c r="O921" s="213" t="str">
        <x:v>Uploaded OPAP file + independent web verification</x:v>
      </x:c>
      <x:c r="P921" s="213" t="str">
        <x:v>Cross-checked: OPAP uploads + public archive</x:v>
      </x:c>
      <x:c r="Q921" s="54" t="str">
        <x:v>Added missing record</x:v>
      </x:c>
    </x:row>
    <x:row r="922">
      <x:c r="A922" s="74" t="n">
        <x:v>919</x:v>
      </x:c>
      <x:c r="B922" s="217" t="n">
        <x:v>46031</x:v>
      </x:c>
      <x:c r="C922" s="75" t="n">
        <x:v>1</x:v>
      </x:c>
      <x:c r="D922" s="75" t="n">
        <x:v>17</x:v>
      </x:c>
      <x:c r="E922" s="75" t="n">
        <x:v>19</x:v>
      </x:c>
      <x:c r="F922" s="75" t="n">
        <x:v>25</x:v>
      </x:c>
      <x:c r="G922" s="75" t="n">
        <x:v>41</x:v>
      </x:c>
      <x:c r="H922" s="75" t="n">
        <x:v>6</x:v>
      </x:c>
      <x:c r="I922" s="75" t="n">
        <x:v>12</x:v>
      </x:c>
      <x:c r="J922" s="75" t="n">
        <x:v>50</x:v>
      </x:c>
      <x:c r="K922" s="75" t="n">
        <x:v>12</x:v>
      </x:c>
      <x:c r="L922" s="75" t="str">
        <x:v>R3_5of50_2of12</x:v>
      </x:c>
      <x:c r="M922" s="213" t="str">
        <x:v>S2_post_2024_studio_change_sensitivity_only</x:v>
      </x:c>
      <x:c r="N922" s="213" t="str">
        <x:v>Friday</x:v>
      </x:c>
      <x:c r="O922" s="213" t="str">
        <x:v>Uploaded OPAP file + independent web verification</x:v>
      </x:c>
      <x:c r="P922" s="213" t="str">
        <x:v>Cross-checked: OPAP uploads + public archive</x:v>
      </x:c>
      <x:c r="Q922" s="54" t="str">
        <x:v>Added missing record</x:v>
      </x:c>
    </x:row>
    <x:row r="923">
      <x:c r="A923" s="74" t="n">
        <x:v>920</x:v>
      </x:c>
      <x:c r="B923" s="217" t="n">
        <x:v>46035</x:v>
      </x:c>
      <x:c r="C923" s="75" t="n">
        <x:v>2</x:v>
      </x:c>
      <x:c r="D923" s="75" t="n">
        <x:v>16</x:v>
      </x:c>
      <x:c r="E923" s="75" t="n">
        <x:v>27</x:v>
      </x:c>
      <x:c r="F923" s="75" t="n">
        <x:v>33</x:v>
      </x:c>
      <x:c r="G923" s="75" t="n">
        <x:v>47</x:v>
      </x:c>
      <x:c r="H923" s="75" t="n">
        <x:v>6</x:v>
      </x:c>
      <x:c r="I923" s="75" t="n">
        <x:v>12</x:v>
      </x:c>
      <x:c r="J923" s="75" t="n">
        <x:v>50</x:v>
      </x:c>
      <x:c r="K923" s="75" t="n">
        <x:v>12</x:v>
      </x:c>
      <x:c r="L923" s="75" t="str">
        <x:v>R3_5of50_2of12</x:v>
      </x:c>
      <x:c r="M923" s="213" t="str">
        <x:v>S2_post_2024_studio_change_sensitivity_only</x:v>
      </x:c>
      <x:c r="N923" s="213" t="str">
        <x:v>Tuesday</x:v>
      </x:c>
      <x:c r="O923" s="213" t="str">
        <x:v>Uploaded OPAP file + independent web verification</x:v>
      </x:c>
      <x:c r="P923" s="213" t="str">
        <x:v>Cross-checked: OPAP uploads + public archive</x:v>
      </x:c>
      <x:c r="Q923" s="54" t="str">
        <x:v>Added missing record</x:v>
      </x:c>
    </x:row>
    <x:row r="924">
      <x:c r="A924" s="74" t="n">
        <x:v>921</x:v>
      </x:c>
      <x:c r="B924" s="217" t="n">
        <x:v>46038</x:v>
      </x:c>
      <x:c r="C924" s="75" t="n">
        <x:v>8</x:v>
      </x:c>
      <x:c r="D924" s="75" t="n">
        <x:v>16</x:v>
      </x:c>
      <x:c r="E924" s="75" t="n">
        <x:v>37</x:v>
      </x:c>
      <x:c r="F924" s="75" t="n">
        <x:v>39</x:v>
      </x:c>
      <x:c r="G924" s="75" t="n">
        <x:v>48</x:v>
      </x:c>
      <x:c r="H924" s="75" t="n">
        <x:v>5</x:v>
      </x:c>
      <x:c r="I924" s="75" t="n">
        <x:v>11</x:v>
      </x:c>
      <x:c r="J924" s="75" t="n">
        <x:v>50</x:v>
      </x:c>
      <x:c r="K924" s="75" t="n">
        <x:v>12</x:v>
      </x:c>
      <x:c r="L924" s="75" t="str">
        <x:v>R3_5of50_2of12</x:v>
      </x:c>
      <x:c r="M924" s="213" t="str">
        <x:v>S2_post_2024_studio_change_sensitivity_only</x:v>
      </x:c>
      <x:c r="N924" s="213" t="str">
        <x:v>Friday</x:v>
      </x:c>
      <x:c r="O924" s="213" t="str">
        <x:v>LottoMetrics full-history export</x:v>
      </x:c>
      <x:c r="P924" s="213" t="str">
        <x:v>Cross-checked: OPAP uploads + public archive</x:v>
      </x:c>
      <x:c r="Q924" s="54" t="str"/>
    </x:row>
    <x:row r="925">
      <x:c r="A925" s="74" t="n">
        <x:v>922</x:v>
      </x:c>
      <x:c r="B925" s="217" t="n">
        <x:v>46042</x:v>
      </x:c>
      <x:c r="C925" s="75" t="n">
        <x:v>16</x:v>
      </x:c>
      <x:c r="D925" s="75" t="n">
        <x:v>26</x:v>
      </x:c>
      <x:c r="E925" s="75" t="n">
        <x:v>32</x:v>
      </x:c>
      <x:c r="F925" s="75" t="n">
        <x:v>37</x:v>
      </x:c>
      <x:c r="G925" s="75" t="n">
        <x:v>45</x:v>
      </x:c>
      <x:c r="H925" s="75" t="n">
        <x:v>2</x:v>
      </x:c>
      <x:c r="I925" s="75" t="n">
        <x:v>3</x:v>
      </x:c>
      <x:c r="J925" s="75" t="n">
        <x:v>50</x:v>
      </x:c>
      <x:c r="K925" s="75" t="n">
        <x:v>12</x:v>
      </x:c>
      <x:c r="L925" s="75" t="str">
        <x:v>R3_5of50_2of12</x:v>
      </x:c>
      <x:c r="M925" s="213" t="str">
        <x:v>S2_post_2024_studio_change_sensitivity_only</x:v>
      </x:c>
      <x:c r="N925" s="213" t="str">
        <x:v>Tuesday</x:v>
      </x:c>
      <x:c r="O925" s="213" t="str">
        <x:v>Uploaded OPAP file + independent web verification</x:v>
      </x:c>
      <x:c r="P925" s="213" t="str">
        <x:v>Cross-checked: OPAP uploads + public archive</x:v>
      </x:c>
      <x:c r="Q925" s="54" t="str">
        <x:v>Added missing record</x:v>
      </x:c>
    </x:row>
    <x:row r="926">
      <x:c r="A926" s="74" t="n">
        <x:v>923</x:v>
      </x:c>
      <x:c r="B926" s="217" t="n">
        <x:v>46045</x:v>
      </x:c>
      <x:c r="C926" s="75" t="n">
        <x:v>18</x:v>
      </x:c>
      <x:c r="D926" s="75" t="n">
        <x:v>36</x:v>
      </x:c>
      <x:c r="E926" s="75" t="n">
        <x:v>39</x:v>
      </x:c>
      <x:c r="F926" s="75" t="n">
        <x:v>45</x:v>
      </x:c>
      <x:c r="G926" s="75" t="n">
        <x:v>50</x:v>
      </x:c>
      <x:c r="H926" s="75" t="n">
        <x:v>6</x:v>
      </x:c>
      <x:c r="I926" s="75" t="n">
        <x:v>9</x:v>
      </x:c>
      <x:c r="J926" s="75" t="n">
        <x:v>50</x:v>
      </x:c>
      <x:c r="K926" s="75" t="n">
        <x:v>12</x:v>
      </x:c>
      <x:c r="L926" s="75" t="str">
        <x:v>R3_5of50_2of12</x:v>
      </x:c>
      <x:c r="M926" s="213" t="str">
        <x:v>S2_post_2024_studio_change_sensitivity_only</x:v>
      </x:c>
      <x:c r="N926" s="213" t="str">
        <x:v>Friday</x:v>
      </x:c>
      <x:c r="O926" s="213" t="str">
        <x:v>Uploaded OPAP file + independent web verification</x:v>
      </x:c>
      <x:c r="P926" s="213" t="str">
        <x:v>Cross-checked: OPAP uploads + public archive</x:v>
      </x:c>
      <x:c r="Q926" s="54" t="str">
        <x:v>Added missing record</x:v>
      </x:c>
    </x:row>
    <x:row r="927">
      <x:c r="A927" s="74" t="n">
        <x:v>924</x:v>
      </x:c>
      <x:c r="B927" s="217" t="n">
        <x:v>46049</x:v>
      </x:c>
      <x:c r="C927" s="75" t="n">
        <x:v>13</x:v>
      </x:c>
      <x:c r="D927" s="75" t="n">
        <x:v>18</x:v>
      </x:c>
      <x:c r="E927" s="75" t="n">
        <x:v>19</x:v>
      </x:c>
      <x:c r="F927" s="75" t="n">
        <x:v>29</x:v>
      </x:c>
      <x:c r="G927" s="75" t="n">
        <x:v>32</x:v>
      </x:c>
      <x:c r="H927" s="75" t="n">
        <x:v>8</x:v>
      </x:c>
      <x:c r="I927" s="75" t="n">
        <x:v>9</x:v>
      </x:c>
      <x:c r="J927" s="75" t="n">
        <x:v>50</x:v>
      </x:c>
      <x:c r="K927" s="75" t="n">
        <x:v>12</x:v>
      </x:c>
      <x:c r="L927" s="75" t="str">
        <x:v>R3_5of50_2of12</x:v>
      </x:c>
      <x:c r="M927" s="213" t="str">
        <x:v>S2_post_2024_studio_change_sensitivity_only</x:v>
      </x:c>
      <x:c r="N927" s="213" t="str">
        <x:v>Tuesday</x:v>
      </x:c>
      <x:c r="O927" s="213" t="str">
        <x:v>LottoMetrics full-history export</x:v>
      </x:c>
      <x:c r="P927" s="213" t="str">
        <x:v>Cross-checked: OPAP uploads + public archive</x:v>
      </x:c>
      <x:c r="Q927" s="54" t="str"/>
    </x:row>
    <x:row r="928">
      <x:c r="A928" s="74" t="n">
        <x:v>925</x:v>
      </x:c>
      <x:c r="B928" s="217" t="n">
        <x:v>46052</x:v>
      </x:c>
      <x:c r="C928" s="75" t="n">
        <x:v>8</x:v>
      </x:c>
      <x:c r="D928" s="75" t="n">
        <x:v>13</x:v>
      </x:c>
      <x:c r="E928" s="75" t="n">
        <x:v>15</x:v>
      </x:c>
      <x:c r="F928" s="75" t="n">
        <x:v>17</x:v>
      </x:c>
      <x:c r="G928" s="75" t="n">
        <x:v>37</x:v>
      </x:c>
      <x:c r="H928" s="75" t="n">
        <x:v>3</x:v>
      </x:c>
      <x:c r="I928" s="75" t="n">
        <x:v>7</x:v>
      </x:c>
      <x:c r="J928" s="75" t="n">
        <x:v>50</x:v>
      </x:c>
      <x:c r="K928" s="75" t="n">
        <x:v>12</x:v>
      </x:c>
      <x:c r="L928" s="75" t="str">
        <x:v>R3_5of50_2of12</x:v>
      </x:c>
      <x:c r="M928" s="213" t="str">
        <x:v>S2_post_2024_studio_change_sensitivity_only</x:v>
      </x:c>
      <x:c r="N928" s="213" t="str">
        <x:v>Friday</x:v>
      </x:c>
      <x:c r="O928" s="213" t="str">
        <x:v>LottoMetrics full-history export</x:v>
      </x:c>
      <x:c r="P928" s="213" t="str">
        <x:v>Cross-checked: OPAP uploads + public archive</x:v>
      </x:c>
      <x:c r="Q928" s="54" t="str"/>
    </x:row>
    <x:row r="929">
      <x:c r="A929" s="74" t="n">
        <x:v>926</x:v>
      </x:c>
      <x:c r="B929" s="217" t="n">
        <x:v>46056</x:v>
      </x:c>
      <x:c r="C929" s="75" t="n">
        <x:v>3</x:v>
      </x:c>
      <x:c r="D929" s="75" t="n">
        <x:v>20</x:v>
      </x:c>
      <x:c r="E929" s="75" t="n">
        <x:v>27</x:v>
      </x:c>
      <x:c r="F929" s="75" t="n">
        <x:v>37</x:v>
      </x:c>
      <x:c r="G929" s="75" t="n">
        <x:v>44</x:v>
      </x:c>
      <x:c r="H929" s="75" t="n">
        <x:v>1</x:v>
      </x:c>
      <x:c r="I929" s="75" t="n">
        <x:v>2</x:v>
      </x:c>
      <x:c r="J929" s="75" t="n">
        <x:v>50</x:v>
      </x:c>
      <x:c r="K929" s="75" t="n">
        <x:v>12</x:v>
      </x:c>
      <x:c r="L929" s="75" t="str">
        <x:v>R3_5of50_2of12</x:v>
      </x:c>
      <x:c r="M929" s="213" t="str">
        <x:v>S2_post_2024_studio_change_sensitivity_only</x:v>
      </x:c>
      <x:c r="N929" s="213" t="str">
        <x:v>Tuesday</x:v>
      </x:c>
      <x:c r="O929" s="213" t="str">
        <x:v>Uploaded OPAP file + independent web verification</x:v>
      </x:c>
      <x:c r="P929" s="213" t="str">
        <x:v>Cross-checked: OPAP uploads + public archive</x:v>
      </x:c>
      <x:c r="Q929" s="54" t="str">
        <x:v>Added missing record</x:v>
      </x:c>
    </x:row>
    <x:row r="930">
      <x:c r="A930" s="74" t="n">
        <x:v>927</x:v>
      </x:c>
      <x:c r="B930" s="217" t="n">
        <x:v>46059</x:v>
      </x:c>
      <x:c r="C930" s="75" t="n">
        <x:v>8</x:v>
      </x:c>
      <x:c r="D930" s="75" t="n">
        <x:v>14</x:v>
      </x:c>
      <x:c r="E930" s="75" t="n">
        <x:v>38</x:v>
      </x:c>
      <x:c r="F930" s="75" t="n">
        <x:v>41</x:v>
      </x:c>
      <x:c r="G930" s="75" t="n">
        <x:v>48</x:v>
      </x:c>
      <x:c r="H930" s="75" t="n">
        <x:v>1</x:v>
      </x:c>
      <x:c r="I930" s="75" t="n">
        <x:v>11</x:v>
      </x:c>
      <x:c r="J930" s="75" t="n">
        <x:v>50</x:v>
      </x:c>
      <x:c r="K930" s="75" t="n">
        <x:v>12</x:v>
      </x:c>
      <x:c r="L930" s="75" t="str">
        <x:v>R3_5of50_2of12</x:v>
      </x:c>
      <x:c r="M930" s="213" t="str">
        <x:v>S2_post_2024_studio_change_sensitivity_only</x:v>
      </x:c>
      <x:c r="N930" s="213" t="str">
        <x:v>Friday</x:v>
      </x:c>
      <x:c r="O930" s="213" t="str">
        <x:v>LottoMetrics full-history export</x:v>
      </x:c>
      <x:c r="P930" s="213" t="str">
        <x:v>Cross-checked: OPAP uploads + public archive</x:v>
      </x:c>
      <x:c r="Q930" s="54" t="str"/>
    </x:row>
    <x:row r="931">
      <x:c r="A931" s="74" t="n">
        <x:v>928</x:v>
      </x:c>
      <x:c r="B931" s="217" t="n">
        <x:v>46063</x:v>
      </x:c>
      <x:c r="C931" s="75" t="n">
        <x:v>12</x:v>
      </x:c>
      <x:c r="D931" s="75" t="n">
        <x:v>19</x:v>
      </x:c>
      <x:c r="E931" s="75" t="n">
        <x:v>34</x:v>
      </x:c>
      <x:c r="F931" s="75" t="n">
        <x:v>39</x:v>
      </x:c>
      <x:c r="G931" s="75" t="n">
        <x:v>47</x:v>
      </x:c>
      <x:c r="H931" s="75" t="n">
        <x:v>4</x:v>
      </x:c>
      <x:c r="I931" s="75" t="n">
        <x:v>5</x:v>
      </x:c>
      <x:c r="J931" s="75" t="n">
        <x:v>50</x:v>
      </x:c>
      <x:c r="K931" s="75" t="n">
        <x:v>12</x:v>
      </x:c>
      <x:c r="L931" s="75" t="str">
        <x:v>R3_5of50_2of12</x:v>
      </x:c>
      <x:c r="M931" s="213" t="str">
        <x:v>S2_post_2024_studio_change_sensitivity_only</x:v>
      </x:c>
      <x:c r="N931" s="213" t="str">
        <x:v>Tuesday</x:v>
      </x:c>
      <x:c r="O931" s="213" t="str">
        <x:v>LottoMetrics full-history export</x:v>
      </x:c>
      <x:c r="P931" s="213" t="str">
        <x:v>Cross-checked: OPAP uploads + public archive</x:v>
      </x:c>
      <x:c r="Q931" s="54" t="str"/>
    </x:row>
    <x:row r="932">
      <x:c r="A932" s="74" t="n">
        <x:v>929</x:v>
      </x:c>
      <x:c r="B932" s="217" t="n">
        <x:v>46066</x:v>
      </x:c>
      <x:c r="C932" s="75" t="n">
        <x:v>1</x:v>
      </x:c>
      <x:c r="D932" s="75" t="n">
        <x:v>21</x:v>
      </x:c>
      <x:c r="E932" s="75" t="n">
        <x:v>44</x:v>
      </x:c>
      <x:c r="F932" s="75" t="n">
        <x:v>45</x:v>
      </x:c>
      <x:c r="G932" s="75" t="n">
        <x:v>46</x:v>
      </x:c>
      <x:c r="H932" s="75" t="n">
        <x:v>2</x:v>
      </x:c>
      <x:c r="I932" s="75" t="n">
        <x:v>7</x:v>
      </x:c>
      <x:c r="J932" s="75" t="n">
        <x:v>50</x:v>
      </x:c>
      <x:c r="K932" s="75" t="n">
        <x:v>12</x:v>
      </x:c>
      <x:c r="L932" s="75" t="str">
        <x:v>R3_5of50_2of12</x:v>
      </x:c>
      <x:c r="M932" s="213" t="str">
        <x:v>S2_post_2024_studio_change_sensitivity_only</x:v>
      </x:c>
      <x:c r="N932" s="213" t="str">
        <x:v>Friday</x:v>
      </x:c>
      <x:c r="O932" s="213" t="str">
        <x:v>LottoMetrics full-history export</x:v>
      </x:c>
      <x:c r="P932" s="213" t="str">
        <x:v>Cross-checked: OPAP uploads + public archive</x:v>
      </x:c>
      <x:c r="Q932" s="54" t="str"/>
    </x:row>
    <x:row r="933">
      <x:c r="A933" s="74" t="n">
        <x:v>930</x:v>
      </x:c>
      <x:c r="B933" s="217" t="n">
        <x:v>46070</x:v>
      </x:c>
      <x:c r="C933" s="75" t="n">
        <x:v>8</x:v>
      </x:c>
      <x:c r="D933" s="75" t="n">
        <x:v>23</x:v>
      </x:c>
      <x:c r="E933" s="75" t="n">
        <x:v>39</x:v>
      </x:c>
      <x:c r="F933" s="75" t="n">
        <x:v>40</x:v>
      </x:c>
      <x:c r="G933" s="75" t="n">
        <x:v>44</x:v>
      </x:c>
      <x:c r="H933" s="75" t="n">
        <x:v>6</x:v>
      </x:c>
      <x:c r="I933" s="75" t="n">
        <x:v>7</x:v>
      </x:c>
      <x:c r="J933" s="75" t="n">
        <x:v>50</x:v>
      </x:c>
      <x:c r="K933" s="75" t="n">
        <x:v>12</x:v>
      </x:c>
      <x:c r="L933" s="75" t="str">
        <x:v>R3_5of50_2of12</x:v>
      </x:c>
      <x:c r="M933" s="213" t="str">
        <x:v>S2_post_2024_studio_change_sensitivity_only</x:v>
      </x:c>
      <x:c r="N933" s="213" t="str">
        <x:v>Tuesday</x:v>
      </x:c>
      <x:c r="O933" s="213" t="str">
        <x:v>LottoMetrics full-history export</x:v>
      </x:c>
      <x:c r="P933" s="213" t="str">
        <x:v>Cross-checked: OPAP uploads + public archive</x:v>
      </x:c>
      <x:c r="Q933" s="54" t="str"/>
    </x:row>
    <x:row r="934">
      <x:c r="A934" s="74" t="n">
        <x:v>931</x:v>
      </x:c>
      <x:c r="B934" s="217" t="n">
        <x:v>46073</x:v>
      </x:c>
      <x:c r="C934" s="75" t="n">
        <x:v>11</x:v>
      </x:c>
      <x:c r="D934" s="75" t="n">
        <x:v>17</x:v>
      </x:c>
      <x:c r="E934" s="75" t="n">
        <x:v>23</x:v>
      </x:c>
      <x:c r="F934" s="75" t="n">
        <x:v>36</x:v>
      </x:c>
      <x:c r="G934" s="75" t="n">
        <x:v>40</x:v>
      </x:c>
      <x:c r="H934" s="75" t="n">
        <x:v>5</x:v>
      </x:c>
      <x:c r="I934" s="75" t="n">
        <x:v>6</x:v>
      </x:c>
      <x:c r="J934" s="75" t="n">
        <x:v>50</x:v>
      </x:c>
      <x:c r="K934" s="75" t="n">
        <x:v>12</x:v>
      </x:c>
      <x:c r="L934" s="75" t="str">
        <x:v>R3_5of50_2of12</x:v>
      </x:c>
      <x:c r="M934" s="213" t="str">
        <x:v>S2_post_2024_studio_change_sensitivity_only</x:v>
      </x:c>
      <x:c r="N934" s="213" t="str">
        <x:v>Friday</x:v>
      </x:c>
      <x:c r="O934" s="213" t="str">
        <x:v>LottoMetrics full-history export</x:v>
      </x:c>
      <x:c r="P934" s="213" t="str">
        <x:v>Cross-checked: OPAP uploads + public archive</x:v>
      </x:c>
      <x:c r="Q934" s="54" t="str"/>
    </x:row>
    <x:row r="935">
      <x:c r="A935" s="74" t="n">
        <x:v>932</x:v>
      </x:c>
      <x:c r="B935" s="217" t="n">
        <x:v>46077</x:v>
      </x:c>
      <x:c r="C935" s="75" t="n">
        <x:v>4</x:v>
      </x:c>
      <x:c r="D935" s="75" t="n">
        <x:v>5</x:v>
      </x:c>
      <x:c r="E935" s="75" t="n">
        <x:v>26</x:v>
      </x:c>
      <x:c r="F935" s="75" t="n">
        <x:v>38</x:v>
      </x:c>
      <x:c r="G935" s="75" t="n">
        <x:v>48</x:v>
      </x:c>
      <x:c r="H935" s="75" t="n">
        <x:v>2</x:v>
      </x:c>
      <x:c r="I935" s="75" t="n">
        <x:v>9</x:v>
      </x:c>
      <x:c r="J935" s="75" t="n">
        <x:v>50</x:v>
      </x:c>
      <x:c r="K935" s="75" t="n">
        <x:v>12</x:v>
      </x:c>
      <x:c r="L935" s="75" t="str">
        <x:v>R3_5of50_2of12</x:v>
      </x:c>
      <x:c r="M935" s="213" t="str">
        <x:v>S2_post_2024_studio_change_sensitivity_only</x:v>
      </x:c>
      <x:c r="N935" s="213" t="str">
        <x:v>Tuesday</x:v>
      </x:c>
      <x:c r="O935" s="213" t="str">
        <x:v>LottoMetrics full-history export</x:v>
      </x:c>
      <x:c r="P935" s="213" t="str">
        <x:v>Cross-checked: OPAP uploads + public archive</x:v>
      </x:c>
      <x:c r="Q935" s="54" t="str"/>
    </x:row>
    <x:row r="936">
      <x:c r="A936" s="74" t="n">
        <x:v>933</x:v>
      </x:c>
      <x:c r="B936" s="217" t="n">
        <x:v>46080</x:v>
      </x:c>
      <x:c r="C936" s="75" t="n">
        <x:v>7</x:v>
      </x:c>
      <x:c r="D936" s="75" t="n">
        <x:v>17</x:v>
      </x:c>
      <x:c r="E936" s="75" t="n">
        <x:v>19</x:v>
      </x:c>
      <x:c r="F936" s="75" t="n">
        <x:v>28</x:v>
      </x:c>
      <x:c r="G936" s="75" t="n">
        <x:v>47</x:v>
      </x:c>
      <x:c r="H936" s="75" t="n">
        <x:v>2</x:v>
      </x:c>
      <x:c r="I936" s="75" t="n">
        <x:v>7</x:v>
      </x:c>
      <x:c r="J936" s="75" t="n">
        <x:v>50</x:v>
      </x:c>
      <x:c r="K936" s="75" t="n">
        <x:v>12</x:v>
      </x:c>
      <x:c r="L936" s="75" t="str">
        <x:v>R3_5of50_2of12</x:v>
      </x:c>
      <x:c r="M936" s="213" t="str">
        <x:v>S2_post_2024_studio_change_sensitivity_only</x:v>
      </x:c>
      <x:c r="N936" s="213" t="str">
        <x:v>Friday</x:v>
      </x:c>
      <x:c r="O936" s="213" t="str">
        <x:v>LottoMetrics full-history export</x:v>
      </x:c>
      <x:c r="P936" s="213" t="str">
        <x:v>Cross-checked: OPAP uploads + public archive</x:v>
      </x:c>
      <x:c r="Q936" s="54" t="str"/>
    </x:row>
    <x:row r="937">
      <x:c r="A937" s="74" t="n">
        <x:v>934</x:v>
      </x:c>
      <x:c r="B937" s="217" t="n">
        <x:v>46084</x:v>
      </x:c>
      <x:c r="C937" s="75" t="n">
        <x:v>1</x:v>
      </x:c>
      <x:c r="D937" s="75" t="n">
        <x:v>9</x:v>
      </x:c>
      <x:c r="E937" s="75" t="n">
        <x:v>14</x:v>
      </x:c>
      <x:c r="F937" s="75" t="n">
        <x:v>35</x:v>
      </x:c>
      <x:c r="G937" s="75" t="n">
        <x:v>49</x:v>
      </x:c>
      <x:c r="H937" s="75" t="n">
        <x:v>2</x:v>
      </x:c>
      <x:c r="I937" s="75" t="n">
        <x:v>10</x:v>
      </x:c>
      <x:c r="J937" s="75" t="n">
        <x:v>50</x:v>
      </x:c>
      <x:c r="K937" s="75" t="n">
        <x:v>12</x:v>
      </x:c>
      <x:c r="L937" s="75" t="str">
        <x:v>R3_5of50_2of12</x:v>
      </x:c>
      <x:c r="M937" s="213" t="str">
        <x:v>S2_post_2024_studio_change_sensitivity_only</x:v>
      </x:c>
      <x:c r="N937" s="213" t="str">
        <x:v>Tuesday</x:v>
      </x:c>
      <x:c r="O937" s="213" t="str">
        <x:v>LottoMetrics full-history export</x:v>
      </x:c>
      <x:c r="P937" s="213" t="str">
        <x:v>Cross-checked: OPAP uploads + public archive</x:v>
      </x:c>
      <x:c r="Q937" s="54" t="str"/>
    </x:row>
    <x:row r="938">
      <x:c r="A938" s="74" t="n">
        <x:v>935</x:v>
      </x:c>
      <x:c r="B938" s="217" t="n">
        <x:v>46087</x:v>
      </x:c>
      <x:c r="C938" s="75" t="n">
        <x:v>8</x:v>
      </x:c>
      <x:c r="D938" s="75" t="n">
        <x:v>17</x:v>
      </x:c>
      <x:c r="E938" s="75" t="n">
        <x:v>26</x:v>
      </x:c>
      <x:c r="F938" s="75" t="n">
        <x:v>31</x:v>
      </x:c>
      <x:c r="G938" s="75" t="n">
        <x:v>47</x:v>
      </x:c>
      <x:c r="H938" s="75" t="n">
        <x:v>1</x:v>
      </x:c>
      <x:c r="I938" s="75" t="n">
        <x:v>6</x:v>
      </x:c>
      <x:c r="J938" s="75" t="n">
        <x:v>50</x:v>
      </x:c>
      <x:c r="K938" s="75" t="n">
        <x:v>12</x:v>
      </x:c>
      <x:c r="L938" s="75" t="str">
        <x:v>R3_5of50_2of12</x:v>
      </x:c>
      <x:c r="M938" s="213" t="str">
        <x:v>S2_post_2024_studio_change_sensitivity_only</x:v>
      </x:c>
      <x:c r="N938" s="213" t="str">
        <x:v>Friday</x:v>
      </x:c>
      <x:c r="O938" s="213" t="str">
        <x:v>LottoMetrics full-history export</x:v>
      </x:c>
      <x:c r="P938" s="213" t="str">
        <x:v>Cross-checked: OPAP uploads + public archive</x:v>
      </x:c>
      <x:c r="Q938" s="54" t="str"/>
    </x:row>
    <x:row r="939">
      <x:c r="A939" s="74" t="n">
        <x:v>936</x:v>
      </x:c>
      <x:c r="B939" s="217" t="n">
        <x:v>46091</x:v>
      </x:c>
      <x:c r="C939" s="75" t="n">
        <x:v>2</x:v>
      </x:c>
      <x:c r="D939" s="75" t="n">
        <x:v>3</x:v>
      </x:c>
      <x:c r="E939" s="75" t="n">
        <x:v>17</x:v>
      </x:c>
      <x:c r="F939" s="75" t="n">
        <x:v>18</x:v>
      </x:c>
      <x:c r="G939" s="75" t="n">
        <x:v>28</x:v>
      </x:c>
      <x:c r="H939" s="75" t="n">
        <x:v>4</x:v>
      </x:c>
      <x:c r="I939" s="75" t="n">
        <x:v>10</x:v>
      </x:c>
      <x:c r="J939" s="75" t="n">
        <x:v>50</x:v>
      </x:c>
      <x:c r="K939" s="75" t="n">
        <x:v>12</x:v>
      </x:c>
      <x:c r="L939" s="75" t="str">
        <x:v>R3_5of50_2of12</x:v>
      </x:c>
      <x:c r="M939" s="213" t="str">
        <x:v>S2_post_2024_studio_change_sensitivity_only</x:v>
      </x:c>
      <x:c r="N939" s="213" t="str">
        <x:v>Tuesday</x:v>
      </x:c>
      <x:c r="O939" s="213" t="str">
        <x:v>LottoMetrics full-history export</x:v>
      </x:c>
      <x:c r="P939" s="213" t="str">
        <x:v>Cross-checked: OPAP uploads + public archive</x:v>
      </x:c>
      <x:c r="Q939" s="54" t="str"/>
    </x:row>
    <x:row r="940">
      <x:c r="A940" s="74" t="n">
        <x:v>937</x:v>
      </x:c>
      <x:c r="B940" s="217" t="n">
        <x:v>46094</x:v>
      </x:c>
      <x:c r="C940" s="75" t="n">
        <x:v>7</x:v>
      </x:c>
      <x:c r="D940" s="75" t="n">
        <x:v>23</x:v>
      </x:c>
      <x:c r="E940" s="75" t="n">
        <x:v>37</x:v>
      </x:c>
      <x:c r="F940" s="75" t="n">
        <x:v>44</x:v>
      </x:c>
      <x:c r="G940" s="75" t="n">
        <x:v>47</x:v>
      </x:c>
      <x:c r="H940" s="75" t="n">
        <x:v>2</x:v>
      </x:c>
      <x:c r="I940" s="75" t="n">
        <x:v>6</x:v>
      </x:c>
      <x:c r="J940" s="75" t="n">
        <x:v>50</x:v>
      </x:c>
      <x:c r="K940" s="75" t="n">
        <x:v>12</x:v>
      </x:c>
      <x:c r="L940" s="75" t="str">
        <x:v>R3_5of50_2of12</x:v>
      </x:c>
      <x:c r="M940" s="213" t="str">
        <x:v>S2_post_2024_studio_change_sensitivity_only</x:v>
      </x:c>
      <x:c r="N940" s="213" t="str">
        <x:v>Friday</x:v>
      </x:c>
      <x:c r="O940" s="213" t="str">
        <x:v>LottoMetrics full-history export</x:v>
      </x:c>
      <x:c r="P940" s="213" t="str">
        <x:v>Cross-checked: OPAP uploads + public archive</x:v>
      </x:c>
      <x:c r="Q940" s="54" t="str"/>
    </x:row>
    <x:row r="941">
      <x:c r="A941" s="74" t="n">
        <x:v>938</x:v>
      </x:c>
      <x:c r="B941" s="217" t="n">
        <x:v>46098</x:v>
      </x:c>
      <x:c r="C941" s="75" t="n">
        <x:v>12</x:v>
      </x:c>
      <x:c r="D941" s="75" t="n">
        <x:v>13</x:v>
      </x:c>
      <x:c r="E941" s="75" t="n">
        <x:v>16</x:v>
      </x:c>
      <x:c r="F941" s="75" t="n">
        <x:v>17</x:v>
      </x:c>
      <x:c r="G941" s="75" t="n">
        <x:v>37</x:v>
      </x:c>
      <x:c r="H941" s="75" t="n">
        <x:v>4</x:v>
      </x:c>
      <x:c r="I941" s="75" t="n">
        <x:v>11</x:v>
      </x:c>
      <x:c r="J941" s="75" t="n">
        <x:v>50</x:v>
      </x:c>
      <x:c r="K941" s="75" t="n">
        <x:v>12</x:v>
      </x:c>
      <x:c r="L941" s="75" t="str">
        <x:v>R3_5of50_2of12</x:v>
      </x:c>
      <x:c r="M941" s="213" t="str">
        <x:v>S2_post_2024_studio_change_sensitivity_only</x:v>
      </x:c>
      <x:c r="N941" s="213" t="str">
        <x:v>Tuesday</x:v>
      </x:c>
      <x:c r="O941" s="213" t="str">
        <x:v>LottoMetrics full-history export</x:v>
      </x:c>
      <x:c r="P941" s="213" t="str">
        <x:v>Cross-checked: OPAP uploads + public archive</x:v>
      </x:c>
      <x:c r="Q941" s="54" t="str"/>
    </x:row>
    <x:row r="942">
      <x:c r="A942" s="74" t="n">
        <x:v>939</x:v>
      </x:c>
      <x:c r="B942" s="217" t="n">
        <x:v>46101</x:v>
      </x:c>
      <x:c r="C942" s="75" t="n">
        <x:v>2</x:v>
      </x:c>
      <x:c r="D942" s="75" t="n">
        <x:v>17</x:v>
      </x:c>
      <x:c r="E942" s="75" t="n">
        <x:v>21</x:v>
      </x:c>
      <x:c r="F942" s="75" t="n">
        <x:v>25</x:v>
      </x:c>
      <x:c r="G942" s="75" t="n">
        <x:v>30</x:v>
      </x:c>
      <x:c r="H942" s="75" t="n">
        <x:v>2</x:v>
      </x:c>
      <x:c r="I942" s="75" t="n">
        <x:v>6</x:v>
      </x:c>
      <x:c r="J942" s="75" t="n">
        <x:v>50</x:v>
      </x:c>
      <x:c r="K942" s="75" t="n">
        <x:v>12</x:v>
      </x:c>
      <x:c r="L942" s="75" t="str">
        <x:v>R3_5of50_2of12</x:v>
      </x:c>
      <x:c r="M942" s="213" t="str">
        <x:v>S2_post_2024_studio_change_sensitivity_only</x:v>
      </x:c>
      <x:c r="N942" s="213" t="str">
        <x:v>Friday</x:v>
      </x:c>
      <x:c r="O942" s="213" t="str">
        <x:v>LottoMetrics full-history export</x:v>
      </x:c>
      <x:c r="P942" s="213" t="str">
        <x:v>Cross-checked: OPAP uploads + public archive</x:v>
      </x:c>
      <x:c r="Q942" s="54" t="str"/>
    </x:row>
    <x:row r="943">
      <x:c r="A943" s="74" t="n">
        <x:v>940</x:v>
      </x:c>
      <x:c r="B943" s="217" t="n">
        <x:v>46105</x:v>
      </x:c>
      <x:c r="C943" s="75" t="n">
        <x:v>9</x:v>
      </x:c>
      <x:c r="D943" s="75" t="n">
        <x:v>15</x:v>
      </x:c>
      <x:c r="E943" s="75" t="n">
        <x:v>23</x:v>
      </x:c>
      <x:c r="F943" s="75" t="n">
        <x:v>43</x:v>
      </x:c>
      <x:c r="G943" s="75" t="n">
        <x:v>48</x:v>
      </x:c>
      <x:c r="H943" s="75" t="n">
        <x:v>3</x:v>
      </x:c>
      <x:c r="I943" s="75" t="n">
        <x:v>5</x:v>
      </x:c>
      <x:c r="J943" s="75" t="n">
        <x:v>50</x:v>
      </x:c>
      <x:c r="K943" s="75" t="n">
        <x:v>12</x:v>
      </x:c>
      <x:c r="L943" s="75" t="str">
        <x:v>R3_5of50_2of12</x:v>
      </x:c>
      <x:c r="M943" s="213" t="str">
        <x:v>S2_post_2024_studio_change_sensitivity_only</x:v>
      </x:c>
      <x:c r="N943" s="213" t="str">
        <x:v>Tuesday</x:v>
      </x:c>
      <x:c r="O943" s="213" t="str">
        <x:v>LottoMetrics full-history export</x:v>
      </x:c>
      <x:c r="P943" s="213" t="str">
        <x:v>Cross-checked: OPAP uploads + public archive</x:v>
      </x:c>
      <x:c r="Q943" s="54" t="str"/>
    </x:row>
    <x:row r="944">
      <x:c r="A944" s="74" t="n">
        <x:v>941</x:v>
      </x:c>
      <x:c r="B944" s="217" t="n">
        <x:v>46108</x:v>
      </x:c>
      <x:c r="C944" s="75" t="n">
        <x:v>21</x:v>
      </x:c>
      <x:c r="D944" s="75" t="n">
        <x:v>23</x:v>
      </x:c>
      <x:c r="E944" s="75" t="n">
        <x:v>25</x:v>
      </x:c>
      <x:c r="F944" s="75" t="n">
        <x:v>38</x:v>
      </x:c>
      <x:c r="G944" s="75" t="n">
        <x:v>40</x:v>
      </x:c>
      <x:c r="H944" s="75" t="n">
        <x:v>7</x:v>
      </x:c>
      <x:c r="I944" s="75" t="n">
        <x:v>11</x:v>
      </x:c>
      <x:c r="J944" s="75" t="n">
        <x:v>50</x:v>
      </x:c>
      <x:c r="K944" s="75" t="n">
        <x:v>12</x:v>
      </x:c>
      <x:c r="L944" s="75" t="str">
        <x:v>R3_5of50_2of12</x:v>
      </x:c>
      <x:c r="M944" s="213" t="str">
        <x:v>S2_post_2024_studio_change_sensitivity_only</x:v>
      </x:c>
      <x:c r="N944" s="213" t="str">
        <x:v>Friday</x:v>
      </x:c>
      <x:c r="O944" s="213" t="str">
        <x:v>LottoMetrics full-history export</x:v>
      </x:c>
      <x:c r="P944" s="213" t="str">
        <x:v>Cross-checked: OPAP uploads + public archive</x:v>
      </x:c>
      <x:c r="Q944" s="54" t="str"/>
    </x:row>
    <x:row r="945">
      <x:c r="A945" s="74" t="n">
        <x:v>942</x:v>
      </x:c>
      <x:c r="B945" s="217" t="n">
        <x:v>46112</x:v>
      </x:c>
      <x:c r="C945" s="75" t="n">
        <x:v>5</x:v>
      </x:c>
      <x:c r="D945" s="75" t="n">
        <x:v>15</x:v>
      </x:c>
      <x:c r="E945" s="75" t="n">
        <x:v>18</x:v>
      </x:c>
      <x:c r="F945" s="75" t="n">
        <x:v>20</x:v>
      </x:c>
      <x:c r="G945" s="75" t="n">
        <x:v>35</x:v>
      </x:c>
      <x:c r="H945" s="75" t="n">
        <x:v>7</x:v>
      </x:c>
      <x:c r="I945" s="75" t="n">
        <x:v>8</x:v>
      </x:c>
      <x:c r="J945" s="75" t="n">
        <x:v>50</x:v>
      </x:c>
      <x:c r="K945" s="75" t="n">
        <x:v>12</x:v>
      </x:c>
      <x:c r="L945" s="75" t="str">
        <x:v>R3_5of50_2of12</x:v>
      </x:c>
      <x:c r="M945" s="213" t="str">
        <x:v>S2_post_2024_studio_change_sensitivity_only</x:v>
      </x:c>
      <x:c r="N945" s="213" t="str">
        <x:v>Tuesday</x:v>
      </x:c>
      <x:c r="O945" s="213" t="str">
        <x:v>LottoMetrics full-history export</x:v>
      </x:c>
      <x:c r="P945" s="213" t="str">
        <x:v>Cross-checked: OPAP uploads + public archive</x:v>
      </x:c>
      <x:c r="Q945" s="54" t="str"/>
    </x:row>
    <x:row r="946">
      <x:c r="A946" s="74" t="n">
        <x:v>943</x:v>
      </x:c>
      <x:c r="B946" s="217" t="n">
        <x:v>46115</x:v>
      </x:c>
      <x:c r="C946" s="75" t="n">
        <x:v>9</x:v>
      </x:c>
      <x:c r="D946" s="75" t="n">
        <x:v>10</x:v>
      </x:c>
      <x:c r="E946" s="75" t="n">
        <x:v>18</x:v>
      </x:c>
      <x:c r="F946" s="75" t="n">
        <x:v>22</x:v>
      </x:c>
      <x:c r="G946" s="75" t="n">
        <x:v>37</x:v>
      </x:c>
      <x:c r="H946" s="75" t="n">
        <x:v>1</x:v>
      </x:c>
      <x:c r="I946" s="75" t="n">
        <x:v>11</x:v>
      </x:c>
      <x:c r="J946" s="75" t="n">
        <x:v>50</x:v>
      </x:c>
      <x:c r="K946" s="75" t="n">
        <x:v>12</x:v>
      </x:c>
      <x:c r="L946" s="75" t="str">
        <x:v>R3_5of50_2of12</x:v>
      </x:c>
      <x:c r="M946" s="213" t="str">
        <x:v>S2_post_2024_studio_change_sensitivity_only</x:v>
      </x:c>
      <x:c r="N946" s="213" t="str">
        <x:v>Friday</x:v>
      </x:c>
      <x:c r="O946" s="213" t="str">
        <x:v>LottoMetrics full-history export</x:v>
      </x:c>
      <x:c r="P946" s="213" t="str">
        <x:v>Cross-checked: OPAP uploads + public archive</x:v>
      </x:c>
      <x:c r="Q946" s="54" t="str"/>
    </x:row>
    <x:row r="947">
      <x:c r="A947" s="74" t="n">
        <x:v>944</x:v>
      </x:c>
      <x:c r="B947" s="217" t="n">
        <x:v>46119</x:v>
      </x:c>
      <x:c r="C947" s="75" t="n">
        <x:v>2</x:v>
      </x:c>
      <x:c r="D947" s="75" t="n">
        <x:v>4</x:v>
      </x:c>
      <x:c r="E947" s="75" t="n">
        <x:v>16</x:v>
      </x:c>
      <x:c r="F947" s="75" t="n">
        <x:v>23</x:v>
      </x:c>
      <x:c r="G947" s="75" t="n">
        <x:v>27</x:v>
      </x:c>
      <x:c r="H947" s="75" t="n">
        <x:v>5</x:v>
      </x:c>
      <x:c r="I947" s="75" t="n">
        <x:v>8</x:v>
      </x:c>
      <x:c r="J947" s="75" t="n">
        <x:v>50</x:v>
      </x:c>
      <x:c r="K947" s="75" t="n">
        <x:v>12</x:v>
      </x:c>
      <x:c r="L947" s="75" t="str">
        <x:v>R3_5of50_2of12</x:v>
      </x:c>
      <x:c r="M947" s="213" t="str">
        <x:v>S2_post_2024_studio_change_sensitivity_only</x:v>
      </x:c>
      <x:c r="N947" s="213" t="str">
        <x:v>Tuesday</x:v>
      </x:c>
      <x:c r="O947" s="213" t="str">
        <x:v>LottoMetrics full-history export</x:v>
      </x:c>
      <x:c r="P947" s="213" t="str">
        <x:v>Cross-checked: OPAP uploads + public archive</x:v>
      </x:c>
      <x:c r="Q947" s="54" t="str"/>
    </x:row>
    <x:row r="948">
      <x:c r="A948" s="74" t="n">
        <x:v>945</x:v>
      </x:c>
      <x:c r="B948" s="217" t="n">
        <x:v>46122</x:v>
      </x:c>
      <x:c r="C948" s="75" t="n">
        <x:v>1</x:v>
      </x:c>
      <x:c r="D948" s="75" t="n">
        <x:v>6</x:v>
      </x:c>
      <x:c r="E948" s="75" t="n">
        <x:v>11</x:v>
      </x:c>
      <x:c r="F948" s="75" t="n">
        <x:v>18</x:v>
      </x:c>
      <x:c r="G948" s="75" t="n">
        <x:v>48</x:v>
      </x:c>
      <x:c r="H948" s="75" t="n">
        <x:v>10</x:v>
      </x:c>
      <x:c r="I948" s="75" t="n">
        <x:v>12</x:v>
      </x:c>
      <x:c r="J948" s="75" t="n">
        <x:v>50</x:v>
      </x:c>
      <x:c r="K948" s="75" t="n">
        <x:v>12</x:v>
      </x:c>
      <x:c r="L948" s="75" t="str">
        <x:v>R3_5of50_2of12</x:v>
      </x:c>
      <x:c r="M948" s="213" t="str">
        <x:v>S2_post_2024_studio_change_sensitivity_only</x:v>
      </x:c>
      <x:c r="N948" s="213" t="str">
        <x:v>Friday</x:v>
      </x:c>
      <x:c r="O948" s="213" t="str">
        <x:v>LottoMetrics full-history export</x:v>
      </x:c>
      <x:c r="P948" s="213" t="str">
        <x:v>Cross-checked: OPAP uploads + public archive</x:v>
      </x:c>
      <x:c r="Q948" s="54" t="str"/>
    </x:row>
    <x:row r="949">
      <x:c r="A949" s="74" t="n">
        <x:v>946</x:v>
      </x:c>
      <x:c r="B949" s="217" t="n">
        <x:v>46126</x:v>
      </x:c>
      <x:c r="C949" s="75" t="n">
        <x:v>13</x:v>
      </x:c>
      <x:c r="D949" s="75" t="n">
        <x:v>22</x:v>
      </x:c>
      <x:c r="E949" s="75" t="n">
        <x:v>32</x:v>
      </x:c>
      <x:c r="F949" s="75" t="n">
        <x:v>46</x:v>
      </x:c>
      <x:c r="G949" s="75" t="n">
        <x:v>47</x:v>
      </x:c>
      <x:c r="H949" s="75" t="n">
        <x:v>6</x:v>
      </x:c>
      <x:c r="I949" s="75" t="n">
        <x:v>7</x:v>
      </x:c>
      <x:c r="J949" s="75" t="n">
        <x:v>50</x:v>
      </x:c>
      <x:c r="K949" s="75" t="n">
        <x:v>12</x:v>
      </x:c>
      <x:c r="L949" s="75" t="str">
        <x:v>R3_5of50_2of12</x:v>
      </x:c>
      <x:c r="M949" s="213" t="str">
        <x:v>S2_post_2024_studio_change_sensitivity_only</x:v>
      </x:c>
      <x:c r="N949" s="213" t="str">
        <x:v>Tuesday</x:v>
      </x:c>
      <x:c r="O949" s="213" t="str">
        <x:v>LottoMetrics full-history export</x:v>
      </x:c>
      <x:c r="P949" s="213" t="str">
        <x:v>Cross-checked: OPAP uploads + public archive</x:v>
      </x:c>
      <x:c r="Q949" s="54" t="str"/>
    </x:row>
    <x:row r="950">
      <x:c r="A950" s="74" t="n">
        <x:v>947</x:v>
      </x:c>
      <x:c r="B950" s="217" t="n">
        <x:v>46129</x:v>
      </x:c>
      <x:c r="C950" s="75" t="n">
        <x:v>16</x:v>
      </x:c>
      <x:c r="D950" s="75" t="n">
        <x:v>31</x:v>
      </x:c>
      <x:c r="E950" s="75" t="n">
        <x:v>35</x:v>
      </x:c>
      <x:c r="F950" s="75" t="n">
        <x:v>43</x:v>
      </x:c>
      <x:c r="G950" s="75" t="n">
        <x:v>44</x:v>
      </x:c>
      <x:c r="H950" s="75" t="n">
        <x:v>2</x:v>
      </x:c>
      <x:c r="I950" s="75" t="n">
        <x:v>9</x:v>
      </x:c>
      <x:c r="J950" s="75" t="n">
        <x:v>50</x:v>
      </x:c>
      <x:c r="K950" s="75" t="n">
        <x:v>12</x:v>
      </x:c>
      <x:c r="L950" s="75" t="str">
        <x:v>R3_5of50_2of12</x:v>
      </x:c>
      <x:c r="M950" s="213" t="str">
        <x:v>S2_post_2024_studio_change_sensitivity_only</x:v>
      </x:c>
      <x:c r="N950" s="213" t="str">
        <x:v>Friday</x:v>
      </x:c>
      <x:c r="O950" s="213" t="str">
        <x:v>LottoMetrics full-history export</x:v>
      </x:c>
      <x:c r="P950" s="213" t="str">
        <x:v>Cross-checked: OPAP uploads + public archive</x:v>
      </x:c>
      <x:c r="Q950" s="54" t="str"/>
    </x:row>
    <x:row r="951">
      <x:c r="A951" s="74" t="n">
        <x:v>948</x:v>
      </x:c>
      <x:c r="B951" s="217" t="n">
        <x:v>46133</x:v>
      </x:c>
      <x:c r="C951" s="75" t="n">
        <x:v>31</x:v>
      </x:c>
      <x:c r="D951" s="75" t="n">
        <x:v>32</x:v>
      </x:c>
      <x:c r="E951" s="75" t="n">
        <x:v>36</x:v>
      </x:c>
      <x:c r="F951" s="75" t="n">
        <x:v>39</x:v>
      </x:c>
      <x:c r="G951" s="75" t="n">
        <x:v>47</x:v>
      </x:c>
      <x:c r="H951" s="75" t="n">
        <x:v>7</x:v>
      </x:c>
      <x:c r="I951" s="75" t="n">
        <x:v>8</x:v>
      </x:c>
      <x:c r="J951" s="75" t="n">
        <x:v>50</x:v>
      </x:c>
      <x:c r="K951" s="75" t="n">
        <x:v>12</x:v>
      </x:c>
      <x:c r="L951" s="75" t="str">
        <x:v>R3_5of50_2of12</x:v>
      </x:c>
      <x:c r="M951" s="213" t="str">
        <x:v>S2_post_2024_studio_change_sensitivity_only</x:v>
      </x:c>
      <x:c r="N951" s="213" t="str">
        <x:v>Tuesday</x:v>
      </x:c>
      <x:c r="O951" s="213" t="str">
        <x:v>LottoMetrics full-history export</x:v>
      </x:c>
      <x:c r="P951" s="213" t="str">
        <x:v>Cross-checked: OPAP uploads + public archive</x:v>
      </x:c>
      <x:c r="Q951" s="54" t="str"/>
    </x:row>
    <x:row r="952">
      <x:c r="A952" s="74" t="n">
        <x:v>949</x:v>
      </x:c>
      <x:c r="B952" s="217" t="n">
        <x:v>46136</x:v>
      </x:c>
      <x:c r="C952" s="75" t="n">
        <x:v>6</x:v>
      </x:c>
      <x:c r="D952" s="75" t="n">
        <x:v>21</x:v>
      </x:c>
      <x:c r="E952" s="75" t="n">
        <x:v>29</x:v>
      </x:c>
      <x:c r="F952" s="75" t="n">
        <x:v>39</x:v>
      </x:c>
      <x:c r="G952" s="75" t="n">
        <x:v>44</x:v>
      </x:c>
      <x:c r="H952" s="75" t="n">
        <x:v>1</x:v>
      </x:c>
      <x:c r="I952" s="75" t="n">
        <x:v>5</x:v>
      </x:c>
      <x:c r="J952" s="75" t="n">
        <x:v>50</x:v>
      </x:c>
      <x:c r="K952" s="75" t="n">
        <x:v>12</x:v>
      </x:c>
      <x:c r="L952" s="75" t="str">
        <x:v>R3_5of50_2of12</x:v>
      </x:c>
      <x:c r="M952" s="213" t="str">
        <x:v>S2_post_2024_studio_change_sensitivity_only</x:v>
      </x:c>
      <x:c r="N952" s="213" t="str">
        <x:v>Friday</x:v>
      </x:c>
      <x:c r="O952" s="213" t="str">
        <x:v>LottoMetrics full-history export</x:v>
      </x:c>
      <x:c r="P952" s="213" t="str">
        <x:v>Cross-checked: OPAP uploads + public archive</x:v>
      </x:c>
      <x:c r="Q952" s="54" t="str"/>
    </x:row>
    <x:row r="953">
      <x:c r="A953" s="74" t="n">
        <x:v>950</x:v>
      </x:c>
      <x:c r="B953" s="217" t="n">
        <x:v>46140</x:v>
      </x:c>
      <x:c r="C953" s="75" t="n">
        <x:v>19</x:v>
      </x:c>
      <x:c r="D953" s="75" t="n">
        <x:v>20</x:v>
      </x:c>
      <x:c r="E953" s="75" t="n">
        <x:v>41</x:v>
      </x:c>
      <x:c r="F953" s="75" t="n">
        <x:v>43</x:v>
      </x:c>
      <x:c r="G953" s="75" t="n">
        <x:v>46</x:v>
      </x:c>
      <x:c r="H953" s="75" t="n">
        <x:v>5</x:v>
      </x:c>
      <x:c r="I953" s="75" t="n">
        <x:v>7</x:v>
      </x:c>
      <x:c r="J953" s="75" t="n">
        <x:v>50</x:v>
      </x:c>
      <x:c r="K953" s="75" t="n">
        <x:v>12</x:v>
      </x:c>
      <x:c r="L953" s="75" t="str">
        <x:v>R3_5of50_2of12</x:v>
      </x:c>
      <x:c r="M953" s="213" t="str">
        <x:v>S2_post_2024_studio_change_sensitivity_only</x:v>
      </x:c>
      <x:c r="N953" s="213" t="str">
        <x:v>Tuesday</x:v>
      </x:c>
      <x:c r="O953" s="213" t="str">
        <x:v>LottoMetrics full-history export</x:v>
      </x:c>
      <x:c r="P953" s="213" t="str">
        <x:v>Cross-checked: OPAP uploads + public archive</x:v>
      </x:c>
      <x:c r="Q953" s="54" t="str"/>
    </x:row>
    <x:row r="954">
      <x:c r="A954" s="74" t="n">
        <x:v>951</x:v>
      </x:c>
      <x:c r="B954" s="217" t="n">
        <x:v>46143</x:v>
      </x:c>
      <x:c r="C954" s="75" t="n">
        <x:v>10</x:v>
      </x:c>
      <x:c r="D954" s="75" t="n">
        <x:v>11</x:v>
      </x:c>
      <x:c r="E954" s="75" t="n">
        <x:v>13</x:v>
      </x:c>
      <x:c r="F954" s="75" t="n">
        <x:v>16</x:v>
      </x:c>
      <x:c r="G954" s="75" t="n">
        <x:v>27</x:v>
      </x:c>
      <x:c r="H954" s="75" t="n">
        <x:v>5</x:v>
      </x:c>
      <x:c r="I954" s="75" t="n">
        <x:v>7</x:v>
      </x:c>
      <x:c r="J954" s="75" t="n">
        <x:v>50</x:v>
      </x:c>
      <x:c r="K954" s="75" t="n">
        <x:v>12</x:v>
      </x:c>
      <x:c r="L954" s="75" t="str">
        <x:v>R3_5of50_2of12</x:v>
      </x:c>
      <x:c r="M954" s="213" t="str">
        <x:v>S2_post_2024_studio_change_sensitivity_only</x:v>
      </x:c>
      <x:c r="N954" s="213" t="str">
        <x:v>Friday</x:v>
      </x:c>
      <x:c r="O954" s="213" t="str">
        <x:v>LottoMetrics full-history export</x:v>
      </x:c>
      <x:c r="P954" s="213" t="str">
        <x:v>Cross-checked: OPAP uploads + public archive</x:v>
      </x:c>
      <x:c r="Q954" s="54" t="str"/>
    </x:row>
    <x:row r="955">
      <x:c r="A955" s="74" t="n">
        <x:v>952</x:v>
      </x:c>
      <x:c r="B955" s="217" t="n">
        <x:v>46147</x:v>
      </x:c>
      <x:c r="C955" s="75" t="n">
        <x:v>1</x:v>
      </x:c>
      <x:c r="D955" s="75" t="n">
        <x:v>30</x:v>
      </x:c>
      <x:c r="E955" s="75" t="n">
        <x:v>33</x:v>
      </x:c>
      <x:c r="F955" s="75" t="n">
        <x:v>34</x:v>
      </x:c>
      <x:c r="G955" s="75" t="n">
        <x:v>43</x:v>
      </x:c>
      <x:c r="H955" s="75" t="n">
        <x:v>5</x:v>
      </x:c>
      <x:c r="I955" s="75" t="n">
        <x:v>10</x:v>
      </x:c>
      <x:c r="J955" s="75" t="n">
        <x:v>50</x:v>
      </x:c>
      <x:c r="K955" s="75" t="n">
        <x:v>12</x:v>
      </x:c>
      <x:c r="L955" s="75" t="str">
        <x:v>R3_5of50_2of12</x:v>
      </x:c>
      <x:c r="M955" s="213" t="str">
        <x:v>S2_post_2024_studio_change_sensitivity_only</x:v>
      </x:c>
      <x:c r="N955" s="213" t="str">
        <x:v>Tuesday</x:v>
      </x:c>
      <x:c r="O955" s="213" t="str">
        <x:v>LottoMetrics full-history export</x:v>
      </x:c>
      <x:c r="P955" s="213" t="str">
        <x:v>Cross-checked: OPAP uploads + public archive</x:v>
      </x:c>
      <x:c r="Q955" s="54" t="str"/>
    </x:row>
    <x:row r="956">
      <x:c r="A956" s="74" t="n">
        <x:v>953</x:v>
      </x:c>
      <x:c r="B956" s="217" t="n">
        <x:v>46150</x:v>
      </x:c>
      <x:c r="C956" s="75" t="n">
        <x:v>3</x:v>
      </x:c>
      <x:c r="D956" s="75" t="n">
        <x:v>17</x:v>
      </x:c>
      <x:c r="E956" s="75" t="n">
        <x:v>18</x:v>
      </x:c>
      <x:c r="F956" s="75" t="n">
        <x:v>31</x:v>
      </x:c>
      <x:c r="G956" s="75" t="n">
        <x:v>41</x:v>
      </x:c>
      <x:c r="H956" s="75" t="n">
        <x:v>6</x:v>
      </x:c>
      <x:c r="I956" s="75" t="n">
        <x:v>12</x:v>
      </x:c>
      <x:c r="J956" s="75" t="n">
        <x:v>50</x:v>
      </x:c>
      <x:c r="K956" s="75" t="n">
        <x:v>12</x:v>
      </x:c>
      <x:c r="L956" s="75" t="str">
        <x:v>R3_5of50_2of12</x:v>
      </x:c>
      <x:c r="M956" s="213" t="str">
        <x:v>S2_post_2024_studio_change_sensitivity_only</x:v>
      </x:c>
      <x:c r="N956" s="213" t="str">
        <x:v>Friday</x:v>
      </x:c>
      <x:c r="O956" s="213" t="str">
        <x:v>LottoMetrics full-history export</x:v>
      </x:c>
      <x:c r="P956" s="213" t="str">
        <x:v>Cross-checked: OPAP uploads + public archive</x:v>
      </x:c>
      <x:c r="Q956" s="54" t="str"/>
    </x:row>
    <x:row r="957">
      <x:c r="A957" s="74" t="n">
        <x:v>954</x:v>
      </x:c>
      <x:c r="B957" s="217" t="n">
        <x:v>46154</x:v>
      </x:c>
      <x:c r="C957" s="75" t="n">
        <x:v>7</x:v>
      </x:c>
      <x:c r="D957" s="75" t="n">
        <x:v>15</x:v>
      </x:c>
      <x:c r="E957" s="75" t="n">
        <x:v>19</x:v>
      </x:c>
      <x:c r="F957" s="75" t="n">
        <x:v>28</x:v>
      </x:c>
      <x:c r="G957" s="75" t="n">
        <x:v>35</x:v>
      </x:c>
      <x:c r="H957" s="75" t="n">
        <x:v>3</x:v>
      </x:c>
      <x:c r="I957" s="75" t="n">
        <x:v>11</x:v>
      </x:c>
      <x:c r="J957" s="75" t="n">
        <x:v>50</x:v>
      </x:c>
      <x:c r="K957" s="75" t="n">
        <x:v>12</x:v>
      </x:c>
      <x:c r="L957" s="75" t="str">
        <x:v>R3_5of50_2of12</x:v>
      </x:c>
      <x:c r="M957" s="213" t="str">
        <x:v>S2_post_2024_studio_change_sensitivity_only</x:v>
      </x:c>
      <x:c r="N957" s="213" t="str">
        <x:v>Tuesday</x:v>
      </x:c>
      <x:c r="O957" s="213" t="str">
        <x:v>LottoMetrics full-history export</x:v>
      </x:c>
      <x:c r="P957" s="213" t="str">
        <x:v>Cross-checked: OPAP uploads + public archive</x:v>
      </x:c>
      <x:c r="Q957" s="54" t="str"/>
    </x:row>
    <x:row r="958">
      <x:c r="A958" s="74" t="n">
        <x:v>955</x:v>
      </x:c>
      <x:c r="B958" s="217" t="n">
        <x:v>46157</x:v>
      </x:c>
      <x:c r="C958" s="75" t="n">
        <x:v>1</x:v>
      </x:c>
      <x:c r="D958" s="75" t="n">
        <x:v>32</x:v>
      </x:c>
      <x:c r="E958" s="75" t="n">
        <x:v>33</x:v>
      </x:c>
      <x:c r="F958" s="75" t="n">
        <x:v>36</x:v>
      </x:c>
      <x:c r="G958" s="75" t="n">
        <x:v>37</x:v>
      </x:c>
      <x:c r="H958" s="75" t="n">
        <x:v>7</x:v>
      </x:c>
      <x:c r="I958" s="75" t="n">
        <x:v>12</x:v>
      </x:c>
      <x:c r="J958" s="75" t="n">
        <x:v>50</x:v>
      </x:c>
      <x:c r="K958" s="75" t="n">
        <x:v>12</x:v>
      </x:c>
      <x:c r="L958" s="75" t="str">
        <x:v>R3_5of50_2of12</x:v>
      </x:c>
      <x:c r="M958" s="213" t="str">
        <x:v>S2_post_2024_studio_change_sensitivity_only</x:v>
      </x:c>
      <x:c r="N958" s="213" t="str">
        <x:v>Friday</x:v>
      </x:c>
      <x:c r="O958" s="213" t="str">
        <x:v>LottoMetrics full-history export</x:v>
      </x:c>
      <x:c r="P958" s="213" t="str">
        <x:v>Cross-checked: OPAP uploads + public archive</x:v>
      </x:c>
      <x:c r="Q958" s="54" t="str"/>
    </x:row>
    <x:row r="959">
      <x:c r="A959" s="74" t="n">
        <x:v>956</x:v>
      </x:c>
      <x:c r="B959" s="217" t="n">
        <x:v>46161</x:v>
      </x:c>
      <x:c r="C959" s="75" t="n">
        <x:v>10</x:v>
      </x:c>
      <x:c r="D959" s="75" t="n">
        <x:v>36</x:v>
      </x:c>
      <x:c r="E959" s="75" t="n">
        <x:v>37</x:v>
      </x:c>
      <x:c r="F959" s="75" t="n">
        <x:v>39</x:v>
      </x:c>
      <x:c r="G959" s="75" t="n">
        <x:v>47</x:v>
      </x:c>
      <x:c r="H959" s="75" t="n">
        <x:v>5</x:v>
      </x:c>
      <x:c r="I959" s="75" t="n">
        <x:v>6</x:v>
      </x:c>
      <x:c r="J959" s="75" t="n">
        <x:v>50</x:v>
      </x:c>
      <x:c r="K959" s="75" t="n">
        <x:v>12</x:v>
      </x:c>
      <x:c r="L959" s="75" t="str">
        <x:v>R3_5of50_2of12</x:v>
      </x:c>
      <x:c r="M959" s="213" t="str">
        <x:v>S2_post_2024_studio_change_sensitivity_only</x:v>
      </x:c>
      <x:c r="N959" s="213" t="str">
        <x:v>Tuesday</x:v>
      </x:c>
      <x:c r="O959" s="213" t="str">
        <x:v>LottoMetrics full-history export</x:v>
      </x:c>
      <x:c r="P959" s="213" t="str">
        <x:v>Cross-checked: OPAP uploads + public archive</x:v>
      </x:c>
      <x:c r="Q959" s="54" t="str"/>
    </x:row>
    <x:row r="960">
      <x:c r="A960" s="74" t="n">
        <x:v>957</x:v>
      </x:c>
      <x:c r="B960" s="217" t="n">
        <x:v>46164</x:v>
      </x:c>
      <x:c r="C960" s="75" t="n">
        <x:v>5</x:v>
      </x:c>
      <x:c r="D960" s="75" t="n">
        <x:v>34</x:v>
      </x:c>
      <x:c r="E960" s="75" t="n">
        <x:v>35</x:v>
      </x:c>
      <x:c r="F960" s="75" t="n">
        <x:v>42</x:v>
      </x:c>
      <x:c r="G960" s="75" t="n">
        <x:v>46</x:v>
      </x:c>
      <x:c r="H960" s="75" t="n">
        <x:v>3</x:v>
      </x:c>
      <x:c r="I960" s="75" t="n">
        <x:v>5</x:v>
      </x:c>
      <x:c r="J960" s="75" t="n">
        <x:v>50</x:v>
      </x:c>
      <x:c r="K960" s="75" t="n">
        <x:v>12</x:v>
      </x:c>
      <x:c r="L960" s="75" t="str">
        <x:v>R3_5of50_2of12</x:v>
      </x:c>
      <x:c r="M960" s="213" t="str">
        <x:v>S2_post_2024_studio_change_sensitivity_only</x:v>
      </x:c>
      <x:c r="N960" s="213" t="str">
        <x:v>Friday</x:v>
      </x:c>
      <x:c r="O960" s="213" t="str">
        <x:v>LottoMetrics full-history export</x:v>
      </x:c>
      <x:c r="P960" s="213" t="str">
        <x:v>Cross-checked: OPAP uploads + public archive</x:v>
      </x:c>
      <x:c r="Q960" s="54" t="str"/>
    </x:row>
    <x:row r="961">
      <x:c r="A961" s="74" t="n">
        <x:v>958</x:v>
      </x:c>
      <x:c r="B961" s="217" t="n">
        <x:v>46168</x:v>
      </x:c>
      <x:c r="C961" s="75" t="n">
        <x:v>5</x:v>
      </x:c>
      <x:c r="D961" s="75" t="n">
        <x:v>11</x:v>
      </x:c>
      <x:c r="E961" s="75" t="n">
        <x:v>23</x:v>
      </x:c>
      <x:c r="F961" s="75" t="n">
        <x:v>33</x:v>
      </x:c>
      <x:c r="G961" s="75" t="n">
        <x:v>42</x:v>
      </x:c>
      <x:c r="H961" s="75" t="n">
        <x:v>10</x:v>
      </x:c>
      <x:c r="I961" s="75" t="n">
        <x:v>12</x:v>
      </x:c>
      <x:c r="J961" s="75" t="n">
        <x:v>50</x:v>
      </x:c>
      <x:c r="K961" s="75" t="n">
        <x:v>12</x:v>
      </x:c>
      <x:c r="L961" s="75" t="str">
        <x:v>R3_5of50_2of12</x:v>
      </x:c>
      <x:c r="M961" s="213" t="str">
        <x:v>S2_post_2024_studio_change_sensitivity_only</x:v>
      </x:c>
      <x:c r="N961" s="213" t="str">
        <x:v>Tuesday</x:v>
      </x:c>
      <x:c r="O961" s="213" t="str">
        <x:v>LottoMetrics full-history export</x:v>
      </x:c>
      <x:c r="P961" s="213" t="str">
        <x:v>Cross-checked: OPAP uploads + public archive</x:v>
      </x:c>
      <x:c r="Q961" s="54" t="str"/>
    </x:row>
    <x:row r="962">
      <x:c r="A962" s="74" t="n">
        <x:v>959</x:v>
      </x:c>
      <x:c r="B962" s="217" t="n">
        <x:v>46171</x:v>
      </x:c>
      <x:c r="C962" s="75" t="n">
        <x:v>3</x:v>
      </x:c>
      <x:c r="D962" s="75" t="n">
        <x:v>20</x:v>
      </x:c>
      <x:c r="E962" s="75" t="n">
        <x:v>21</x:v>
      </x:c>
      <x:c r="F962" s="75" t="n">
        <x:v>42</x:v>
      </x:c>
      <x:c r="G962" s="75" t="n">
        <x:v>49</x:v>
      </x:c>
      <x:c r="H962" s="75" t="n">
        <x:v>5</x:v>
      </x:c>
      <x:c r="I962" s="75" t="n">
        <x:v>6</x:v>
      </x:c>
      <x:c r="J962" s="75" t="n">
        <x:v>50</x:v>
      </x:c>
      <x:c r="K962" s="75" t="n">
        <x:v>12</x:v>
      </x:c>
      <x:c r="L962" s="75" t="str">
        <x:v>R3_5of50_2of12</x:v>
      </x:c>
      <x:c r="M962" s="213" t="str">
        <x:v>S2_post_2024_studio_change_sensitivity_only</x:v>
      </x:c>
      <x:c r="N962" s="213" t="str">
        <x:v>Friday</x:v>
      </x:c>
      <x:c r="O962" s="213" t="str">
        <x:v>LottoMetrics full-history export</x:v>
      </x:c>
      <x:c r="P962" s="213" t="str">
        <x:v>Cross-checked: OPAP uploads + public archive</x:v>
      </x:c>
      <x:c r="Q962" s="54" t="str"/>
    </x:row>
    <x:row r="963">
      <x:c r="A963" s="74" t="n">
        <x:v>960</x:v>
      </x:c>
      <x:c r="B963" s="217" t="n">
        <x:v>46175</x:v>
      </x:c>
      <x:c r="C963" s="75" t="n">
        <x:v>2</x:v>
      </x:c>
      <x:c r="D963" s="75" t="n">
        <x:v>36</x:v>
      </x:c>
      <x:c r="E963" s="75" t="n">
        <x:v>38</x:v>
      </x:c>
      <x:c r="F963" s="75" t="n">
        <x:v>40</x:v>
      </x:c>
      <x:c r="G963" s="75" t="n">
        <x:v>46</x:v>
      </x:c>
      <x:c r="H963" s="75" t="n">
        <x:v>7</x:v>
      </x:c>
      <x:c r="I963" s="75" t="n">
        <x:v>8</x:v>
      </x:c>
      <x:c r="J963" s="75" t="n">
        <x:v>50</x:v>
      </x:c>
      <x:c r="K963" s="75" t="n">
        <x:v>12</x:v>
      </x:c>
      <x:c r="L963" s="75" t="str">
        <x:v>R3_5of50_2of12</x:v>
      </x:c>
      <x:c r="M963" s="213" t="str">
        <x:v>S2_post_2024_studio_change_sensitivity_only</x:v>
      </x:c>
      <x:c r="N963" s="213" t="str">
        <x:v>Tuesday</x:v>
      </x:c>
      <x:c r="O963" s="213" t="str">
        <x:v>LottoMetrics full-history export</x:v>
      </x:c>
      <x:c r="P963" s="213" t="str">
        <x:v>Cross-checked: OPAP uploads + public archive</x:v>
      </x:c>
      <x:c r="Q963" s="54" t="str"/>
    </x:row>
    <x:row r="964">
      <x:c r="A964" s="74" t="n">
        <x:v>961</x:v>
      </x:c>
      <x:c r="B964" s="217" t="n">
        <x:v>46178</x:v>
      </x:c>
      <x:c r="C964" s="75" t="n">
        <x:v>21</x:v>
      </x:c>
      <x:c r="D964" s="75" t="n">
        <x:v>23</x:v>
      </x:c>
      <x:c r="E964" s="75" t="n">
        <x:v>44</x:v>
      </x:c>
      <x:c r="F964" s="75" t="n">
        <x:v>47</x:v>
      </x:c>
      <x:c r="G964" s="75" t="n">
        <x:v>50</x:v>
      </x:c>
      <x:c r="H964" s="75" t="n">
        <x:v>1</x:v>
      </x:c>
      <x:c r="I964" s="75" t="n">
        <x:v>7</x:v>
      </x:c>
      <x:c r="J964" s="75" t="n">
        <x:v>50</x:v>
      </x:c>
      <x:c r="K964" s="75" t="n">
        <x:v>12</x:v>
      </x:c>
      <x:c r="L964" s="75" t="str">
        <x:v>R3_5of50_2of12</x:v>
      </x:c>
      <x:c r="M964" s="213" t="str">
        <x:v>S2_post_2024_studio_change_sensitivity_only</x:v>
      </x:c>
      <x:c r="N964" s="213" t="str">
        <x:v>Friday</x:v>
      </x:c>
      <x:c r="O964" s="213" t="str">
        <x:v>LottoMetrics full-history export</x:v>
      </x:c>
      <x:c r="P964" s="213" t="str">
        <x:v>Cross-checked: OPAP uploads + public archive</x:v>
      </x:c>
      <x:c r="Q964" s="54" t="str"/>
    </x:row>
    <x:row r="965">
      <x:c r="A965" s="74" t="n">
        <x:v>962</x:v>
      </x:c>
      <x:c r="B965" s="217" t="n">
        <x:v>46182</x:v>
      </x:c>
      <x:c r="C965" s="75" t="n">
        <x:v>1</x:v>
      </x:c>
      <x:c r="D965" s="75" t="n">
        <x:v>14</x:v>
      </x:c>
      <x:c r="E965" s="75" t="n">
        <x:v>22</x:v>
      </x:c>
      <x:c r="F965" s="75" t="n">
        <x:v>39</x:v>
      </x:c>
      <x:c r="G965" s="75" t="n">
        <x:v>48</x:v>
      </x:c>
      <x:c r="H965" s="75" t="n">
        <x:v>8</x:v>
      </x:c>
      <x:c r="I965" s="75" t="n">
        <x:v>11</x:v>
      </x:c>
      <x:c r="J965" s="75" t="n">
        <x:v>50</x:v>
      </x:c>
      <x:c r="K965" s="75" t="n">
        <x:v>12</x:v>
      </x:c>
      <x:c r="L965" s="75" t="str">
        <x:v>R3_5of50_2of12</x:v>
      </x:c>
      <x:c r="M965" s="213" t="str">
        <x:v>S2_post_2024_studio_change_sensitivity_only</x:v>
      </x:c>
      <x:c r="N965" s="213" t="str">
        <x:v>Tuesday</x:v>
      </x:c>
      <x:c r="O965" s="213" t="str">
        <x:v>LottoMetrics full-history export</x:v>
      </x:c>
      <x:c r="P965" s="213" t="str">
        <x:v>Cross-checked: OPAP uploads + public archive</x:v>
      </x:c>
      <x:c r="Q965" s="54" t="str"/>
    </x:row>
    <x:row r="966">
      <x:c r="A966" s="74" t="n">
        <x:v>963</x:v>
      </x:c>
      <x:c r="B966" s="217" t="n">
        <x:v>46185</x:v>
      </x:c>
      <x:c r="C966" s="75" t="n">
        <x:v>2</x:v>
      </x:c>
      <x:c r="D966" s="75" t="n">
        <x:v>4</x:v>
      </x:c>
      <x:c r="E966" s="75" t="n">
        <x:v>14</x:v>
      </x:c>
      <x:c r="F966" s="75" t="n">
        <x:v>18</x:v>
      </x:c>
      <x:c r="G966" s="75" t="n">
        <x:v>28</x:v>
      </x:c>
      <x:c r="H966" s="75" t="n">
        <x:v>9</x:v>
      </x:c>
      <x:c r="I966" s="75" t="n">
        <x:v>11</x:v>
      </x:c>
      <x:c r="J966" s="75" t="n">
        <x:v>50</x:v>
      </x:c>
      <x:c r="K966" s="75" t="n">
        <x:v>12</x:v>
      </x:c>
      <x:c r="L966" s="75" t="str">
        <x:v>R3_5of50_2of12</x:v>
      </x:c>
      <x:c r="M966" s="213" t="str">
        <x:v>S2_post_2024_studio_change_sensitivity_only</x:v>
      </x:c>
      <x:c r="N966" s="213" t="str">
        <x:v>Friday</x:v>
      </x:c>
      <x:c r="O966" s="213" t="str">
        <x:v>LottoMetrics full-history export</x:v>
      </x:c>
      <x:c r="P966" s="213" t="str">
        <x:v>Cross-checked: OPAP uploads + public archive</x:v>
      </x:c>
      <x:c r="Q966" s="54" t="str"/>
    </x:row>
    <x:row r="967">
      <x:c r="A967" s="74" t="n">
        <x:v>964</x:v>
      </x:c>
      <x:c r="B967" s="217" t="n">
        <x:v>46189</x:v>
      </x:c>
      <x:c r="C967" s="75" t="n">
        <x:v>9</x:v>
      </x:c>
      <x:c r="D967" s="75" t="n">
        <x:v>26</x:v>
      </x:c>
      <x:c r="E967" s="75" t="n">
        <x:v>29</x:v>
      </x:c>
      <x:c r="F967" s="75" t="n">
        <x:v>37</x:v>
      </x:c>
      <x:c r="G967" s="75" t="n">
        <x:v>42</x:v>
      </x:c>
      <x:c r="H967" s="75" t="n">
        <x:v>1</x:v>
      </x:c>
      <x:c r="I967" s="75" t="n">
        <x:v>7</x:v>
      </x:c>
      <x:c r="J967" s="75" t="n">
        <x:v>50</x:v>
      </x:c>
      <x:c r="K967" s="75" t="n">
        <x:v>12</x:v>
      </x:c>
      <x:c r="L967" s="75" t="str">
        <x:v>R3_5of50_2of12</x:v>
      </x:c>
      <x:c r="M967" s="213" t="str">
        <x:v>S2_post_2024_studio_change_sensitivity_only</x:v>
      </x:c>
      <x:c r="N967" s="213" t="str">
        <x:v>Tuesday</x:v>
      </x:c>
      <x:c r="O967" s="213" t="str">
        <x:v>LottoMetrics full-history export</x:v>
      </x:c>
      <x:c r="P967" s="213" t="str">
        <x:v>Cross-checked: OPAP uploads + public archive</x:v>
      </x:c>
      <x:c r="Q967" s="54" t="str"/>
    </x:row>
    <x:row r="968">
      <x:c r="A968" s="74" t="n">
        <x:v>965</x:v>
      </x:c>
      <x:c r="B968" s="217" t="n">
        <x:v>46192</x:v>
      </x:c>
      <x:c r="C968" s="75" t="n">
        <x:v>16</x:v>
      </x:c>
      <x:c r="D968" s="75" t="n">
        <x:v>27</x:v>
      </x:c>
      <x:c r="E968" s="75" t="n">
        <x:v>37</x:v>
      </x:c>
      <x:c r="F968" s="75" t="n">
        <x:v>42</x:v>
      </x:c>
      <x:c r="G968" s="75" t="n">
        <x:v>45</x:v>
      </x:c>
      <x:c r="H968" s="75" t="n">
        <x:v>5</x:v>
      </x:c>
      <x:c r="I968" s="75" t="n">
        <x:v>12</x:v>
      </x:c>
      <x:c r="J968" s="75" t="n">
        <x:v>50</x:v>
      </x:c>
      <x:c r="K968" s="75" t="n">
        <x:v>12</x:v>
      </x:c>
      <x:c r="L968" s="75" t="str">
        <x:v>R3_5of50_2of12</x:v>
      </x:c>
      <x:c r="M968" s="213" t="str">
        <x:v>S2_post_2024_studio_change_sensitivity_only</x:v>
      </x:c>
      <x:c r="N968" s="213" t="str">
        <x:v>Friday</x:v>
      </x:c>
      <x:c r="O968" s="213" t="str">
        <x:v>LottoMetrics full-history export</x:v>
      </x:c>
      <x:c r="P968" s="213" t="str">
        <x:v>Cross-checked: OPAP uploads + public archive</x:v>
      </x:c>
      <x:c r="Q968" s="54" t="str"/>
    </x:row>
    <x:row r="969">
      <x:c r="A969" s="74" t="n">
        <x:v>966</x:v>
      </x:c>
      <x:c r="B969" s="217" t="n">
        <x:v>46196</x:v>
      </x:c>
      <x:c r="C969" s="75" t="n">
        <x:v>24</x:v>
      </x:c>
      <x:c r="D969" s="75" t="n">
        <x:v>27</x:v>
      </x:c>
      <x:c r="E969" s="75" t="n">
        <x:v>43</x:v>
      </x:c>
      <x:c r="F969" s="75" t="n">
        <x:v>48</x:v>
      </x:c>
      <x:c r="G969" s="75" t="n">
        <x:v>50</x:v>
      </x:c>
      <x:c r="H969" s="75" t="n">
        <x:v>4</x:v>
      </x:c>
      <x:c r="I969" s="75" t="n">
        <x:v>12</x:v>
      </x:c>
      <x:c r="J969" s="75" t="n">
        <x:v>50</x:v>
      </x:c>
      <x:c r="K969" s="75" t="n">
        <x:v>12</x:v>
      </x:c>
      <x:c r="L969" s="75" t="str">
        <x:v>R3_5of50_2of12</x:v>
      </x:c>
      <x:c r="M969" s="213" t="str">
        <x:v>S2_post_2024_studio_change_sensitivity_only</x:v>
      </x:c>
      <x:c r="N969" s="213" t="str">
        <x:v>Tuesday</x:v>
      </x:c>
      <x:c r="O969" s="213" t="str">
        <x:v>LottoMetrics full-history export</x:v>
      </x:c>
      <x:c r="P969" s="213" t="str">
        <x:v>Cross-checked: OPAP uploads + public archive</x:v>
      </x:c>
      <x:c r="Q969" s="54" t="str"/>
    </x:row>
    <x:row r="970">
      <x:c r="A970" s="74" t="n">
        <x:v>967</x:v>
      </x:c>
      <x:c r="B970" s="217" t="n">
        <x:v>46199</x:v>
      </x:c>
      <x:c r="C970" s="75" t="n">
        <x:v>17</x:v>
      </x:c>
      <x:c r="D970" s="75" t="n">
        <x:v>25</x:v>
      </x:c>
      <x:c r="E970" s="75" t="n">
        <x:v>35</x:v>
      </x:c>
      <x:c r="F970" s="75" t="n">
        <x:v>39</x:v>
      </x:c>
      <x:c r="G970" s="75" t="n">
        <x:v>41</x:v>
      </x:c>
      <x:c r="H970" s="75" t="n">
        <x:v>5</x:v>
      </x:c>
      <x:c r="I970" s="75" t="n">
        <x:v>9</x:v>
      </x:c>
      <x:c r="J970" s="75" t="n">
        <x:v>50</x:v>
      </x:c>
      <x:c r="K970" s="75" t="n">
        <x:v>12</x:v>
      </x:c>
      <x:c r="L970" s="75" t="str">
        <x:v>R3_5of50_2of12</x:v>
      </x:c>
      <x:c r="M970" s="213" t="str">
        <x:v>S2_post_2024_studio_change_sensitivity_only</x:v>
      </x:c>
      <x:c r="N970" s="213" t="str">
        <x:v>Friday</x:v>
      </x:c>
      <x:c r="O970" s="213" t="str">
        <x:v>LottoMetrics full-history export</x:v>
      </x:c>
      <x:c r="P970" s="213" t="str">
        <x:v>Cross-checked: OPAP uploads + public archive</x:v>
      </x:c>
      <x:c r="Q970" s="54" t="str"/>
    </x:row>
    <x:row r="971">
      <x:c r="A971" s="74" t="n">
        <x:v>968</x:v>
      </x:c>
      <x:c r="B971" s="217" t="n">
        <x:v>46203</x:v>
      </x:c>
      <x:c r="C971" s="75" t="n">
        <x:v>12</x:v>
      </x:c>
      <x:c r="D971" s="75" t="n">
        <x:v>19</x:v>
      </x:c>
      <x:c r="E971" s="75" t="n">
        <x:v>34</x:v>
      </x:c>
      <x:c r="F971" s="75" t="n">
        <x:v>44</x:v>
      </x:c>
      <x:c r="G971" s="75" t="n">
        <x:v>50</x:v>
      </x:c>
      <x:c r="H971" s="75" t="n">
        <x:v>3</x:v>
      </x:c>
      <x:c r="I971" s="75" t="n">
        <x:v>8</x:v>
      </x:c>
      <x:c r="J971" s="75" t="n">
        <x:v>50</x:v>
      </x:c>
      <x:c r="K971" s="75" t="n">
        <x:v>12</x:v>
      </x:c>
      <x:c r="L971" s="75" t="str">
        <x:v>R3_5of50_2of12</x:v>
      </x:c>
      <x:c r="M971" s="213" t="str">
        <x:v>S2_post_2024_studio_change_sensitivity_only</x:v>
      </x:c>
      <x:c r="N971" s="213" t="str">
        <x:v>Tuesday</x:v>
      </x:c>
      <x:c r="O971" s="213" t="str">
        <x:v>LottoMetrics full-history export</x:v>
      </x:c>
      <x:c r="P971" s="213" t="str">
        <x:v>Cross-checked: OPAP uploads + public archive</x:v>
      </x:c>
      <x:c r="Q971" s="54" t="str"/>
    </x:row>
    <x:row r="972">
      <x:c r="A972" s="74" t="n">
        <x:v>969</x:v>
      </x:c>
      <x:c r="B972" s="217" t="n">
        <x:v>46206</x:v>
      </x:c>
      <x:c r="C972" s="75" t="n">
        <x:v>4</x:v>
      </x:c>
      <x:c r="D972" s="75" t="n">
        <x:v>9</x:v>
      </x:c>
      <x:c r="E972" s="75" t="n">
        <x:v>20</x:v>
      </x:c>
      <x:c r="F972" s="75" t="n">
        <x:v>25</x:v>
      </x:c>
      <x:c r="G972" s="75" t="n">
        <x:v>28</x:v>
      </x:c>
      <x:c r="H972" s="75" t="n">
        <x:v>1</x:v>
      </x:c>
      <x:c r="I972" s="75" t="n">
        <x:v>3</x:v>
      </x:c>
      <x:c r="J972" s="75" t="n">
        <x:v>50</x:v>
      </x:c>
      <x:c r="K972" s="75" t="n">
        <x:v>12</x:v>
      </x:c>
      <x:c r="L972" s="75" t="str">
        <x:v>R3_5of50_2of12</x:v>
      </x:c>
      <x:c r="M972" s="213" t="str">
        <x:v>S2_post_2024_studio_change_sensitivity_only</x:v>
      </x:c>
      <x:c r="N972" s="213" t="str">
        <x:v>Friday</x:v>
      </x:c>
      <x:c r="O972" s="213" t="str">
        <x:v>LottoMetrics full-history export</x:v>
      </x:c>
      <x:c r="P972" s="213" t="str">
        <x:v>Cross-checked: OPAP uploads + public archive</x:v>
      </x:c>
      <x:c r="Q972" s="54" t="str"/>
    </x:row>
    <x:row r="973">
      <x:c r="A973" s="74" t="n">
        <x:v>970</x:v>
      </x:c>
      <x:c r="B973" s="217" t="n">
        <x:v>46210</x:v>
      </x:c>
      <x:c r="C973" s="75" t="n">
        <x:v>6</x:v>
      </x:c>
      <x:c r="D973" s="75" t="n">
        <x:v>16</x:v>
      </x:c>
      <x:c r="E973" s="75" t="n">
        <x:v>24</x:v>
      </x:c>
      <x:c r="F973" s="75" t="n">
        <x:v>41</x:v>
      </x:c>
      <x:c r="G973" s="75" t="n">
        <x:v>46</x:v>
      </x:c>
      <x:c r="H973" s="75" t="n">
        <x:v>2</x:v>
      </x:c>
      <x:c r="I973" s="75" t="n">
        <x:v>3</x:v>
      </x:c>
      <x:c r="J973" s="75" t="n">
        <x:v>50</x:v>
      </x:c>
      <x:c r="K973" s="75" t="n">
        <x:v>12</x:v>
      </x:c>
      <x:c r="L973" s="75" t="str">
        <x:v>R3_5of50_2of12</x:v>
      </x:c>
      <x:c r="M973" s="213" t="str">
        <x:v>S2_post_2024_studio_change_sensitivity_only</x:v>
      </x:c>
      <x:c r="N973" s="213" t="str">
        <x:v>Tuesday</x:v>
      </x:c>
      <x:c r="O973" s="213" t="str">
        <x:v>LottoMetrics full-history export</x:v>
      </x:c>
      <x:c r="P973" s="213" t="str">
        <x:v>Cross-checked: OPAP uploads + public archive</x:v>
      </x:c>
      <x:c r="Q973" s="54" t="str"/>
    </x:row>
    <x:row r="974">
      <x:c r="A974" s="74" t="n">
        <x:v>971</x:v>
      </x:c>
      <x:c r="B974" s="217" t="n">
        <x:v>46213</x:v>
      </x:c>
      <x:c r="C974" s="75" t="n">
        <x:v>13</x:v>
      </x:c>
      <x:c r="D974" s="75" t="n">
        <x:v>25</x:v>
      </x:c>
      <x:c r="E974" s="75" t="n">
        <x:v>28</x:v>
      </x:c>
      <x:c r="F974" s="75" t="n">
        <x:v>42</x:v>
      </x:c>
      <x:c r="G974" s="75" t="n">
        <x:v>45</x:v>
      </x:c>
      <x:c r="H974" s="75" t="n">
        <x:v>5</x:v>
      </x:c>
      <x:c r="I974" s="75" t="n">
        <x:v>12</x:v>
      </x:c>
      <x:c r="J974" s="75" t="n">
        <x:v>50</x:v>
      </x:c>
      <x:c r="K974" s="75" t="n">
        <x:v>12</x:v>
      </x:c>
      <x:c r="L974" s="75" t="str">
        <x:v>R3_5of50_2of12</x:v>
      </x:c>
      <x:c r="M974" s="213" t="str">
        <x:v>S2_post_2024_studio_change_sensitivity_only</x:v>
      </x:c>
      <x:c r="N974" s="213" t="str">
        <x:v>Friday</x:v>
      </x:c>
      <x:c r="O974" s="213" t="str">
        <x:v>LottoMetrics full-history export</x:v>
      </x:c>
      <x:c r="P974" s="213" t="str">
        <x:v>Cross-checked: OPAP uploads + public archive</x:v>
      </x:c>
      <x:c r="Q974" s="54" t="str"/>
    </x:row>
    <x:row r="975">
      <x:c r="A975" s="74" t="n">
        <x:v>972</x:v>
      </x:c>
      <x:c r="B975" s="217" t="n">
        <x:v>46217</x:v>
      </x:c>
      <x:c r="C975" s="75" t="n">
        <x:v>5</x:v>
      </x:c>
      <x:c r="D975" s="75" t="n">
        <x:v>6</x:v>
      </x:c>
      <x:c r="E975" s="75" t="n">
        <x:v>17</x:v>
      </x:c>
      <x:c r="F975" s="75" t="n">
        <x:v>34</x:v>
      </x:c>
      <x:c r="G975" s="75" t="n">
        <x:v>36</x:v>
      </x:c>
      <x:c r="H975" s="75" t="n">
        <x:v>3</x:v>
      </x:c>
      <x:c r="I975" s="75" t="n">
        <x:v>11</x:v>
      </x:c>
      <x:c r="J975" s="75" t="n">
        <x:v>50</x:v>
      </x:c>
      <x:c r="K975" s="75" t="n">
        <x:v>12</x:v>
      </x:c>
      <x:c r="L975" s="75" t="str">
        <x:v>R3_5of50_2of12</x:v>
      </x:c>
      <x:c r="M975" s="213" t="str">
        <x:v>S2_post_2024_studio_change_sensitivity_only</x:v>
      </x:c>
      <x:c r="N975" s="213" t="str">
        <x:v>Tuesday</x:v>
      </x:c>
      <x:c r="O975" s="213" t="str">
        <x:v>LottoMetrics full-history export</x:v>
      </x:c>
      <x:c r="P975" s="213" t="str">
        <x:v>Cross-checked: OPAP uploads + public archive</x:v>
      </x:c>
      <x:c r="Q975" s="54" t="str"/>
    </x:row>
    <x:row r="976">
      <x:c r="A976" s="74" t="n">
        <x:v>973</x:v>
      </x:c>
      <x:c r="B976" s="217" t="n">
        <x:v>46220</x:v>
      </x:c>
      <x:c r="C976" s="75" t="n">
        <x:v>6</x:v>
      </x:c>
      <x:c r="D976" s="75" t="n">
        <x:v>21</x:v>
      </x:c>
      <x:c r="E976" s="75" t="n">
        <x:v>31</x:v>
      </x:c>
      <x:c r="F976" s="75" t="n">
        <x:v>47</x:v>
      </x:c>
      <x:c r="G976" s="75" t="n">
        <x:v>48</x:v>
      </x:c>
      <x:c r="H976" s="75" t="n">
        <x:v>2</x:v>
      </x:c>
      <x:c r="I976" s="75" t="n">
        <x:v>9</x:v>
      </x:c>
      <x:c r="J976" s="75" t="n">
        <x:v>50</x:v>
      </x:c>
      <x:c r="K976" s="75" t="n">
        <x:v>12</x:v>
      </x:c>
      <x:c r="L976" s="75" t="str">
        <x:v>R3_5of50_2of12</x:v>
      </x:c>
      <x:c r="M976" s="213" t="str">
        <x:v>S2_post_2024_studio_change_sensitivity_only</x:v>
      </x:c>
      <x:c r="N976" s="213" t="str">
        <x:v>Friday</x:v>
      </x:c>
      <x:c r="O976" s="213" t="str">
        <x:v>LottoMetrics full-history export</x:v>
      </x:c>
      <x:c r="P976" s="213" t="str">
        <x:v>Cross-checked: OPAP uploads + public archive</x:v>
      </x:c>
      <x:c r="Q976" s="54" t="str"/>
    </x:row>
    <x:row r="977">
      <x:c r="A977" s="74" t="n">
        <x:v>974</x:v>
      </x:c>
      <x:c r="B977" s="217" t="n">
        <x:v>46224</x:v>
      </x:c>
      <x:c r="C977" s="75" t="n">
        <x:v>4</x:v>
      </x:c>
      <x:c r="D977" s="75" t="n">
        <x:v>8</x:v>
      </x:c>
      <x:c r="E977" s="75" t="n">
        <x:v>10</x:v>
      </x:c>
      <x:c r="F977" s="75" t="n">
        <x:v>17</x:v>
      </x:c>
      <x:c r="G977" s="75" t="n">
        <x:v>37</x:v>
      </x:c>
      <x:c r="H977" s="75" t="n">
        <x:v>5</x:v>
      </x:c>
      <x:c r="I977" s="75" t="n">
        <x:v>7</x:v>
      </x:c>
      <x:c r="J977" s="75" t="n">
        <x:v>50</x:v>
      </x:c>
      <x:c r="K977" s="75" t="n">
        <x:v>12</x:v>
      </x:c>
      <x:c r="L977" s="75" t="str">
        <x:v>R3_5of50_2of12</x:v>
      </x:c>
      <x:c r="M977" s="213" t="str">
        <x:v>S2_post_2024_studio_change_sensitivity_only</x:v>
      </x:c>
      <x:c r="N977" s="213" t="str">
        <x:v>Tuesday</x:v>
      </x:c>
      <x:c r="O977" s="213" t="str">
        <x:v>LottoMetrics full-history export</x:v>
      </x:c>
      <x:c r="P977" s="213" t="str">
        <x:v>Cross-checked: OPAP uploads + public archive</x:v>
      </x:c>
      <x:c r="Q977" s="54" t="str"/>
    </x:row>
    <x:row r="978">
      <x:c r="A978" s="76" t="n">
        <x:v>975</x:v>
      </x:c>
      <x:c r="B978" s="218" t="n">
        <x:v>46227</x:v>
      </x:c>
      <x:c r="C978" s="77" t="n">
        <x:v>4</x:v>
      </x:c>
      <x:c r="D978" s="77" t="n">
        <x:v>6</x:v>
      </x:c>
      <x:c r="E978" s="77" t="n">
        <x:v>8</x:v>
      </x:c>
      <x:c r="F978" s="77" t="n">
        <x:v>17</x:v>
      </x:c>
      <x:c r="G978" s="77" t="n">
        <x:v>22</x:v>
      </x:c>
      <x:c r="H978" s="77" t="n">
        <x:v>7</x:v>
      </x:c>
      <x:c r="I978" s="77" t="n">
        <x:v>10</x:v>
      </x:c>
      <x:c r="J978" s="77" t="n">
        <x:v>50</x:v>
      </x:c>
      <x:c r="K978" s="77" t="n">
        <x:v>12</x:v>
      </x:c>
      <x:c r="L978" s="77" t="str">
        <x:v>R3_5of50_2of12</x:v>
      </x:c>
      <x:c r="M978" s="214" t="str">
        <x:v>S2_post_2024_studio_change_sensitivity_only</x:v>
      </x:c>
      <x:c r="N978" s="214" t="str">
        <x:v>Friday</x:v>
      </x:c>
      <x:c r="O978" s="214" t="str">
        <x:v>Official EuroJackpot website + independent web verification</x:v>
      </x:c>
      <x:c r="P978" s="214" t="str">
        <x:v>Cross-checked: official/public current result</x:v>
      </x:c>
      <x:c r="Q978" s="123" t="str">
        <x:v>Added missing record</x:v>
      </x:c>
    </x:row>
  </x:sheetData>
  <x:mergeCells>
    <x:mergeCell ref="A1:Q1"/>
  </x:mergeCells>
  <x:pageMargins left="0.7" right="0.7" top="0.75" bottom="0.75" header="0.3" footer="0.3"/>
  <x:tableParts count="1">
    <x:tablePart xmlns:r="http://schemas.openxmlformats.org/officeDocument/2006/relationships" r:id="R1b52fffc398e4011"/>
  </x:tableParts>
</x:worksheet>
</file>

<file path=xl/worksheets/sheet13.xml><?xml version="1.0" encoding="utf-8"?>
<x:worksheet xmlns:x="http://schemas.openxmlformats.org/spreadsheetml/2006/main">
  <x:sheetFormatPr defaultRowHeight="15"/>
  <x:cols>
    <x:col min="1" max="1" width="38" hidden="0" customWidth="1"/>
    <x:col min="2" max="2" width="22" hidden="0" customWidth="1"/>
    <x:col min="3" max="3" width="18" hidden="0" customWidth="1"/>
    <x:col min="4" max="4" width="76" hidden="0" customWidth="1"/>
  </x:cols>
  <x:sheetData>
    <x:row r="1" ht="30" customHeight="1">
      <x:c r="A1" s="259" t="str">
        <x:v>Audited Method Register</x:v>
      </x:c>
      <x:c r="B1" s="259"/>
      <x:c r="C1" s="259"/>
      <x:c r="D1" s="259"/>
      <x:c r="E1" s="259"/>
      <x:c r="F1" s="259"/>
      <x:c r="G1" s="259"/>
      <x:c r="H1" s="259"/>
      <x:c r="I1" s="260"/>
      <x:c r="J1" s="260"/>
      <x:c r="K1" s="260"/>
      <x:c r="L1" s="260"/>
      <x:c r="M1" s="260"/>
      <x:c r="N1" s="260"/>
      <x:c r="O1" s="260"/>
      <x:c r="P1" s="260"/>
      <x:c r="Q1" s="260"/>
      <x:c r="R1" s="260"/>
      <x:c r="S1" s="260"/>
      <x:c r="T1" s="260"/>
      <x:c r="U1" s="260"/>
      <x:c r="V1" s="260"/>
      <x:c r="W1" s="260"/>
      <x:c r="X1" s="260"/>
      <x:c r="Y1" s="260"/>
      <x:c r="Z1" s="260"/>
    </x:row>
    <x:row r="3">
      <x:c r="A3" s="95" t="str">
        <x:v>Method</x:v>
      </x:c>
      <x:c r="B3" s="96" t="str">
        <x:v>Family</x:v>
      </x:c>
      <x:c r="C3" s="96" t="str">
        <x:v>Status</x:v>
      </x:c>
      <x:c r="D3" s="97" t="str">
        <x:v>Audit Note</x:v>
      </x:c>
    </x:row>
    <x:row r="4">
      <x:c r="A4" s="74" t="str">
        <x:v>Uniform inclusion probabilities</x:v>
      </x:c>
      <x:c r="B4" s="75" t="str">
        <x:v>Baseline</x:v>
      </x:c>
      <x:c r="C4" s="75" t="str">
        <x:v>DEPLOYED</x:v>
      </x:c>
      <x:c r="D4" s="54" t="str">
        <x:v>Exact fair-draw baseline; 5/50 and 2/12.</x:v>
      </x:c>
    </x:row>
    <x:row r="5">
      <x:c r="A5" s="74" t="str">
        <x:v>Frequency / rolling / EWMA</x:v>
      </x:c>
      <x:c r="B5" s="75" t="str">
        <x:v>Statistical</x:v>
      </x:c>
      <x:c r="C5" s="75" t="str">
        <x:v>RESEARCH</x:v>
      </x:c>
      <x:c r="D5" s="54" t="str">
        <x:v>No robust holdout edge.</x:v>
      </x:c>
    </x:row>
    <x:row r="6">
      <x:c r="A6" s="74" t="str">
        <x:v>Beta-Binomial / hierarchical Bayes</x:v>
      </x:c>
      <x:c r="B6" s="75" t="str">
        <x:v>Bayesian</x:v>
      </x:c>
      <x:c r="C6" s="75" t="str">
        <x:v>RESEARCH</x:v>
      </x:c>
      <x:c r="D6" s="54" t="str">
        <x:v>Strong shrinkage toward uniform.</x:v>
      </x:c>
    </x:row>
    <x:row r="7">
      <x:c r="A7" s="74" t="str">
        <x:v>Dynamic state-space</x:v>
      </x:c>
      <x:c r="B7" s="75" t="str">
        <x:v>Bayesian</x:v>
      </x:c>
      <x:c r="C7" s="75" t="str">
        <x:v>RESEARCH</x:v>
      </x:c>
      <x:c r="D7" s="54" t="str">
        <x:v>Latent probabilities shrink toward uniform.</x:v>
      </x:c>
    </x:row>
    <x:row r="8">
      <x:c r="A8" s="74" t="str">
        <x:v>L2 logistic / elastic net</x:v>
      </x:c>
      <x:c r="B8" s="75" t="str">
        <x:v>Machine learning</x:v>
      </x:c>
      <x:c r="C8" s="75" t="str">
        <x:v>RESEARCH</x:v>
      </x:c>
      <x:c r="D8" s="54" t="str">
        <x:v>Multi-label candidate-number probabilities.</x:v>
      </x:c>
    </x:row>
    <x:row r="9">
      <x:c r="A9" s="74" t="str">
        <x:v>Gradient boosting / random forest / Extra Trees / HistGB</x:v>
      </x:c>
      <x:c r="B9" s="75" t="str">
        <x:v>Machine learning</x:v>
      </x:c>
      <x:c r="C9" s="75" t="str">
        <x:v>RESEARCH</x:v>
      </x:c>
      <x:c r="D9" s="54" t="str">
        <x:v>Nested tuning; no validated deployment.</x:v>
      </x:c>
    </x:row>
    <x:row r="10">
      <x:c r="A10" s="74" t="str">
        <x:v>Bayesian GLM approximation</x:v>
      </x:c>
      <x:c r="B10" s="75" t="str">
        <x:v>Bayesian ML</x:v>
      </x:c>
      <x:c r="C10" s="75" t="str">
        <x:v>RESEARCH</x:v>
      </x:c>
      <x:c r="D10" s="54" t="str">
        <x:v>Regularized probability model.</x:v>
      </x:c>
    </x:row>
    <x:row r="11">
      <x:c r="A11" s="74" t="str">
        <x:v>Cross-fitted Platt calibration</x:v>
      </x:c>
      <x:c r="B11" s="75" t="str">
        <x:v>Calibration</x:v>
      </x:c>
      <x:c r="C11" s="75" t="str">
        <x:v>IMPLEMENTED</x:v>
      </x:c>
      <x:c r="D11" s="54" t="str">
        <x:v>Corrects the missing calibration in v2.</x:v>
      </x:c>
    </x:row>
    <x:row r="12">
      <x:c r="A12" s="74" t="str">
        <x:v>Repeated permutation feature screening</x:v>
      </x:c>
      <x:c r="B12" s="75" t="str">
        <x:v>Feature selection</x:v>
      </x:c>
      <x:c r="C12" s="75" t="str">
        <x:v>IMPLEMENTED</x:v>
      </x:c>
      <x:c r="D12" s="54" t="str">
        <x:v>Retain groups only when reproduced across cutoffs.</x:v>
      </x:c>
    </x:row>
    <x:row r="13">
      <x:c r="A13" s="74" t="str">
        <x:v>MaxT reality check</x:v>
      </x:c>
      <x:c r="B13" s="75" t="str">
        <x:v>Multiple testing</x:v>
      </x:c>
      <x:c r="C13" s="75" t="str">
        <x:v>IMPLEMENTED</x:v>
      </x:c>
      <x:c r="D13" s="54" t="str">
        <x:v>Controls selection among many models.</x:v>
      </x:c>
    </x:row>
    <x:row r="14">
      <x:c r="A14" s="74" t="str">
        <x:v>Block bootstrap</x:v>
      </x:c>
      <x:c r="B14" s="75" t="str">
        <x:v>Inference</x:v>
      </x:c>
      <x:c r="C14" s="75" t="str">
        <x:v>IMPLEMENTED</x:v>
      </x:c>
      <x:c r="D14" s="54" t="str">
        <x:v>Preserves local temporal dependence.</x:v>
      </x:c>
    </x:row>
    <x:row r="15">
      <x:c r="A15" s="74" t="str">
        <x:v>Weekday-number interaction</x:v>
      </x:c>
      <x:c r="B15" s="75" t="str">
        <x:v>Targeted audit</x:v>
      </x:c>
      <x:c r="C15" s="75" t="str">
        <x:v>REJECTED</x:v>
      </x:c>
      <x:c r="D15" s="54" t="str">
        <x:v>Tiny holdout improvement; p=0.594; CI crosses zero.</x:v>
      </x:c>
    </x:row>
    <x:row r="16">
      <x:c r="A16" s="74" t="str">
        <x:v>LSTM / GRU / transformer / temporal CNN</x:v>
      </x:c>
      <x:c r="B16" s="75" t="str">
        <x:v>Deep learning</x:v>
      </x:c>
      <x:c r="C16" s="75" t="str">
        <x:v>EXCLUDED</x:v>
      </x:c>
      <x:c r="D16" s="54" t="str">
        <x:v>Independent sample size remains too small.</x:v>
      </x:c>
    </x:row>
    <x:row r="17">
      <x:c r="A17" s="76" t="str">
        <x:v>Anti-crowd portfolio optimization</x:v>
      </x:c>
      <x:c r="B17" s="77" t="str">
        <x:v>Ticket strategy</x:v>
      </x:c>
      <x:c r="C17" s="77" t="str">
        <x:v>RESEARCH</x:v>
      </x:c>
      <x:c r="D17" s="123" t="str">
        <x:v>Potential prize-sharing value only, not draw-probability edge.</x:v>
      </x:c>
    </x:row>
    <x:row r="18">
      <x:c r="A18" s="293" t="str">
        <x:v>Covering design C(12,5,2)</x:v>
      </x:c>
      <x:c r="B18" s="294" t="str">
        <x:v>Combinatorial design</x:v>
      </x:c>
      <x:c r="C18" s="345" t="str">
        <x:v>IMPLEMENTED</x:v>
      </x:c>
      <x:c r="D18" s="286" t="str">
        <x:v>Nine verified blocks cover every selected-pool pair.</x:v>
      </x:c>
    </x:row>
    <x:row r="19">
      <x:c r="A19" s="295" t="str">
        <x:v>Covering design C(12,5,3)</x:v>
      </x:c>
      <x:c r="B19" s="296" t="str">
        <x:v>Combinatorial design</x:v>
      </x:c>
      <x:c r="C19" s="340" t="str">
        <x:v>IMPLEMENTED</x:v>
      </x:c>
      <x:c r="D19" s="288" t="str">
        <x:v>33 verified blocks cover every selected-pool triple.</x:v>
      </x:c>
    </x:row>
    <x:row r="20">
      <x:c r="A20" s="295" t="str">
        <x:v>Complete Euro-pair product</x:v>
      </x:c>
      <x:c r="B20" s="296" t="str">
        <x:v>Combinatorial design</x:v>
      </x:c>
      <x:c r="C20" s="340" t="str">
        <x:v>IMPLEMENTED</x:v>
      </x:c>
      <x:c r="D20" s="288" t="str">
        <x:v>All Euro pairs are crossed with every main block.</x:v>
      </x:c>
    </x:row>
    <x:row r="21">
      <x:c r="A21" s="295" t="str">
        <x:v>Conditional coverage certificate</x:v>
      </x:c>
      <x:c r="B21" s="296" t="str">
        <x:v>Mathematical guarantee</x:v>
      </x:c>
      <x:c r="C21" s="340" t="str">
        <x:v>IMPLEMENTED</x:v>
      </x:c>
      <x:c r="D21" s="288" t="str">
        <x:v>Guarantees ≥2+2 or ≥3+2 only under explicit conditions.</x:v>
      </x:c>
    </x:row>
    <x:row r="22">
      <x:c r="A22" s="297" t="str">
        <x:v>Distinct-line coverage</x:v>
      </x:c>
      <x:c r="B22" s="298" t="str">
        <x:v>Probability mathematics</x:v>
      </x:c>
      <x:c r="C22" s="341" t="str">
        <x:v>IMPLEMENTED</x:v>
      </x:c>
      <x:c r="D22" s="290" t="str">
        <x:v>N unique lines give exactly N times one-line jackpot coverage.</x:v>
      </x:c>
    </x:row>
    <x:row r="24">
      <x:c r="A24" s="415" t="str">
        <x:v>Sequential e-values / martingales</x:v>
      </x:c>
      <x:c r="B24" s="416" t="str">
        <x:v>Sequential inference</x:v>
      </x:c>
      <x:c r="C24" s="477" t="str">
        <x:v>IMPLEMENTED</x:v>
      </x:c>
      <x:c r="D24" s="478" t="str">
        <x:v>Continuous optional-stopping-safe evidence accumulation.</x:v>
      </x:c>
    </x:row>
    <x:row r="25">
      <x:c r="A25" s="417" t="str">
        <x:v>Bayesian change-point / CUSUM</x:v>
      </x:c>
      <x:c r="B25" s="296" t="str">
        <x:v>Structural diagnostics</x:v>
      </x:c>
      <x:c r="C25" s="445" t="str">
        <x:v>IMPLEMENTED</x:v>
      </x:c>
      <x:c r="D25" s="412" t="str">
        <x:v>Unknown-break and fast-drift detection.</x:v>
      </x:c>
    </x:row>
    <x:row r="26">
      <x:c r="A26" s="417" t="str">
        <x:v>HMM / DP mixture regimes</x:v>
      </x:c>
      <x:c r="B26" s="296" t="str">
        <x:v>Latent-regime models</x:v>
      </x:c>
      <x:c r="C26" s="445" t="str">
        <x:v>IMPLEMENTED</x:v>
      </x:c>
      <x:c r="D26" s="412" t="str">
        <x:v>Strongly regularised; research only.</x:v>
      </x:c>
    </x:row>
    <x:row r="27">
      <x:c r="A27" s="417" t="str">
        <x:v>Logistic-normal / GP drift</x:v>
      </x:c>
      <x:c r="B27" s="296" t="str">
        <x:v>Dynamic Bayesian models</x:v>
      </x:c>
      <x:c r="C27" s="445" t="str">
        <x:v>IMPLEMENTED</x:v>
      </x:c>
      <x:c r="D27" s="412" t="str">
        <x:v>Joint shrinkage and slow-drift testing.</x:v>
      </x:c>
    </x:row>
    <x:row r="28">
      <x:c r="A28" s="417" t="str">
        <x:v>Ising / hypergraph / survival</x:v>
      </x:c>
      <x:c r="B28" s="296" t="str">
        <x:v>Interaction and gap models</x:v>
      </x:c>
      <x:c r="C28" s="445" t="str">
        <x:v>IMPLEMENTED</x:v>
      </x:c>
      <x:c r="D28" s="412" t="str">
        <x:v>Validated only against synthetic nulls.</x:v>
      </x:c>
    </x:row>
    <x:row r="29">
      <x:c r="A29" s="417" t="str">
        <x:v>Conformal prediction sets</x:v>
      </x:c>
      <x:c r="B29" s="296" t="str">
        <x:v>Uncertainty quantification</x:v>
      </x:c>
      <x:c r="C29" s="445" t="str">
        <x:v>IMPLEMENTED</x:v>
      </x:c>
      <x:c r="D29" s="412" t="str">
        <x:v>Current sets are too large for practical concentration.</x:v>
      </x:c>
    </x:row>
    <x:row r="30">
      <x:c r="A30" s="417" t="str">
        <x:v>Super Learner / robust stacking</x:v>
      </x:c>
      <x:c r="B30" s="296" t="str">
        <x:v>Ensemble</x:v>
      </x:c>
      <x:c r="C30" s="445" t="str">
        <x:v>IMPLEMENTED</x:v>
      </x:c>
      <x:c r="D30" s="412" t="str">
        <x:v>Uniform receives dominant weight and remains deployed.</x:v>
      </x:c>
    </x:row>
    <x:row r="31">
      <x:c r="A31" s="417" t="str">
        <x:v>Compression / mutual information</x:v>
      </x:c>
      <x:c r="B31" s="296" t="str">
        <x:v>Randomness diagnostics</x:v>
      </x:c>
      <x:c r="C31" s="445" t="str">
        <x:v>IMPLEMENTED</x:v>
      </x:c>
      <x:c r="D31" s="412" t="str">
        <x:v>No anomaly detected in self-test.</x:v>
      </x:c>
    </x:row>
    <x:row r="32">
      <x:c r="A32" s="417" t="str">
        <x:v>Synthetic-null laboratory / MCS</x:v>
      </x:c>
      <x:c r="B32" s="296" t="str">
        <x:v>Multiple-model inference</x:v>
      </x:c>
      <x:c r="C32" s="445" t="str">
        <x:v>IMPLEMENTED</x:v>
      </x:c>
      <x:c r="D32" s="412" t="str">
        <x:v>Mandatory promotion gates.</x:v>
      </x:c>
    </x:row>
    <x:row r="33">
      <x:c r="A33" s="417" t="str">
        <x:v>Prospective registry</x:v>
      </x:c>
      <x:c r="B33" s="296" t="str">
        <x:v>Governance</x:v>
      </x:c>
      <x:c r="C33" s="445" t="str">
        <x:v>IMPLEMENTED</x:v>
      </x:c>
      <x:c r="D33" s="412" t="str">
        <x:v>Append-only SHA-256 frozen forecasts.</x:v>
      </x:c>
    </x:row>
    <x:row r="34">
      <x:c r="A34" s="417" t="str">
        <x:v>Prize-tier EV / anti-crowd</x:v>
      </x:c>
      <x:c r="B34" s="296" t="str">
        <x:v>Portfolio strategy</x:v>
      </x:c>
      <x:c r="C34" s="445" t="str">
        <x:v>IMPLEMENTED</x:v>
      </x:c>
      <x:c r="D34" s="412" t="str">
        <x:v>Payout strategy only; no draw-edge claim.</x:v>
      </x:c>
    </x:row>
    <x:row r="35">
      <x:c r="A35" s="418" t="str">
        <x:v>Exact CP/MILP wheel optimisation</x:v>
      </x:c>
      <x:c r="B35" s="419" t="str">
        <x:v>Combinatorial optimisation</x:v>
      </x:c>
      <x:c r="C35" s="463" t="str">
        <x:v>IMPLEMENTED</x:v>
      </x:c>
      <x:c r="D35" s="437" t="str">
        <x:v>Solver integration self-test reached an optimal solution.</x:v>
      </x:c>
    </x:row>
    <x:row r="38">
      <x:c r="A38" s="531" t="str">
        <x:v>Automated prospective pipeline</x:v>
      </x:c>
      <x:c r="B38" s="532" t="str">
        <x:v>Operations</x:v>
      </x:c>
      <x:c r="C38" s="591" t="str">
        <x:v>IMPLEMENTED</x:v>
      </x:c>
      <x:c r="D38" s="594" t="str">
        <x:v>Pre-draw freeze and post-draw score workflow.</x:v>
      </x:c>
    </x:row>
    <x:row r="39">
      <x:c r="A39" s="533" t="str">
        <x:v>Champion–challenger governance</x:v>
      </x:c>
      <x:c r="B39" s="296" t="str">
        <x:v>Model governance</x:v>
      </x:c>
      <x:c r="C39" s="592" t="str">
        <x:v>IMPLEMENTED</x:v>
      </x:c>
      <x:c r="D39" s="527" t="str">
        <x:v>Uniform champion cannot be silently replaced.</x:v>
      </x:c>
    </x:row>
    <x:row r="40">
      <x:c r="A40" s="533" t="str">
        <x:v>Formal power analysis</x:v>
      </x:c>
      <x:c r="B40" s="296" t="str">
        <x:v>Inference planning</x:v>
      </x:c>
      <x:c r="C40" s="592" t="str">
        <x:v>IMPLEMENTED</x:v>
      </x:c>
      <x:c r="D40" s="527" t="str">
        <x:v>Required future draw counts for small effects.</x:v>
      </x:c>
    </x:row>
    <x:row r="41">
      <x:c r="A41" s="533" t="str">
        <x:v>Negative controls</x:v>
      </x:c>
      <x:c r="B41" s="296" t="str">
        <x:v>Overfitting diagnostics</x:v>
      </x:c>
      <x:c r="C41" s="592" t="str">
        <x:v>IMPLEMENTED</x:v>
      </x:c>
      <x:c r="D41" s="527" t="str">
        <x:v>Random/noise variables challenge the pipeline.</x:v>
      </x:c>
    </x:row>
    <x:row r="42">
      <x:c r="A42" s="533" t="str">
        <x:v>Adversarial leakage suite</x:v>
      </x:c>
      <x:c r="B42" s="296" t="str">
        <x:v>Release safety</x:v>
      </x:c>
      <x:c r="C42" s="592" t="str">
        <x:v>IMPLEMENTED</x:v>
      </x:c>
      <x:c r="D42" s="527" t="str">
        <x:v>Detects target and timestamp leakage.</x:v>
      </x:c>
    </x:row>
    <x:row r="43">
      <x:c r="A43" s="533" t="str">
        <x:v>Independent verifier</x:v>
      </x:c>
      <x:c r="B43" s="296" t="str">
        <x:v>Quality assurance</x:v>
      </x:c>
      <x:c r="C43" s="592" t="str">
        <x:v>IMPLEMENTED</x:v>
      </x:c>
      <x:c r="D43" s="527" t="str">
        <x:v>Second code path for combinations, hashes and wheels.</x:v>
      </x:c>
    </x:row>
    <x:row r="44">
      <x:c r="A44" s="533" t="str">
        <x:v>Prize and participation database</x:v>
      </x:c>
      <x:c r="B44" s="296" t="str">
        <x:v>Expected-value data</x:v>
      </x:c>
      <x:c r="C44" s="592" t="str">
        <x:v>IMPLEMENTED</x:v>
      </x:c>
      <x:c r="D44" s="527" t="str">
        <x:v>Missing fields stay explicit; no invented inputs.</x:v>
      </x:c>
    </x:row>
    <x:row r="45">
      <x:c r="A45" s="533" t="str">
        <x:v>Cross-lottery null laboratory</x:v>
      </x:c>
      <x:c r="B45" s="296" t="str">
        <x:v>External controls</x:v>
      </x:c>
      <x:c r="C45" s="592" t="str">
        <x:v>IMPLEMENTED FRAMEWORK</x:v>
      </x:c>
      <x:c r="D45" s="527" t="str">
        <x:v>Rule-normalised controls; no number transfer.</x:v>
      </x:c>
    </x:row>
    <x:row r="46">
      <x:c r="A46" s="533" t="str">
        <x:v>Budget portfolio frontier</x:v>
      </x:c>
      <x:c r="B46" s="296" t="str">
        <x:v>Portfolio strategy</x:v>
      </x:c>
      <x:c r="C46" s="592" t="str">
        <x:v>IMPLEMENTED</x:v>
      </x:c>
      <x:c r="D46" s="527" t="str">
        <x:v>Cost, distinct coverage and conditional guarantees.</x:v>
      </x:c>
    </x:row>
    <x:row r="47">
      <x:c r="A47" s="534" t="str">
        <x:v>Local desktop application</x:v>
      </x:c>
      <x:c r="B47" s="535" t="str">
        <x:v>User interface</x:v>
      </x:c>
      <x:c r="C47" s="593" t="str">
        <x:v>IMPLEMENTED</x:v>
      </x:c>
      <x:c r="D47" s="552" t="str">
        <x:v>Tkinter dashboard over the SQLite database.</x:v>
      </x:c>
    </x:row>
    <x:row r="50">
      <x:c r="A50" s="648" t="str">
        <x:v>Verified jackpot-state importer</x:v>
      </x:c>
      <x:c r="B50" s="649" t="str">
        <x:v>Operational data</x:v>
      </x:c>
      <x:c r="C50" s="751" t="str">
        <x:v>IMPLEMENTED</x:v>
      </x:c>
      <x:c r="D50" s="754" t="str">
        <x:v>Accepts machine-readable Prize Watch state with strict validation.</x:v>
      </x:c>
    </x:row>
    <x:row r="51">
      <x:c r="A51" s="650" t="str">
        <x:v>Jackpot state machine</x:v>
      </x:c>
      <x:c r="B51" s="296" t="str">
        <x:v>Payout strategy</x:v>
      </x:c>
      <x:c r="C51" s="752" t="str">
        <x:v>IMPLEMENTED</x:v>
      </x:c>
      <x:c r="D51" s="643" t="str">
        <x:v>NORMAL, ROLLOVER, HIGH_JACKPOT, MAX_CAP, MAX_CAP_OVERFLOW and RESET.</x:v>
      </x:c>
    </x:row>
    <x:row r="52">
      <x:c r="A52" s="650" t="str">
        <x:v>Prize-class-2 overflow weighting</x:v>
      </x:c>
      <x:c r="B52" s="296" t="str">
        <x:v>Expected-payout strategy</x:v>
      </x:c>
      <x:c r="C52" s="752" t="str">
        <x:v>IMPLEMENTED</x:v>
      </x:c>
      <x:c r="D52" s="643" t="str">
        <x:v>Raises 5+1 portfolio weight only after cap/overflow evidence.</x:v>
      </x:c>
    </x:row>
    <x:row r="53">
      <x:c r="A53" s="650" t="str">
        <x:v>Prediction invariance guard</x:v>
      </x:c>
      <x:c r="B53" s="296" t="str">
        <x:v>Safety</x:v>
      </x:c>
      <x:c r="C53" s="752" t="str">
        <x:v>IMPLEMENTED</x:v>
      </x:c>
      <x:c r="D53" s="643" t="str">
        <x:v>Locks main probability at 10% and Euro probability at 16.6667%.</x:v>
      </x:c>
    </x:row>
    <x:row r="54">
      <x:c r="A54" s="650" t="str">
        <x:v>Two-source state verification</x:v>
      </x:c>
      <x:c r="B54" s="296" t="str">
        <x:v>Data integrity</x:v>
      </x:c>
      <x:c r="C54" s="752" t="str">
        <x:v>IMPLEMENTED</x:v>
      </x:c>
      <x:c r="D54" s="643" t="str">
        <x:v>VERIFIED records require two URLs and source_count ≥2.</x:v>
      </x:c>
    </x:row>
    <x:row r="55">
      <x:c r="A55" s="651" t="str">
        <x:v>Jackpot-state desktop dashboard</x:v>
      </x:c>
      <x:c r="B55" s="652" t="str">
        <x:v>User interface</x:v>
      </x:c>
      <x:c r="C55" s="753" t="str">
        <x:v>IMPLEMENTED</x:v>
      </x:c>
      <x:c r="D55" s="647" t="str">
        <x:v>Displays current state, strategy mode and immutable probabilities.</x:v>
      </x:c>
    </x:row>
  </x:sheetData>
  <x:mergeCells>
    <x:mergeCell ref="A1:H1"/>
  </x:mergeCells>
  <x:conditionalFormatting sqref="C4:C17">
    <x:cfRule type="expression" dxfId="11" priority="1">
      <x:formula>C4="DEPLOYED"</x:formula>
    </x:cfRule>
    <x:cfRule type="expression" dxfId="12" priority="2">
      <x:formula>OR(C4="REJECTED",C4="EXCLUDED")</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0" customHeight="1">
      <x:c r="A1" s="259" t="str">
        <x:v>README — Reliability Interpretation and Reproduction</x:v>
      </x:c>
      <x:c r="B1" s="259"/>
      <x:c r="C1" s="259"/>
      <x:c r="D1" s="259"/>
      <x:c r="E1" s="259"/>
      <x:c r="F1" s="259"/>
      <x:c r="G1" s="259"/>
      <x:c r="H1" s="259"/>
      <x:c r="I1" s="260"/>
      <x:c r="J1" s="260"/>
      <x:c r="K1" s="260"/>
      <x:c r="L1" s="260"/>
      <x:c r="M1" s="260"/>
      <x:c r="N1" s="260"/>
      <x:c r="O1" s="260"/>
      <x:c r="P1" s="260"/>
      <x:c r="Q1" s="260"/>
      <x:c r="R1" s="260"/>
      <x:c r="S1" s="260"/>
      <x:c r="T1" s="260"/>
      <x:c r="U1" s="260"/>
      <x:c r="V1" s="260"/>
      <x:c r="W1" s="260"/>
      <x:c r="X1" s="260"/>
      <x:c r="Y1" s="260"/>
      <x:c r="Z1" s="260"/>
    </x:row>
    <x:row r="3" ht="22" customHeight="1">
      <x:c r="A3" s="19" t="str">
        <x:v>What changed</x:v>
      </x:c>
      <x:c r="B3" s="19"/>
      <x:c r="C3" s="19"/>
      <x:c r="D3" s="19"/>
      <x:c r="E3" s="19"/>
      <x:c r="F3" s="19"/>
      <x:c r="G3" s="19"/>
      <x:c r="H3" s="19"/>
    </x:row>
    <x:row r="4">
      <x:c r="A4" s="231" t="str">
        <x:v>v3.1 corrects missing probability calibration, hard-coded future dates, unchecked equal ensemble weights, overstated source verification, ineffective within-draw testing of draw-level features, and non-uniform deployment while the status was Uniform mode.</x:v>
      </x:c>
      <x:c r="B4" s="232"/>
      <x:c r="C4" s="232"/>
      <x:c r="D4" s="232"/>
      <x:c r="E4" s="232"/>
      <x:c r="F4" s="232"/>
      <x:c r="G4" s="232"/>
      <x:c r="H4" s="233"/>
    </x:row>
    <x:row r="5">
      <x:c r="A5" s="234"/>
      <x:c r="B5" s="235"/>
      <x:c r="C5" s="235"/>
      <x:c r="D5" s="235"/>
      <x:c r="E5" s="235"/>
      <x:c r="F5" s="235"/>
      <x:c r="G5" s="235"/>
      <x:c r="H5" s="236"/>
    </x:row>
    <x:row r="6">
      <x:c r="A6" s="237"/>
      <x:c r="B6" s="238"/>
      <x:c r="C6" s="238"/>
      <x:c r="D6" s="238"/>
      <x:c r="E6" s="238"/>
      <x:c r="F6" s="238"/>
      <x:c r="G6" s="238"/>
      <x:c r="H6" s="239"/>
    </x:row>
    <x:row r="8" ht="22" customHeight="1">
      <x:c r="A8" s="19" t="str">
        <x:v>Reliability result</x:v>
      </x:c>
      <x:c r="B8" s="19"/>
      <x:c r="C8" s="19"/>
      <x:c r="D8" s="19"/>
      <x:c r="E8" s="19"/>
      <x:c r="F8" s="19"/>
      <x:c r="G8" s="19"/>
      <x:c r="H8" s="19"/>
    </x:row>
    <x:row r="9">
      <x:c r="A9" s="231" t="str">
        <x:v>No draw-probability edge passed all prespecified criteria. Both pools deploy uniform probabilities. The research ranking is retained only to continue prospective testing without rewriting the acceptance rules.</x:v>
      </x:c>
      <x:c r="B9" s="232"/>
      <x:c r="C9" s="232"/>
      <x:c r="D9" s="232"/>
      <x:c r="E9" s="232"/>
      <x:c r="F9" s="232"/>
      <x:c r="G9" s="232"/>
      <x:c r="H9" s="233"/>
    </x:row>
    <x:row r="10">
      <x:c r="A10" s="234"/>
      <x:c r="B10" s="235"/>
      <x:c r="C10" s="235"/>
      <x:c r="D10" s="235"/>
      <x:c r="E10" s="235"/>
      <x:c r="F10" s="235"/>
      <x:c r="G10" s="235"/>
      <x:c r="H10" s="236"/>
    </x:row>
    <x:row r="11">
      <x:c r="A11" s="237"/>
      <x:c r="B11" s="238"/>
      <x:c r="C11" s="238"/>
      <x:c r="D11" s="238"/>
      <x:c r="E11" s="238"/>
      <x:c r="F11" s="238"/>
      <x:c r="G11" s="238"/>
      <x:c r="H11" s="239"/>
    </x:row>
    <x:row r="13" ht="22" customHeight="1">
      <x:c r="A13" s="19" t="str">
        <x:v>Potential edge</x:v>
      </x:c>
      <x:c r="B13" s="19"/>
      <x:c r="C13" s="19"/>
      <x:c r="D13" s="19"/>
      <x:c r="E13" s="19"/>
      <x:c r="F13" s="19"/>
      <x:c r="G13" s="19"/>
      <x:c r="H13" s="19"/>
    </x:row>
    <x:row r="14">
      <x:c r="A14" s="231" t="str">
        <x:v>The only defensible practical optimization is portfolio diversification and anti-crowd selection, which may reduce shared-prize risk. It cannot increase the probability that a valid combination is drawn.</x:v>
      </x:c>
      <x:c r="B14" s="232"/>
      <x:c r="C14" s="232"/>
      <x:c r="D14" s="232"/>
      <x:c r="E14" s="232"/>
      <x:c r="F14" s="232"/>
      <x:c r="G14" s="232"/>
      <x:c r="H14" s="233"/>
    </x:row>
    <x:row r="15">
      <x:c r="A15" s="234"/>
      <x:c r="B15" s="235"/>
      <x:c r="C15" s="235"/>
      <x:c r="D15" s="235"/>
      <x:c r="E15" s="235"/>
      <x:c r="F15" s="235"/>
      <x:c r="G15" s="235"/>
      <x:c r="H15" s="236"/>
    </x:row>
    <x:row r="16">
      <x:c r="A16" s="237"/>
      <x:c r="B16" s="238"/>
      <x:c r="C16" s="238"/>
      <x:c r="D16" s="238"/>
      <x:c r="E16" s="238"/>
      <x:c r="F16" s="238"/>
      <x:c r="G16" s="238"/>
      <x:c r="H16" s="239"/>
    </x:row>
    <x:row r="18" ht="22" customHeight="1">
      <x:c r="A18" s="19" t="str">
        <x:v>Prospective rule</x:v>
      </x:c>
      <x:c r="B18" s="19"/>
      <x:c r="C18" s="19"/>
      <x:c r="D18" s="19"/>
      <x:c r="E18" s="19"/>
      <x:c r="F18" s="19"/>
      <x:c r="G18" s="19"/>
      <x:c r="H18" s="19"/>
    </x:row>
    <x:row r="19">
      <x:c r="A19" s="231" t="str">
        <x:v>Future draws must be appended and scored without changing the holdout rules. A signal may be promoted only after repeated positive periods, significant maxT tests and a block-bootstrap interval entirely above zero.</x:v>
      </x:c>
      <x:c r="B19" s="232"/>
      <x:c r="C19" s="232"/>
      <x:c r="D19" s="232"/>
      <x:c r="E19" s="232"/>
      <x:c r="F19" s="232"/>
      <x:c r="G19" s="232"/>
      <x:c r="H19" s="233"/>
    </x:row>
    <x:row r="20">
      <x:c r="A20" s="234"/>
      <x:c r="B20" s="235"/>
      <x:c r="C20" s="235"/>
      <x:c r="D20" s="235"/>
      <x:c r="E20" s="235"/>
      <x:c r="F20" s="235"/>
      <x:c r="G20" s="235"/>
      <x:c r="H20" s="236"/>
    </x:row>
    <x:row r="21">
      <x:c r="A21" s="237"/>
      <x:c r="B21" s="238"/>
      <x:c r="C21" s="238"/>
      <x:c r="D21" s="238"/>
      <x:c r="E21" s="238"/>
      <x:c r="F21" s="238"/>
      <x:c r="G21" s="238"/>
      <x:c r="H21" s="239"/>
    </x:row>
    <x:row r="23" ht="22" customHeight="1">
      <x:c r="A23" s="19" t="str">
        <x:v>Reproduction</x:v>
      </x:c>
      <x:c r="B23" s="19"/>
      <x:c r="C23" s="19"/>
      <x:c r="D23" s="19"/>
      <x:c r="E23" s="19"/>
      <x:c r="F23" s="19"/>
      <x:c r="G23" s="19"/>
      <x:c r="H23" s="19"/>
    </x:row>
    <x:row r="24">
      <x:c r="A24" s="231" t="str">
        <x:v>Run eurojackpot_reliability_engine_v3.py and eurojackpot_weekday_effect_audit.py with the packages in the included requirements file. The fixed seed is 20260726.</x:v>
      </x:c>
      <x:c r="B24" s="232"/>
      <x:c r="C24" s="232"/>
      <x:c r="D24" s="232"/>
      <x:c r="E24" s="232"/>
      <x:c r="F24" s="232"/>
      <x:c r="G24" s="232"/>
      <x:c r="H24" s="233"/>
    </x:row>
    <x:row r="25">
      <x:c r="A25" s="234"/>
      <x:c r="B25" s="235"/>
      <x:c r="C25" s="235"/>
      <x:c r="D25" s="235"/>
      <x:c r="E25" s="235"/>
      <x:c r="F25" s="235"/>
      <x:c r="G25" s="235"/>
      <x:c r="H25" s="236"/>
    </x:row>
    <x:row r="26">
      <x:c r="A26" s="237"/>
      <x:c r="B26" s="238"/>
      <x:c r="C26" s="238"/>
      <x:c r="D26" s="238"/>
      <x:c r="E26" s="238"/>
      <x:c r="F26" s="238"/>
      <x:c r="G26" s="238"/>
      <x:c r="H26" s="239"/>
    </x:row>
    <x:row r="28" ht="22" customHeight="1">
      <x:c r="A28" s="19" t="str">
        <x:v>Responsible use</x:v>
      </x:c>
      <x:c r="B28" s="19"/>
      <x:c r="C28" s="19"/>
      <x:c r="D28" s="19"/>
      <x:c r="E28" s="19"/>
      <x:c r="F28" s="19"/>
      <x:c r="G28" s="19"/>
      <x:c r="H28" s="19"/>
    </x:row>
    <x:row r="29">
      <x:c r="A29" s="231" t="str">
        <x:v>EuroJackpot is a random gambling product. Use only a fixed entertainment budget; do not use the model as an income, investment or loss-recovery system.</x:v>
      </x:c>
      <x:c r="B29" s="232"/>
      <x:c r="C29" s="232"/>
      <x:c r="D29" s="232"/>
      <x:c r="E29" s="232"/>
      <x:c r="F29" s="232"/>
      <x:c r="G29" s="232"/>
      <x:c r="H29" s="233"/>
    </x:row>
    <x:row r="30">
      <x:c r="A30" s="234"/>
      <x:c r="B30" s="235"/>
      <x:c r="C30" s="235"/>
      <x:c r="D30" s="235"/>
      <x:c r="E30" s="235"/>
      <x:c r="F30" s="235"/>
      <x:c r="G30" s="235"/>
      <x:c r="H30" s="236"/>
    </x:row>
    <x:row r="31">
      <x:c r="A31" s="355" t="str">
        <x:v>Guaranteed Coverage Layer</x:v>
      </x:c>
      <x:c r="B31" s="356"/>
      <x:c r="C31" s="356"/>
      <x:c r="D31" s="356"/>
      <x:c r="E31" s="356"/>
      <x:c r="F31" s="356"/>
      <x:c r="G31" s="356"/>
      <x:c r="H31" s="357"/>
    </x:row>
    <x:row r="32">
      <x:c r="A32" s="373" t="str">
        <x:v>v3.2 adds verified pair/triple designs, complete Euro-pair crossing, four wheel tiers, exact activation probabilities, cost calculations and a coverage certificate. Deployed draw probabilities remain uniform.</x:v>
      </x:c>
      <x:c r="B32" s="374"/>
      <x:c r="C32" s="374"/>
      <x:c r="D32" s="374"/>
      <x:c r="E32" s="374"/>
      <x:c r="F32" s="374"/>
      <x:c r="G32" s="374"/>
      <x:c r="H32" s="375"/>
    </x:row>
    <x:row r="33">
      <x:c r="A33" s="376"/>
      <x:c r="B33" s="377"/>
      <x:c r="C33" s="377"/>
      <x:c r="D33" s="377"/>
      <x:c r="E33" s="377"/>
      <x:c r="F33" s="377"/>
      <x:c r="G33" s="377"/>
      <x:c r="H33" s="378"/>
    </x:row>
    <x:row r="34">
      <x:c r="A34" s="376"/>
      <x:c r="B34" s="377"/>
      <x:c r="C34" s="377"/>
      <x:c r="D34" s="377"/>
      <x:c r="E34" s="377"/>
      <x:c r="F34" s="377"/>
      <x:c r="G34" s="377"/>
      <x:c r="H34" s="378"/>
    </x:row>
    <x:row r="35">
      <x:c r="A35" s="376"/>
      <x:c r="B35" s="377"/>
      <x:c r="C35" s="377"/>
      <x:c r="D35" s="377"/>
      <x:c r="E35" s="377"/>
      <x:c r="F35" s="377"/>
      <x:c r="G35" s="377"/>
      <x:c r="H35" s="378"/>
    </x:row>
    <x:row r="36">
      <x:c r="A36" s="379"/>
      <x:c r="B36" s="380"/>
      <x:c r="C36" s="380"/>
      <x:c r="D36" s="380"/>
      <x:c r="E36" s="380"/>
      <x:c r="F36" s="380"/>
      <x:c r="G36" s="380"/>
      <x:c r="H36" s="381"/>
    </x:row>
    <x:row r="38" ht="22" customHeight="1">
      <x:c r="A38" s="399" t="str">
        <x:v>Advanced Research Layer v3.3</x:v>
      </x:c>
      <x:c r="B38" s="399"/>
      <x:c r="C38" s="399"/>
      <x:c r="D38" s="399"/>
      <x:c r="E38" s="399"/>
      <x:c r="F38" s="399"/>
      <x:c r="G38" s="399"/>
      <x:c r="H38" s="399"/>
    </x:row>
    <x:row r="39">
      <x:c r="A39" s="490" t="str">
        <x:v>v3.3 adds working implementations for sequential e-values, Bayesian and CUSUM change-point detection, Bernoulli HMMs, logistic-normal dynamic filtering, Dirichlet-process mixtures, Ising and hypergraph models, survival hazards, Gaussian-process drift, conformal sets, Super Learner and robust stacking, compression and mutual-information diagnostics, a synthetic-null laboratory, Model Confidence Sets, an immutable prospective registry, prize-tier EV tools and exact CP/MILP covering-design optimisation. The uniform deployment rule is unchanged.</x:v>
      </x:c>
      <x:c r="B39" s="491"/>
      <x:c r="C39" s="491"/>
      <x:c r="D39" s="491"/>
      <x:c r="E39" s="491"/>
      <x:c r="F39" s="491"/>
      <x:c r="G39" s="491"/>
      <x:c r="H39" s="492"/>
    </x:row>
    <x:row r="40">
      <x:c r="A40" s="493"/>
      <x:c r="B40" s="494"/>
      <x:c r="C40" s="494"/>
      <x:c r="D40" s="494"/>
      <x:c r="E40" s="494"/>
      <x:c r="F40" s="494"/>
      <x:c r="G40" s="494"/>
      <x:c r="H40" s="495"/>
    </x:row>
    <x:row r="41">
      <x:c r="A41" s="493"/>
      <x:c r="B41" s="494"/>
      <x:c r="C41" s="494"/>
      <x:c r="D41" s="494"/>
      <x:c r="E41" s="494"/>
      <x:c r="F41" s="494"/>
      <x:c r="G41" s="494"/>
      <x:c r="H41" s="495"/>
    </x:row>
    <x:row r="42">
      <x:c r="A42" s="493"/>
      <x:c r="B42" s="494"/>
      <x:c r="C42" s="494"/>
      <x:c r="D42" s="494"/>
      <x:c r="E42" s="494"/>
      <x:c r="F42" s="494"/>
      <x:c r="G42" s="494"/>
      <x:c r="H42" s="495"/>
    </x:row>
    <x:row r="43">
      <x:c r="A43" s="493"/>
      <x:c r="B43" s="494"/>
      <x:c r="C43" s="494"/>
      <x:c r="D43" s="494"/>
      <x:c r="E43" s="494"/>
      <x:c r="F43" s="494"/>
      <x:c r="G43" s="494"/>
      <x:c r="H43" s="495"/>
    </x:row>
    <x:row r="44">
      <x:c r="A44" s="493"/>
      <x:c r="B44" s="494"/>
      <x:c r="C44" s="494"/>
      <x:c r="D44" s="494"/>
      <x:c r="E44" s="494"/>
      <x:c r="F44" s="494"/>
      <x:c r="G44" s="494"/>
      <x:c r="H44" s="495"/>
    </x:row>
    <x:row r="45">
      <x:c r="A45" s="496"/>
      <x:c r="B45" s="497"/>
      <x:c r="C45" s="497"/>
      <x:c r="D45" s="497"/>
      <x:c r="E45" s="497"/>
      <x:c r="F45" s="497"/>
      <x:c r="G45" s="497"/>
      <x:c r="H45" s="498"/>
    </x:row>
    <x:row r="47" ht="22" customHeight="1">
      <x:c r="A47" s="512" t="str">
        <x:v>Operational Master v3.4</x:v>
      </x:c>
      <x:c r="B47" s="512"/>
      <x:c r="C47" s="512"/>
      <x:c r="D47" s="512"/>
      <x:c r="E47" s="512"/>
      <x:c r="F47" s="512"/>
      <x:c r="G47" s="512"/>
      <x:c r="H47" s="512"/>
    </x:row>
    <x:row r="48">
      <x:c r="A48" s="606" t="str">
        <x:v>v3.4 adds the prospective operational database, champion–challenger governance, formal power analysis, negative controls, adversarial leakage tests, a separate verifier, prize/participation tables, cross-lottery control infrastructure, a budget/coverage frontier, schedule templates and a local Tkinter desktop application. It contains and preserves all v3.3 analytical, v3.2 coverage and earlier audited work.</x:v>
      </x:c>
      <x:c r="B48" s="607"/>
      <x:c r="C48" s="607"/>
      <x:c r="D48" s="607"/>
      <x:c r="E48" s="607"/>
      <x:c r="F48" s="607"/>
      <x:c r="G48" s="607"/>
      <x:c r="H48" s="608"/>
    </x:row>
    <x:row r="49">
      <x:c r="A49" s="609"/>
      <x:c r="B49" s="610"/>
      <x:c r="C49" s="610"/>
      <x:c r="D49" s="610"/>
      <x:c r="E49" s="610"/>
      <x:c r="F49" s="610"/>
      <x:c r="G49" s="610"/>
      <x:c r="H49" s="611"/>
    </x:row>
    <x:row r="50">
      <x:c r="A50" s="609"/>
      <x:c r="B50" s="610"/>
      <x:c r="C50" s="610"/>
      <x:c r="D50" s="610"/>
      <x:c r="E50" s="610"/>
      <x:c r="F50" s="610"/>
      <x:c r="G50" s="610"/>
      <x:c r="H50" s="611"/>
    </x:row>
    <x:row r="51">
      <x:c r="A51" s="609"/>
      <x:c r="B51" s="610"/>
      <x:c r="C51" s="610"/>
      <x:c r="D51" s="610"/>
      <x:c r="E51" s="610"/>
      <x:c r="F51" s="610"/>
      <x:c r="G51" s="610"/>
      <x:c r="H51" s="611"/>
    </x:row>
    <x:row r="52">
      <x:c r="A52" s="609"/>
      <x:c r="B52" s="610"/>
      <x:c r="C52" s="610"/>
      <x:c r="D52" s="610"/>
      <x:c r="E52" s="610"/>
      <x:c r="F52" s="610"/>
      <x:c r="G52" s="610"/>
      <x:c r="H52" s="611"/>
    </x:row>
    <x:row r="53">
      <x:c r="A53" s="609"/>
      <x:c r="B53" s="610"/>
      <x:c r="C53" s="610"/>
      <x:c r="D53" s="610"/>
      <x:c r="E53" s="610"/>
      <x:c r="F53" s="610"/>
      <x:c r="G53" s="610"/>
      <x:c r="H53" s="611"/>
    </x:row>
    <x:row r="54">
      <x:c r="A54" s="609"/>
      <x:c r="B54" s="610"/>
      <x:c r="C54" s="610"/>
      <x:c r="D54" s="610"/>
      <x:c r="E54" s="610"/>
      <x:c r="F54" s="610"/>
      <x:c r="G54" s="610"/>
      <x:c r="H54" s="611"/>
    </x:row>
    <x:row r="55">
      <x:c r="A55" s="609"/>
      <x:c r="B55" s="610"/>
      <x:c r="C55" s="610"/>
      <x:c r="D55" s="610"/>
      <x:c r="E55" s="610"/>
      <x:c r="F55" s="610"/>
      <x:c r="G55" s="610"/>
      <x:c r="H55" s="611"/>
    </x:row>
    <x:row r="56">
      <x:c r="A56" s="612"/>
      <x:c r="B56" s="613"/>
      <x:c r="C56" s="613"/>
      <x:c r="D56" s="613"/>
      <x:c r="E56" s="613"/>
      <x:c r="F56" s="613"/>
      <x:c r="G56" s="613"/>
      <x:c r="H56" s="614"/>
    </x:row>
    <x:row r="58" ht="22" customHeight="1">
      <x:c r="A58" s="627" t="str">
        <x:v>Jackpot-State Integration v3.5</x:v>
      </x:c>
      <x:c r="B58" s="627"/>
      <x:c r="C58" s="627"/>
      <x:c r="D58" s="627"/>
      <x:c r="E58" s="627"/>
      <x:c r="F58" s="627"/>
      <x:c r="G58" s="627"/>
      <x:c r="H58" s="627"/>
    </x:row>
    <x:row r="59">
      <x:c r="A59" s="765" t="str">
        <x:v>v3.5 connects the scheduled EuroJackpot Prize Watch to the operational engine through an ENGINE_STATE_JSON contract, strict two-source validation, SQLite state/history tables and a deterministic portfolio state machine. Jackpot and overflow information may change payout, anti-crowd and coverage weights but is excluded from number-prediction features. The main probability remains 10% per number and the Euro probability remains 16.6667% per available number.</x:v>
      </x:c>
      <x:c r="B59" s="766"/>
      <x:c r="C59" s="766"/>
      <x:c r="D59" s="766"/>
      <x:c r="E59" s="766"/>
      <x:c r="F59" s="766"/>
      <x:c r="G59" s="766"/>
      <x:c r="H59" s="767"/>
    </x:row>
    <x:row r="60">
      <x:c r="A60" s="768"/>
      <x:c r="B60" s="769"/>
      <x:c r="C60" s="769"/>
      <x:c r="D60" s="769"/>
      <x:c r="E60" s="769"/>
      <x:c r="F60" s="769"/>
      <x:c r="G60" s="769"/>
      <x:c r="H60" s="770"/>
    </x:row>
    <x:row r="61">
      <x:c r="A61" s="768"/>
      <x:c r="B61" s="769"/>
      <x:c r="C61" s="769"/>
      <x:c r="D61" s="769"/>
      <x:c r="E61" s="769"/>
      <x:c r="F61" s="769"/>
      <x:c r="G61" s="769"/>
      <x:c r="H61" s="770"/>
    </x:row>
    <x:row r="62">
      <x:c r="A62" s="768"/>
      <x:c r="B62" s="769"/>
      <x:c r="C62" s="769"/>
      <x:c r="D62" s="769"/>
      <x:c r="E62" s="769"/>
      <x:c r="F62" s="769"/>
      <x:c r="G62" s="769"/>
      <x:c r="H62" s="770"/>
    </x:row>
    <x:row r="63">
      <x:c r="A63" s="768"/>
      <x:c r="B63" s="769"/>
      <x:c r="C63" s="769"/>
      <x:c r="D63" s="769"/>
      <x:c r="E63" s="769"/>
      <x:c r="F63" s="769"/>
      <x:c r="G63" s="769"/>
      <x:c r="H63" s="770"/>
    </x:row>
    <x:row r="64">
      <x:c r="A64" s="768"/>
      <x:c r="B64" s="769"/>
      <x:c r="C64" s="769"/>
      <x:c r="D64" s="769"/>
      <x:c r="E64" s="769"/>
      <x:c r="F64" s="769"/>
      <x:c r="G64" s="769"/>
      <x:c r="H64" s="770"/>
    </x:row>
    <x:row r="65">
      <x:c r="A65" s="768"/>
      <x:c r="B65" s="769"/>
      <x:c r="C65" s="769"/>
      <x:c r="D65" s="769"/>
      <x:c r="E65" s="769"/>
      <x:c r="F65" s="769"/>
      <x:c r="G65" s="769"/>
      <x:c r="H65" s="770"/>
    </x:row>
    <x:row r="66">
      <x:c r="A66" s="768"/>
      <x:c r="B66" s="769"/>
      <x:c r="C66" s="769"/>
      <x:c r="D66" s="769"/>
      <x:c r="E66" s="769"/>
      <x:c r="F66" s="769"/>
      <x:c r="G66" s="769"/>
      <x:c r="H66" s="770"/>
    </x:row>
    <x:row r="67">
      <x:c r="A67" s="771"/>
      <x:c r="B67" s="772"/>
      <x:c r="C67" s="772"/>
      <x:c r="D67" s="772"/>
      <x:c r="E67" s="772"/>
      <x:c r="F67" s="772"/>
      <x:c r="G67" s="772"/>
      <x:c r="H67" s="773"/>
    </x:row>
  </x:sheetData>
  <x:mergeCells>
    <x:mergeCell ref="A1:H1"/>
    <x:mergeCell ref="A3:H3"/>
    <x:mergeCell ref="A4:H6"/>
    <x:mergeCell ref="A8:H8"/>
    <x:mergeCell ref="A9:H11"/>
    <x:mergeCell ref="A13:H13"/>
    <x:mergeCell ref="A14:H16"/>
    <x:mergeCell ref="A18:H18"/>
    <x:mergeCell ref="A19:H21"/>
    <x:mergeCell ref="A23:H23"/>
    <x:mergeCell ref="A24:H26"/>
    <x:mergeCell ref="A28:H28"/>
    <x:mergeCell ref="A29:H31"/>
    <x:mergeCell ref="A31:H31"/>
    <x:mergeCell ref="A32:H36"/>
    <x:mergeCell ref="A38:H38"/>
    <x:mergeCell ref="A39:H45"/>
    <x:mergeCell ref="A47:H47"/>
    <x:mergeCell ref="A48:H56"/>
    <x:mergeCell ref="A58:H58"/>
    <x:mergeCell ref="A59:H67"/>
  </x:mergeCells>
  <x:pageMargins left="0.7" right="0.7" top="0.75" bottom="0.75" header="0.3" footer="0.3"/>
</x:worksheet>
</file>

<file path=xl/worksheets/sheet15.xml><?xml version="1.0" encoding="utf-8"?>
<x:worksheet xmlns:x="http://schemas.openxmlformats.org/spreadsheetml/2006/main">
  <x:sheetFormatPr defaultRowHeight="15"/>
  <x:cols>
    <x:col min="1" max="1" width="34" hidden="0" customWidth="1"/>
    <x:col min="2" max="2" width="48" hidden="0" customWidth="1"/>
    <x:col min="3" max="3" width="17" hidden="0" customWidth="1"/>
    <x:col min="4" max="4" width="20" hidden="0" customWidth="1"/>
    <x:col min="5" max="5" width="18" hidden="0" customWidth="1"/>
    <x:col min="6" max="6" width="20" hidden="0" customWidth="1"/>
    <x:col min="7" max="7" width="68" hidden="0" customWidth="1"/>
    <x:col min="8" max="8" width="28" hidden="0" customWidth="1"/>
  </x:cols>
  <x:sheetData>
    <x:row r="1">
      <x:c r="A1" s="382" t="str">
        <x:v>Guaranteed Coverage Layer — Exact Mathematics</x:v>
      </x:c>
      <x:c r="B1" s="382"/>
      <x:c r="C1" s="382"/>
      <x:c r="D1" s="382"/>
      <x:c r="E1" s="382"/>
      <x:c r="F1" s="382"/>
      <x:c r="G1" s="382"/>
      <x:c r="H1" s="382"/>
      <x:c r="I1" s="382"/>
      <x:c r="J1" s="382"/>
      <x:c r="K1" s="382"/>
      <x:c r="L1" s="382"/>
      <x:c r="M1" s="382"/>
      <x:c r="N1" s="382"/>
      <x:c r="O1" s="260"/>
      <x:c r="P1" s="260"/>
      <x:c r="Q1" s="260"/>
      <x:c r="R1" s="260"/>
      <x:c r="S1" s="260"/>
      <x:c r="T1" s="260"/>
      <x:c r="U1" s="260"/>
      <x:c r="V1" s="260"/>
      <x:c r="W1" s="260"/>
      <x:c r="X1" s="260"/>
      <x:c r="Y1" s="260"/>
      <x:c r="Z1" s="260"/>
    </x:row>
    <x:row r="2">
      <x:c r="A2" s="326" t="str">
        <x:v>No individual line is upgraded above uniform probability. Guarantees concern distinct-line coverage and conditional wheel matches only.</x:v>
      </x:c>
      <x:c r="B2" s="326"/>
      <x:c r="C2" s="326"/>
      <x:c r="D2" s="326"/>
      <x:c r="E2" s="326"/>
      <x:c r="F2" s="326"/>
      <x:c r="G2" s="326"/>
      <x:c r="H2" s="326"/>
      <x:c r="I2" s="326"/>
      <x:c r="J2" s="326"/>
      <x:c r="K2" s="326"/>
      <x:c r="L2" s="326"/>
      <x:c r="M2" s="326"/>
      <x:c r="N2" s="326"/>
    </x:row>
    <x:row r="3">
      <x:c r="A3" s="326"/>
      <x:c r="B3" s="326"/>
      <x:c r="C3" s="326"/>
      <x:c r="D3" s="326"/>
      <x:c r="E3" s="326"/>
      <x:c r="F3" s="326"/>
      <x:c r="G3" s="326"/>
      <x:c r="H3" s="326"/>
      <x:c r="I3" s="326"/>
      <x:c r="J3" s="326"/>
      <x:c r="K3" s="326"/>
      <x:c r="L3" s="326"/>
      <x:c r="M3" s="326"/>
      <x:c r="N3" s="326"/>
    </x:row>
    <x:row r="5">
      <x:c r="A5" s="281" t="str">
        <x:v>Inputs and Selected Pools</x:v>
      </x:c>
      <x:c r="B5" s="281"/>
      <x:c r="C5" s="281"/>
      <x:c r="D5" s="281"/>
      <x:c r="E5" s="281"/>
      <x:c r="F5" s="281"/>
      <x:c r="G5" s="281"/>
      <x:c r="H5" s="281"/>
      <x:c r="I5" s="281"/>
      <x:c r="J5" s="281"/>
      <x:c r="K5" s="281"/>
      <x:c r="L5" s="281"/>
      <x:c r="M5" s="281"/>
      <x:c r="N5" s="281"/>
    </x:row>
    <x:row r="6">
      <x:c r="A6" s="285" t="str">
        <x:v>Cost per line in Greece</x:v>
      </x:c>
      <x:c r="B6" s="327" t="n">
        <x:v>2.5</x:v>
      </x:c>
    </x:row>
    <x:row r="7">
      <x:c r="A7" s="287" t="str">
        <x:v>Current format</x:v>
      </x:c>
      <x:c r="B7" s="288" t="str">
        <x:v>5 from 50 + 2 from 12</x:v>
      </x:c>
    </x:row>
    <x:row r="8">
      <x:c r="A8" s="287" t="str">
        <x:v>Selected main pool</x:v>
      </x:c>
      <x:c r="B8" s="318" t="str">
        <x:v>4 – 21 – 25 – 27 – 28 – 35 – 36 – 37 – 42 – 44 – 48 – 50</x:v>
      </x:c>
    </x:row>
    <x:row r="9">
      <x:c r="A9" s="287" t="str">
        <x:v>Compact Euro pool</x:v>
      </x:c>
      <x:c r="B9" s="318" t="str">
        <x:v>3 – 5 – 7 – 9</x:v>
      </x:c>
    </x:row>
    <x:row r="10">
      <x:c r="A10" s="287" t="str">
        <x:v>Extended Euro pool</x:v>
      </x:c>
      <x:c r="B10" s="318" t="str">
        <x:v>3 – 4 – 5 – 7 – 8 – 9</x:v>
      </x:c>
    </x:row>
    <x:row r="11">
      <x:c r="A11" s="287" t="str">
        <x:v>Original primary retained</x:v>
      </x:c>
      <x:c r="B11" s="318" t="str">
        <x:v>4 – 21 – 35 – 37 – 42 + 5 – 7</x:v>
      </x:c>
    </x:row>
    <x:row r="12">
      <x:c r="A12" s="287" t="str">
        <x:v>Individual jackpot probability</x:v>
      </x:c>
      <x:c r="B12" s="329" t="n">
        <x:v>7.1511238420185165e-9</x:v>
      </x:c>
    </x:row>
    <x:row r="13">
      <x:c r="A13" s="289" t="str">
        <x:v>Price source</x:v>
      </x:c>
      <x:c r="B13" s="319" t="str">
        <x:v>https://www.opap.gr/en/how-to-play-eurojackpot</x:v>
      </x:c>
    </x:row>
    <x:row r="15">
      <x:c r="A15" s="281" t="str">
        <x:v>Coverage Tiers</x:v>
      </x:c>
      <x:c r="B15" s="281"/>
      <x:c r="C15" s="281"/>
      <x:c r="D15" s="281"/>
      <x:c r="E15" s="281"/>
      <x:c r="F15" s="281"/>
      <x:c r="G15" s="281"/>
      <x:c r="H15" s="281"/>
      <x:c r="I15" s="281"/>
      <x:c r="J15" s="281"/>
      <x:c r="K15" s="281"/>
      <x:c r="L15" s="281"/>
      <x:c r="M15" s="281"/>
      <x:c r="N15" s="281"/>
    </x:row>
    <x:row r="16">
      <x:c r="A16" s="311" t="str">
        <x:v>Tier</x:v>
      </x:c>
      <x:c r="B16" s="312" t="str">
        <x:v>Lines</x:v>
      </x:c>
      <x:c r="C16" s="312" t="str">
        <x:v>Total Cost</x:v>
      </x:c>
      <x:c r="D16" s="312" t="str">
        <x:v>Coverage vs One Line</x:v>
      </x:c>
      <x:c r="E16" s="312" t="str">
        <x:v>Jackpot Coverage</x:v>
      </x:c>
      <x:c r="F16" s="312" t="str">
        <x:v>Conditional Activation</x:v>
      </x:c>
      <x:c r="G16" s="312" t="str">
        <x:v>Exact Guarantee</x:v>
      </x:c>
      <x:c r="H16" s="313" t="str">
        <x:v>Generated Sheet</x:v>
      </x:c>
    </x:row>
    <x:row r="17">
      <x:c r="A17" s="295" t="str">
        <x:v>Original frozen set</x:v>
      </x:c>
      <x:c r="B17" s="296" t="n">
        <x:v>5</x:v>
      </x:c>
      <x:c r="C17" s="314" t="n">
        <x:f>B17*$B$6</x:f>
        <x:v>12.5</x:v>
      </x:c>
      <x:c r="D17" s="296" t="n">
        <x:v>5</x:v>
      </x:c>
      <x:c r="E17" s="316" t="n">
        <x:v>3.575561921009258e-8</x:v>
      </x:c>
      <x:c r="F17" s="316"/>
      <x:c r="G17" s="330" t="str">
        <x:v>Five distinct combinations; 5× one-line coverage.</x:v>
      </x:c>
      <x:c r="H17" s="318" t="str">
        <x:v>Frozen Original Set</x:v>
      </x:c>
    </x:row>
    <x:row r="18">
      <x:c r="A18" s="295" t="str">
        <x:v>Compact pair wheel</x:v>
      </x:c>
      <x:c r="B18" s="296" t="n">
        <x:v>54</x:v>
      </x:c>
      <x:c r="C18" s="314" t="n">
        <x:f>B18*$B$6</x:f>
        <x:v>135</x:v>
      </x:c>
      <x:c r="D18" s="296" t="n">
        <x:v>54</x:v>
      </x:c>
      <x:c r="E18" s="316" t="n">
        <x:v>3.861606874689999e-7</x:v>
      </x:c>
      <x:c r="F18" s="316" t="n">
        <x:v>0.031366459627329195</x:v>
      </x:c>
      <x:c r="G18" s="330" t="str">
        <x:v>≥2+2 under the explicit 12-main/4-Euro condition.</x:v>
      </x:c>
      <x:c r="H18" s="318" t="str">
        <x:v>Wheel 54 Pair Compact</x:v>
      </x:c>
    </x:row>
    <x:row r="19">
      <x:c r="A19" s="295" t="str">
        <x:v>Extended pair wheel</x:v>
      </x:c>
      <x:c r="B19" s="296" t="n">
        <x:v>135</x:v>
      </x:c>
      <x:c r="C19" s="314" t="n">
        <x:f>B19*$B$6</x:f>
        <x:v>337.5</x:v>
      </x:c>
      <x:c r="D19" s="296" t="n">
        <x:v>135</x:v>
      </x:c>
      <x:c r="E19" s="316" t="n">
        <x:v>9.654017186724997e-7</x:v>
      </x:c>
      <x:c r="F19" s="316" t="n">
        <x:v>0.07841614906832298</x:v>
      </x:c>
      <x:c r="G19" s="330" t="str">
        <x:v>≥2+2 under the explicit 12-main/6-Euro condition.</x:v>
      </x:c>
      <x:c r="H19" s="318" t="str">
        <x:v>Wheel 135 Pair Extended</x:v>
      </x:c>
    </x:row>
    <x:row r="20">
      <x:c r="A20" s="295" t="str">
        <x:v>Compact triple wheel</x:v>
      </x:c>
      <x:c r="B20" s="296" t="n">
        <x:v>198</x:v>
      </x:c>
      <x:c r="C20" s="314" t="n">
        <x:f>B20*$B$6</x:f>
        <x:v>495</x:v>
      </x:c>
      <x:c r="D20" s="296" t="n">
        <x:v>198</x:v>
      </x:c>
      <x:c r="E20" s="316" t="n">
        <x:v>0.0000014159225207196663</x:v>
      </x:c>
      <x:c r="F20" s="316" t="n">
        <x:v>0.007477014857746983</x:v>
      </x:c>
      <x:c r="G20" s="330" t="str">
        <x:v>≥3+2 under the explicit 12-main/4-Euro condition.</x:v>
      </x:c>
      <x:c r="H20" s="318" t="str">
        <x:v>Wheel 198 Triple Compact</x:v>
      </x:c>
    </x:row>
    <x:row r="21">
      <x:c r="A21" s="295" t="str">
        <x:v>Extended triple wheel</x:v>
      </x:c>
      <x:c r="B21" s="296" t="n">
        <x:v>495</x:v>
      </x:c>
      <x:c r="C21" s="314" t="n">
        <x:f>B21*$B$6</x:f>
        <x:v>1237.5</x:v>
      </x:c>
      <x:c r="D21" s="296" t="n">
        <x:v>495</x:v>
      </x:c>
      <x:c r="E21" s="316" t="n">
        <x:v>0.0000035398063017991657</x:v>
      </x:c>
      <x:c r="F21" s="316" t="n">
        <x:v>0.018692537144367458</x:v>
      </x:c>
      <x:c r="G21" s="330" t="str">
        <x:v>≥3+2 under the explicit 12-main/6-Euro condition.</x:v>
      </x:c>
      <x:c r="H21" s="318" t="str">
        <x:v>Wheel 495 Triple Extended</x:v>
      </x:c>
    </x:row>
    <x:row r="22">
      <x:c r="A22" s="297" t="str">
        <x:v>Full selected-pool wheel</x:v>
      </x:c>
      <x:c r="B22" s="298" t="n">
        <x:v>11880</x:v>
      </x:c>
      <x:c r="C22" s="315" t="n">
        <x:f>B22*$B$6</x:f>
        <x:v>29700</x:v>
      </x:c>
      <x:c r="D22" s="298" t="n">
        <x:v>11880</x:v>
      </x:c>
      <x:c r="E22" s="317" t="n">
        <x:v>0.00008495535124317997</x:v>
      </x:c>
      <x:c r="F22" s="317" t="n">
        <x:v>0.00008495535124317998</x:v>
      </x:c>
      <x:c r="G22" s="331" t="str">
        <x:v>Exact 5+2 if all winners are inside the selected pools.</x:v>
      </x:c>
      <x:c r="H22" s="319" t="str">
        <x:v>Not generated</x:v>
      </x:c>
    </x:row>
    <x:row r="24">
      <x:c r="A24" s="281" t="str">
        <x:v>Conditional Probability Mathematics</x:v>
      </x:c>
      <x:c r="B24" s="281"/>
      <x:c r="C24" s="281"/>
      <x:c r="D24" s="281"/>
      <x:c r="E24" s="281"/>
      <x:c r="F24" s="281"/>
      <x:c r="G24" s="281"/>
      <x:c r="H24" s="281"/>
      <x:c r="I24" s="281"/>
      <x:c r="J24" s="281"/>
      <x:c r="K24" s="281"/>
      <x:c r="L24" s="281"/>
      <x:c r="M24" s="281"/>
      <x:c r="N24" s="281"/>
    </x:row>
    <x:row r="25">
      <x:c r="A25" s="311" t="str">
        <x:v>Quantity</x:v>
      </x:c>
      <x:c r="B25" s="313" t="str">
        <x:v>Exact probability</x:v>
      </x:c>
      <x:c r="D25" s="335" t="str">
        <x:v>Every pair in the selected 12 appears in at least one of 9 five-number blocks. Every triple appears in at least one of 33 blocks. Every Euro pair in the selected pool is generated. Crossing the components creates the stated conditional guarantee. The condition may fail if winners fall outside the chosen pools.</x:v>
      </x:c>
      <x:c r="E25" s="335"/>
      <x:c r="F25" s="335"/>
      <x:c r="G25" s="335"/>
      <x:c r="H25" s="335"/>
      <x:c r="I25" s="335"/>
      <x:c r="J25" s="335"/>
      <x:c r="K25" s="335"/>
      <x:c r="L25" s="335"/>
      <x:c r="M25" s="335"/>
      <x:c r="N25" s="335"/>
    </x:row>
    <x:row r="26">
      <x:c r="A26" s="295" t="str">
        <x:v>At least 2 of 5 main winners lie in selected 12</x:v>
      </x:c>
      <x:c r="B26" s="332" t="n">
        <x:v>0.3450310559006211</x:v>
      </x:c>
      <x:c r="D26" s="335"/>
      <x:c r="E26" s="335"/>
      <x:c r="F26" s="335"/>
      <x:c r="G26" s="335"/>
      <x:c r="H26" s="335"/>
      <x:c r="I26" s="335"/>
      <x:c r="J26" s="335"/>
      <x:c r="K26" s="335"/>
      <x:c r="L26" s="335"/>
      <x:c r="M26" s="335"/>
      <x:c r="N26" s="335"/>
    </x:row>
    <x:row r="27">
      <x:c r="A27" s="295" t="str">
        <x:v>At least 3 of 5 main winners lie in selected 12</x:v>
      </x:c>
      <x:c r="B27" s="332" t="n">
        <x:v>0.08224716343521682</x:v>
      </x:c>
      <x:c r="D27" s="335"/>
      <x:c r="E27" s="335"/>
      <x:c r="F27" s="335"/>
      <x:c r="G27" s="335"/>
      <x:c r="H27" s="335"/>
      <x:c r="I27" s="335"/>
      <x:c r="J27" s="335"/>
      <x:c r="K27" s="335"/>
      <x:c r="L27" s="335"/>
      <x:c r="M27" s="335"/>
      <x:c r="N27" s="335"/>
    </x:row>
    <x:row r="28">
      <x:c r="A28" s="295" t="str">
        <x:v>Both Euro winners lie in compact 4-pool</x:v>
      </x:c>
      <x:c r="B28" s="332" t="n">
        <x:v>0.09090909090909091</x:v>
      </x:c>
      <x:c r="D28" s="335"/>
      <x:c r="E28" s="335"/>
      <x:c r="F28" s="335"/>
      <x:c r="G28" s="335"/>
      <x:c r="H28" s="335"/>
      <x:c r="I28" s="335"/>
      <x:c r="J28" s="335"/>
      <x:c r="K28" s="335"/>
      <x:c r="L28" s="335"/>
      <x:c r="M28" s="335"/>
      <x:c r="N28" s="335"/>
    </x:row>
    <x:row r="29">
      <x:c r="A29" s="295" t="str">
        <x:v>Both Euro winners lie in extended 6-pool</x:v>
      </x:c>
      <x:c r="B29" s="332" t="n">
        <x:v>0.22727272727272727</x:v>
      </x:c>
      <x:c r="D29" s="335"/>
      <x:c r="E29" s="335"/>
      <x:c r="F29" s="335"/>
      <x:c r="G29" s="335"/>
      <x:c r="H29" s="335"/>
      <x:c r="I29" s="335"/>
      <x:c r="J29" s="335"/>
      <x:c r="K29" s="335"/>
      <x:c r="L29" s="335"/>
      <x:c r="M29" s="335"/>
      <x:c r="N29" s="335"/>
    </x:row>
    <x:row r="30">
      <x:c r="A30" s="295" t="str">
        <x:v>Compact 2+2 condition</x:v>
      </x:c>
      <x:c r="B30" s="332" t="n">
        <x:v>0.031366459627329195</x:v>
      </x:c>
      <x:c r="D30" s="335"/>
      <x:c r="E30" s="335"/>
      <x:c r="F30" s="335"/>
      <x:c r="G30" s="335"/>
      <x:c r="H30" s="335"/>
      <x:c r="I30" s="335"/>
      <x:c r="J30" s="335"/>
      <x:c r="K30" s="335"/>
      <x:c r="L30" s="335"/>
      <x:c r="M30" s="335"/>
      <x:c r="N30" s="335"/>
    </x:row>
    <x:row r="31">
      <x:c r="A31" s="295" t="str">
        <x:v>Extended 2+2 condition</x:v>
      </x:c>
      <x:c r="B31" s="332" t="n">
        <x:v>0.07841614906832298</x:v>
      </x:c>
      <x:c r="D31" s="335"/>
      <x:c r="E31" s="335"/>
      <x:c r="F31" s="335"/>
      <x:c r="G31" s="335"/>
      <x:c r="H31" s="335"/>
      <x:c r="I31" s="335"/>
      <x:c r="J31" s="335"/>
      <x:c r="K31" s="335"/>
      <x:c r="L31" s="335"/>
      <x:c r="M31" s="335"/>
      <x:c r="N31" s="335"/>
    </x:row>
    <x:row r="32">
      <x:c r="A32" s="297" t="str">
        <x:v>Extended 3+2 condition</x:v>
      </x:c>
      <x:c r="B32" s="333" t="n">
        <x:v>0.018692537144367458</x:v>
      </x:c>
      <x:c r="D32" s="335"/>
      <x:c r="E32" s="335"/>
      <x:c r="F32" s="335"/>
      <x:c r="G32" s="335"/>
      <x:c r="H32" s="335"/>
      <x:c r="I32" s="335"/>
      <x:c r="J32" s="335"/>
      <x:c r="K32" s="335"/>
      <x:c r="L32" s="335"/>
      <x:c r="M32" s="335"/>
      <x:c r="N32" s="335"/>
    </x:row>
  </x:sheetData>
  <x:mergeCells>
    <x:mergeCell ref="A1:N1"/>
    <x:mergeCell ref="A2:N3"/>
    <x:mergeCell ref="A5:N5"/>
    <x:mergeCell ref="A15:N15"/>
    <x:mergeCell ref="A24:N24"/>
    <x:mergeCell ref="D25:N32"/>
  </x:mergeCells>
  <x:pageMargins left="0.7" right="0.7" top="0.75" bottom="0.75" header="0.3" footer="0.3"/>
</x:worksheet>
</file>

<file path=xl/worksheets/sheet16.xml><?xml version="1.0" encoding="utf-8"?>
<x:worksheet xmlns:x="http://schemas.openxmlformats.org/spreadsheetml/2006/main">
  <x:sheetFormatPr defaultRowHeight="15"/>
  <x:sheetData>
    <x:row r="1">
      <x:c r="A1" s="382" t="str">
        <x:v>Frozen Original Prediction Set from the First Forecast</x:v>
      </x:c>
      <x:c r="B1" s="382"/>
      <x:c r="C1" s="382"/>
      <x:c r="D1" s="382"/>
      <x:c r="E1" s="382"/>
      <x:c r="F1" s="382"/>
      <x:c r="G1" s="382"/>
      <x:c r="H1" s="382"/>
      <x:c r="I1" s="382"/>
      <x:c r="J1" s="382"/>
      <x:c r="K1" s="260"/>
      <x:c r="L1" s="260"/>
      <x:c r="M1" s="260"/>
      <x:c r="N1" s="260"/>
      <x:c r="O1" s="260"/>
      <x:c r="P1" s="260"/>
      <x:c r="Q1" s="260"/>
      <x:c r="R1" s="260"/>
      <x:c r="S1" s="260"/>
      <x:c r="T1" s="260"/>
      <x:c r="U1" s="260"/>
      <x:c r="V1" s="260"/>
      <x:c r="W1" s="260"/>
      <x:c r="X1" s="260"/>
      <x:c r="Y1" s="260"/>
      <x:c r="Z1" s="260"/>
    </x:row>
    <x:row r="3">
      <x:c r="A3" s="311" t="str">
        <x:v>Line</x:v>
      </x:c>
      <x:c r="B3" s="312" t="str">
        <x:v>Main 1</x:v>
      </x:c>
      <x:c r="C3" s="312" t="str">
        <x:v>Main 2</x:v>
      </x:c>
      <x:c r="D3" s="312" t="str">
        <x:v>Main 3</x:v>
      </x:c>
      <x:c r="E3" s="312" t="str">
        <x:v>Main 4</x:v>
      </x:c>
      <x:c r="F3" s="312" t="str">
        <x:v>Main 5</x:v>
      </x:c>
      <x:c r="G3" s="312" t="str">
        <x:v>Euro 1</x:v>
      </x:c>
      <x:c r="H3" s="312" t="str">
        <x:v>Euro 2</x:v>
      </x:c>
      <x:c r="I3" s="312" t="str">
        <x:v>Jackpot Probability</x:v>
      </x:c>
      <x:c r="J3" s="313" t="str">
        <x:v>Status</x:v>
      </x:c>
    </x:row>
    <x:row r="4">
      <x:c r="A4" s="295" t="n">
        <x:v>1</x:v>
      </x:c>
      <x:c r="B4" s="296" t="n">
        <x:v>4</x:v>
      </x:c>
      <x:c r="C4" s="296" t="n">
        <x:v>21</x:v>
      </x:c>
      <x:c r="D4" s="296" t="n">
        <x:v>35</x:v>
      </x:c>
      <x:c r="E4" s="296" t="n">
        <x:v>37</x:v>
      </x:c>
      <x:c r="F4" s="296" t="n">
        <x:v>42</x:v>
      </x:c>
      <x:c r="G4" s="296" t="n">
        <x:v>5</x:v>
      </x:c>
      <x:c r="H4" s="296" t="n">
        <x:v>7</x:v>
      </x:c>
      <x:c r="I4" s="336" t="n">
        <x:v>7.1511238420185165e-9</x:v>
      </x:c>
      <x:c r="J4" s="288" t="str">
        <x:v>Frozen out-of-sample line</x:v>
      </x:c>
    </x:row>
    <x:row r="5">
      <x:c r="A5" s="295" t="n">
        <x:v>2</x:v>
      </x:c>
      <x:c r="B5" s="296" t="n">
        <x:v>17</x:v>
      </x:c>
      <x:c r="C5" s="296" t="n">
        <x:v>23</x:v>
      </x:c>
      <x:c r="D5" s="296" t="n">
        <x:v>28</x:v>
      </x:c>
      <x:c r="E5" s="296" t="n">
        <x:v>35</x:v>
      </x:c>
      <x:c r="F5" s="296" t="n">
        <x:v>46</x:v>
      </x:c>
      <x:c r="G5" s="296" t="n">
        <x:v>3</x:v>
      </x:c>
      <x:c r="H5" s="296" t="n">
        <x:v>12</x:v>
      </x:c>
      <x:c r="I5" s="336" t="n">
        <x:v>7.1511238420185165e-9</x:v>
      </x:c>
      <x:c r="J5" s="288" t="str">
        <x:v>Frozen out-of-sample line</x:v>
      </x:c>
    </x:row>
    <x:row r="6">
      <x:c r="A6" s="295" t="n">
        <x:v>3</x:v>
      </x:c>
      <x:c r="B6" s="296" t="n">
        <x:v>16</x:v>
      </x:c>
      <x:c r="C6" s="296" t="n">
        <x:v>17</x:v>
      </x:c>
      <x:c r="D6" s="296" t="n">
        <x:v>27</x:v>
      </x:c>
      <x:c r="E6" s="296" t="n">
        <x:v>37</x:v>
      </x:c>
      <x:c r="F6" s="296" t="n">
        <x:v>44</x:v>
      </x:c>
      <x:c r="G6" s="296" t="n">
        <x:v>1</x:v>
      </x:c>
      <x:c r="H6" s="296" t="n">
        <x:v>6</x:v>
      </x:c>
      <x:c r="I6" s="336" t="n">
        <x:v>7.1511238420185165e-9</x:v>
      </x:c>
      <x:c r="J6" s="288" t="str">
        <x:v>Frozen out-of-sample line</x:v>
      </x:c>
    </x:row>
    <x:row r="7">
      <x:c r="A7" s="295" t="n">
        <x:v>4</x:v>
      </x:c>
      <x:c r="B7" s="296" t="n">
        <x:v>6</x:v>
      </x:c>
      <x:c r="C7" s="296" t="n">
        <x:v>23</x:v>
      </x:c>
      <x:c r="D7" s="296" t="n">
        <x:v>27</x:v>
      </x:c>
      <x:c r="E7" s="296" t="n">
        <x:v>42</x:v>
      </x:c>
      <x:c r="F7" s="296" t="n">
        <x:v>47</x:v>
      </x:c>
      <x:c r="G7" s="296" t="n">
        <x:v>2</x:v>
      </x:c>
      <x:c r="H7" s="296" t="n">
        <x:v>11</x:v>
      </x:c>
      <x:c r="I7" s="336" t="n">
        <x:v>7.1511238420185165e-9</x:v>
      </x:c>
      <x:c r="J7" s="288" t="str">
        <x:v>Frozen out-of-sample line</x:v>
      </x:c>
    </x:row>
    <x:row r="8">
      <x:c r="A8" s="297" t="n">
        <x:v>5</x:v>
      </x:c>
      <x:c r="B8" s="298" t="n">
        <x:v>1</x:v>
      </x:c>
      <x:c r="C8" s="298" t="n">
        <x:v>8</x:v>
      </x:c>
      <x:c r="D8" s="298" t="n">
        <x:v>28</x:v>
      </x:c>
      <x:c r="E8" s="298" t="n">
        <x:v>37</x:v>
      </x:c>
      <x:c r="F8" s="298" t="n">
        <x:v>47</x:v>
      </x:c>
      <x:c r="G8" s="298" t="n">
        <x:v>8</x:v>
      </x:c>
      <x:c r="H8" s="298" t="n">
        <x:v>9</x:v>
      </x:c>
      <x:c r="I8" s="337" t="n">
        <x:v>7.1511238420185165e-9</x:v>
      </x:c>
      <x:c r="J8" s="290" t="str">
        <x:v>Frozen out-of-sample line</x:v>
      </x:c>
    </x:row>
    <x:row r="10">
      <x:c r="A10" s="284" t="str">
        <x:v>These five lines are preserved exactly as originally issued to prevent hindsight substitution.</x:v>
      </x:c>
      <x:c r="B10" s="284"/>
      <x:c r="C10" s="284"/>
      <x:c r="D10" s="284"/>
      <x:c r="E10" s="284"/>
      <x:c r="F10" s="284"/>
      <x:c r="G10" s="284"/>
      <x:c r="H10" s="284"/>
      <x:c r="I10" s="284"/>
      <x:c r="J10" s="284"/>
    </x:row>
    <x:row r="11">
      <x:c r="A11" s="284"/>
      <x:c r="B11" s="284"/>
      <x:c r="C11" s="284"/>
      <x:c r="D11" s="284"/>
      <x:c r="E11" s="284"/>
      <x:c r="F11" s="284"/>
      <x:c r="G11" s="284"/>
      <x:c r="H11" s="284"/>
      <x:c r="I11" s="284"/>
      <x:c r="J11" s="284"/>
    </x:row>
    <x:row r="12">
      <x:c r="A12" s="284"/>
      <x:c r="B12" s="284"/>
      <x:c r="C12" s="284"/>
      <x:c r="D12" s="284"/>
      <x:c r="E12" s="284"/>
      <x:c r="F12" s="284"/>
      <x:c r="G12" s="284"/>
      <x:c r="H12" s="284"/>
      <x:c r="I12" s="284"/>
      <x:c r="J12" s="284"/>
    </x:row>
    <x:row r="13">
      <x:c r="A13" s="284"/>
      <x:c r="B13" s="284"/>
      <x:c r="C13" s="284"/>
      <x:c r="D13" s="284"/>
      <x:c r="E13" s="284"/>
      <x:c r="F13" s="284"/>
      <x:c r="G13" s="284"/>
      <x:c r="H13" s="284"/>
      <x:c r="I13" s="284"/>
      <x:c r="J13" s="284"/>
    </x:row>
  </x:sheetData>
  <x:mergeCells>
    <x:mergeCell ref="A1:J1"/>
    <x:mergeCell ref="A10:J13"/>
  </x:mergeCells>
  <x:pageMargins left="0.7" right="0.7" top="0.75" bottom="0.75" header="0.3" footer="0.3"/>
</x:worksheet>
</file>

<file path=xl/worksheets/sheet17.xml><?xml version="1.0" encoding="utf-8"?>
<x:worksheet xmlns:x="http://schemas.openxmlformats.org/spreadsheetml/2006/main">
  <x:sheetFormatPr defaultRowHeight="15"/>
  <x:sheetData>
    <x:row r="1">
      <x:c r="A1" s="382" t="str">
        <x:v>Selected Number Pools and Derivation</x:v>
      </x:c>
      <x:c r="B1" s="382"/>
      <x:c r="C1" s="382"/>
      <x:c r="D1" s="382"/>
      <x:c r="E1" s="382"/>
      <x:c r="F1" s="382"/>
      <x:c r="G1" s="260"/>
      <x:c r="H1" s="260"/>
      <x:c r="I1" s="260"/>
      <x:c r="J1" s="260"/>
      <x:c r="K1" s="260"/>
      <x:c r="L1" s="260"/>
      <x:c r="M1" s="260"/>
      <x:c r="N1" s="260"/>
      <x:c r="O1" s="260"/>
      <x:c r="P1" s="260"/>
      <x:c r="Q1" s="260"/>
      <x:c r="R1" s="260"/>
      <x:c r="S1" s="260"/>
      <x:c r="T1" s="260"/>
      <x:c r="U1" s="260"/>
      <x:c r="V1" s="260"/>
      <x:c r="W1" s="260"/>
      <x:c r="X1" s="260"/>
      <x:c r="Y1" s="260"/>
      <x:c r="Z1" s="260"/>
    </x:row>
    <x:row r="3">
      <x:c r="A3" s="311" t="str">
        <x:v>Pool</x:v>
      </x:c>
      <x:c r="B3" s="312" t="str">
        <x:v>Number</x:v>
      </x:c>
      <x:c r="C3" s="312" t="str">
        <x:v>Source Role</x:v>
      </x:c>
      <x:c r="D3" s="312" t="str">
        <x:v>Research Rank</x:v>
      </x:c>
      <x:c r="E3" s="312" t="str">
        <x:v>Deployed Status</x:v>
      </x:c>
      <x:c r="F3" s="313" t="str">
        <x:v>Comment</x:v>
      </x:c>
    </x:row>
    <x:row r="4">
      <x:c r="A4" s="295" t="str">
        <x:v>Main</x:v>
      </x:c>
      <x:c r="B4" s="296" t="n">
        <x:v>4</x:v>
      </x:c>
      <x:c r="C4" s="296" t="str">
        <x:v>Original primary</x:v>
      </x:c>
      <x:c r="D4" s="296" t="n">
        <x:v>44</x:v>
      </x:c>
      <x:c r="E4" s="296" t="str">
        <x:v>Uniform</x:v>
      </x:c>
      <x:c r="F4" s="318" t="str">
        <x:v>Original primary fully retained</x:v>
      </x:c>
    </x:row>
    <x:row r="5">
      <x:c r="A5" s="295" t="str">
        <x:v>Main</x:v>
      </x:c>
      <x:c r="B5" s="296" t="n">
        <x:v>21</x:v>
      </x:c>
      <x:c r="C5" s="296" t="str">
        <x:v>Original primary</x:v>
      </x:c>
      <x:c r="D5" s="296" t="n">
        <x:v>43</x:v>
      </x:c>
      <x:c r="E5" s="296" t="str">
        <x:v>Uniform</x:v>
      </x:c>
      <x:c r="F5" s="318" t="str">
        <x:v>Original primary fully retained</x:v>
      </x:c>
    </x:row>
    <x:row r="6">
      <x:c r="A6" s="295" t="str">
        <x:v>Main</x:v>
      </x:c>
      <x:c r="B6" s="296" t="n">
        <x:v>25</x:v>
      </x:c>
      <x:c r="C6" s="296" t="str">
        <x:v>Audited ranking expansion</x:v>
      </x:c>
      <x:c r="D6" s="296" t="n">
        <x:v>5</x:v>
      </x:c>
      <x:c r="E6" s="296" t="str">
        <x:v>Uniform</x:v>
      </x:c>
      <x:c r="F6" s="318" t="str">
        <x:v>Original primary fully retained</x:v>
      </x:c>
    </x:row>
    <x:row r="7">
      <x:c r="A7" s="295" t="str">
        <x:v>Main</x:v>
      </x:c>
      <x:c r="B7" s="296" t="n">
        <x:v>27</x:v>
      </x:c>
      <x:c r="C7" s="296" t="str">
        <x:v>Audited ranking expansion</x:v>
      </x:c>
      <x:c r="D7" s="296" t="n">
        <x:v>7</x:v>
      </x:c>
      <x:c r="E7" s="296" t="str">
        <x:v>Uniform</x:v>
      </x:c>
      <x:c r="F7" s="318" t="str">
        <x:v>Original primary fully retained</x:v>
      </x:c>
    </x:row>
    <x:row r="8">
      <x:c r="A8" s="295" t="str">
        <x:v>Main</x:v>
      </x:c>
      <x:c r="B8" s="296" t="n">
        <x:v>28</x:v>
      </x:c>
      <x:c r="C8" s="296" t="str">
        <x:v>Audited ranking expansion</x:v>
      </x:c>
      <x:c r="D8" s="296" t="n">
        <x:v>3</x:v>
      </x:c>
      <x:c r="E8" s="296" t="str">
        <x:v>Uniform</x:v>
      </x:c>
      <x:c r="F8" s="318" t="str">
        <x:v>Original primary fully retained</x:v>
      </x:c>
    </x:row>
    <x:row r="9">
      <x:c r="A9" s="295" t="str">
        <x:v>Main</x:v>
      </x:c>
      <x:c r="B9" s="296" t="n">
        <x:v>35</x:v>
      </x:c>
      <x:c r="C9" s="296" t="str">
        <x:v>Original primary</x:v>
      </x:c>
      <x:c r="D9" s="296" t="n">
        <x:v>40</x:v>
      </x:c>
      <x:c r="E9" s="296" t="str">
        <x:v>Uniform</x:v>
      </x:c>
      <x:c r="F9" s="318" t="str">
        <x:v>Original primary fully retained</x:v>
      </x:c>
    </x:row>
    <x:row r="10">
      <x:c r="A10" s="295" t="str">
        <x:v>Main</x:v>
      </x:c>
      <x:c r="B10" s="296" t="n">
        <x:v>36</x:v>
      </x:c>
      <x:c r="C10" s="296" t="str">
        <x:v>Audited ranking expansion</x:v>
      </x:c>
      <x:c r="D10" s="296" t="n">
        <x:v>2</x:v>
      </x:c>
      <x:c r="E10" s="296" t="str">
        <x:v>Uniform</x:v>
      </x:c>
      <x:c r="F10" s="318" t="str">
        <x:v>Original primary fully retained</x:v>
      </x:c>
    </x:row>
    <x:row r="11">
      <x:c r="A11" s="295" t="str">
        <x:v>Main</x:v>
      </x:c>
      <x:c r="B11" s="296" t="n">
        <x:v>37</x:v>
      </x:c>
      <x:c r="C11" s="296" t="str">
        <x:v>Original primary</x:v>
      </x:c>
      <x:c r="D11" s="296" t="n">
        <x:v>24</x:v>
      </x:c>
      <x:c r="E11" s="296" t="str">
        <x:v>Uniform</x:v>
      </x:c>
      <x:c r="F11" s="318" t="str">
        <x:v>Original primary fully retained</x:v>
      </x:c>
    </x:row>
    <x:row r="12">
      <x:c r="A12" s="295" t="str">
        <x:v>Main</x:v>
      </x:c>
      <x:c r="B12" s="296" t="n">
        <x:v>42</x:v>
      </x:c>
      <x:c r="C12" s="296" t="str">
        <x:v>Original primary</x:v>
      </x:c>
      <x:c r="D12" s="296" t="n">
        <x:v>6</x:v>
      </x:c>
      <x:c r="E12" s="296" t="str">
        <x:v>Uniform</x:v>
      </x:c>
      <x:c r="F12" s="318" t="str">
        <x:v>Original primary fully retained</x:v>
      </x:c>
    </x:row>
    <x:row r="13">
      <x:c r="A13" s="295" t="str">
        <x:v>Main</x:v>
      </x:c>
      <x:c r="B13" s="296" t="n">
        <x:v>44</x:v>
      </x:c>
      <x:c r="C13" s="296" t="str">
        <x:v>Audited ranking expansion</x:v>
      </x:c>
      <x:c r="D13" s="296" t="n">
        <x:v>10</x:v>
      </x:c>
      <x:c r="E13" s="296" t="str">
        <x:v>Uniform</x:v>
      </x:c>
      <x:c r="F13" s="318" t="str">
        <x:v>Original primary fully retained</x:v>
      </x:c>
    </x:row>
    <x:row r="14">
      <x:c r="A14" s="295" t="str">
        <x:v>Main</x:v>
      </x:c>
      <x:c r="B14" s="296" t="n">
        <x:v>48</x:v>
      </x:c>
      <x:c r="C14" s="296" t="str">
        <x:v>Audited ranking expansion</x:v>
      </x:c>
      <x:c r="D14" s="296" t="n">
        <x:v>1</x:v>
      </x:c>
      <x:c r="E14" s="296" t="str">
        <x:v>Uniform</x:v>
      </x:c>
      <x:c r="F14" s="318" t="str">
        <x:v>Original primary fully retained</x:v>
      </x:c>
    </x:row>
    <x:row r="15">
      <x:c r="A15" s="295" t="str">
        <x:v>Main</x:v>
      </x:c>
      <x:c r="B15" s="296" t="n">
        <x:v>50</x:v>
      </x:c>
      <x:c r="C15" s="296" t="str">
        <x:v>Audited ranking expansion</x:v>
      </x:c>
      <x:c r="D15" s="296" t="n">
        <x:v>4</x:v>
      </x:c>
      <x:c r="E15" s="296" t="str">
        <x:v>Uniform</x:v>
      </x:c>
      <x:c r="F15" s="318" t="str">
        <x:v>Original primary fully retained</x:v>
      </x:c>
    </x:row>
    <x:row r="16">
      <x:c r="A16" s="295" t="str">
        <x:v>Euro</x:v>
      </x:c>
      <x:c r="B16" s="296" t="n">
        <x:v>3</x:v>
      </x:c>
      <x:c r="C16" s="296" t="str">
        <x:v>Audited ranking expansion</x:v>
      </x:c>
      <x:c r="D16" s="296" t="n">
        <x:v>2</x:v>
      </x:c>
      <x:c r="E16" s="296" t="str">
        <x:v>Uniform</x:v>
      </x:c>
      <x:c r="F16" s="318" t="str">
        <x:v>Compact: 3,5,7,9; extended: all six</x:v>
      </x:c>
    </x:row>
    <x:row r="17">
      <x:c r="A17" s="295" t="str">
        <x:v>Euro</x:v>
      </x:c>
      <x:c r="B17" s="296" t="n">
        <x:v>4</x:v>
      </x:c>
      <x:c r="C17" s="296" t="str">
        <x:v>Audited ranking expansion</x:v>
      </x:c>
      <x:c r="D17" s="296" t="n">
        <x:v>5</x:v>
      </x:c>
      <x:c r="E17" s="296" t="str">
        <x:v>Uniform</x:v>
      </x:c>
      <x:c r="F17" s="318" t="str">
        <x:v>Compact: 3,5,7,9; extended: all six</x:v>
      </x:c>
    </x:row>
    <x:row r="18">
      <x:c r="A18" s="295" t="str">
        <x:v>Euro</x:v>
      </x:c>
      <x:c r="B18" s="296" t="n">
        <x:v>5</x:v>
      </x:c>
      <x:c r="C18" s="296" t="str">
        <x:v>Original primary</x:v>
      </x:c>
      <x:c r="D18" s="296" t="n">
        <x:v>1</x:v>
      </x:c>
      <x:c r="E18" s="296" t="str">
        <x:v>Uniform</x:v>
      </x:c>
      <x:c r="F18" s="318" t="str">
        <x:v>Compact: 3,5,7,9; extended: all six</x:v>
      </x:c>
    </x:row>
    <x:row r="19">
      <x:c r="A19" s="295" t="str">
        <x:v>Euro</x:v>
      </x:c>
      <x:c r="B19" s="296" t="n">
        <x:v>7</x:v>
      </x:c>
      <x:c r="C19" s="296" t="str">
        <x:v>Original primary</x:v>
      </x:c>
      <x:c r="D19" s="296" t="n">
        <x:v>8</x:v>
      </x:c>
      <x:c r="E19" s="296" t="str">
        <x:v>Uniform</x:v>
      </x:c>
      <x:c r="F19" s="318" t="str">
        <x:v>Compact: 3,5,7,9; extended: all six</x:v>
      </x:c>
    </x:row>
    <x:row r="20">
      <x:c r="A20" s="295" t="str">
        <x:v>Euro</x:v>
      </x:c>
      <x:c r="B20" s="296" t="n">
        <x:v>8</x:v>
      </x:c>
      <x:c r="C20" s="296" t="str">
        <x:v>Audited ranking expansion</x:v>
      </x:c>
      <x:c r="D20" s="296" t="n">
        <x:v>4</x:v>
      </x:c>
      <x:c r="E20" s="296" t="str">
        <x:v>Uniform</x:v>
      </x:c>
      <x:c r="F20" s="318" t="str">
        <x:v>Compact: 3,5,7,9; extended: all six</x:v>
      </x:c>
    </x:row>
    <x:row r="21">
      <x:c r="A21" s="297" t="str">
        <x:v>Euro</x:v>
      </x:c>
      <x:c r="B21" s="298" t="n">
        <x:v>9</x:v>
      </x:c>
      <x:c r="C21" s="298" t="str">
        <x:v>Audited ranking expansion</x:v>
      </x:c>
      <x:c r="D21" s="298" t="n">
        <x:v>3</x:v>
      </x:c>
      <x:c r="E21" s="298" t="str">
        <x:v>Uniform</x:v>
      </x:c>
      <x:c r="F21" s="319" t="str">
        <x:v>Compact: 3,5,7,9; extended: all six</x:v>
      </x:c>
    </x:row>
  </x:sheetData>
  <x:mergeCells>
    <x:mergeCell ref="A1:F1"/>
  </x:mergeCells>
  <x:pageMargins left="0.7" right="0.7" top="0.75" bottom="0.75" header="0.3" footer="0.3"/>
</x:worksheet>
</file>

<file path=xl/worksheets/sheet18.xml><?xml version="1.0" encoding="utf-8"?>
<x:worksheet xmlns:x="http://schemas.openxmlformats.org/spreadsheetml/2006/main">
  <x:sheetFormatPr defaultRowHeight="15"/>
  <x:sheetData>
    <x:row r="1">
      <x:c r="A1" s="382" t="str">
        <x:v>Verified Main Pair-Covering Design</x:v>
      </x:c>
      <x:c r="B1" s="382"/>
      <x:c r="C1" s="382"/>
      <x:c r="D1" s="382"/>
      <x:c r="E1" s="382"/>
      <x:c r="F1" s="382"/>
      <x:c r="G1" s="382"/>
      <x:c r="H1" s="382"/>
      <x:c r="I1" s="382"/>
      <x:c r="J1" s="382"/>
      <x:c r="K1" s="382"/>
      <x:c r="L1" s="382"/>
      <x:c r="M1" s="260"/>
      <x:c r="N1" s="260"/>
      <x:c r="O1" s="260"/>
      <x:c r="P1" s="260"/>
      <x:c r="Q1" s="260"/>
      <x:c r="R1" s="260"/>
      <x:c r="S1" s="260"/>
      <x:c r="T1" s="260"/>
      <x:c r="U1" s="260"/>
      <x:c r="V1" s="260"/>
      <x:c r="W1" s="260"/>
      <x:c r="X1" s="260"/>
      <x:c r="Y1" s="260"/>
      <x:c r="Z1" s="260"/>
    </x:row>
    <x:row r="3">
      <x:c r="A3" s="311" t="str">
        <x:v>Block</x:v>
      </x:c>
      <x:c r="B3" s="312" t="str">
        <x:v>Main 1</x:v>
      </x:c>
      <x:c r="C3" s="312" t="str">
        <x:v>Main 2</x:v>
      </x:c>
      <x:c r="D3" s="312" t="str">
        <x:v>Main 3</x:v>
      </x:c>
      <x:c r="E3" s="312" t="str">
        <x:v>Main 4</x:v>
      </x:c>
      <x:c r="F3" s="312" t="str">
        <x:v>Main 5</x:v>
      </x:c>
      <x:c r="G3" s="312" t="str">
        <x:v>Subset</x:v>
      </x:c>
      <x:c r="H3" s="312" t="str">
        <x:v>Required</x:v>
      </x:c>
      <x:c r="I3" s="312" t="str">
        <x:v>Covered</x:v>
      </x:c>
      <x:c r="J3" s="312" t="str">
        <x:v>Missing</x:v>
      </x:c>
      <x:c r="K3" s="312" t="str">
        <x:v>Verified</x:v>
      </x:c>
      <x:c r="L3" s="313" t="str">
        <x:v>Guarantee</x:v>
      </x:c>
    </x:row>
    <x:row r="4">
      <x:c r="A4" s="295" t="n">
        <x:v>1</x:v>
      </x:c>
      <x:c r="B4" s="296" t="n">
        <x:v>4</x:v>
      </x:c>
      <x:c r="C4" s="296" t="n">
        <x:v>21</x:v>
      </x:c>
      <x:c r="D4" s="296" t="n">
        <x:v>27</x:v>
      </x:c>
      <x:c r="E4" s="296" t="n">
        <x:v>35</x:v>
      </x:c>
      <x:c r="F4" s="296" t="n">
        <x:v>50</x:v>
      </x:c>
      <x:c r="G4" s="296" t="str">
        <x:v>Pair</x:v>
      </x:c>
      <x:c r="H4" s="296" t="n">
        <x:v>66</x:v>
      </x:c>
      <x:c r="I4" s="296" t="n">
        <x:v>66</x:v>
      </x:c>
      <x:c r="J4" s="296" t="n">
        <x:v>0</x:v>
      </x:c>
      <x:c r="K4" s="340" t="str">
        <x:v>PASS</x:v>
      </x:c>
      <x:c r="L4" s="318" t="str">
        <x:v>Every selected-pool pair appears in at least one block</x:v>
      </x:c>
    </x:row>
    <x:row r="5">
      <x:c r="A5" s="295" t="n">
        <x:v>2</x:v>
      </x:c>
      <x:c r="B5" s="296" t="n">
        <x:v>4</x:v>
      </x:c>
      <x:c r="C5" s="296" t="n">
        <x:v>21</x:v>
      </x:c>
      <x:c r="D5" s="296" t="n">
        <x:v>28</x:v>
      </x:c>
      <x:c r="E5" s="296" t="n">
        <x:v>37</x:v>
      </x:c>
      <x:c r="F5" s="296" t="n">
        <x:v>42</x:v>
      </x:c>
      <x:c r="G5" s="296" t="str">
        <x:v>Pair</x:v>
      </x:c>
      <x:c r="H5" s="296" t="n">
        <x:v>66</x:v>
      </x:c>
      <x:c r="I5" s="296" t="n">
        <x:v>66</x:v>
      </x:c>
      <x:c r="J5" s="296" t="n">
        <x:v>0</x:v>
      </x:c>
      <x:c r="K5" s="340" t="str">
        <x:v>PASS</x:v>
      </x:c>
      <x:c r="L5" s="318" t="str">
        <x:v>Every selected-pool pair appears in at least one block</x:v>
      </x:c>
    </x:row>
    <x:row r="6">
      <x:c r="A6" s="295" t="n">
        <x:v>3</x:v>
      </x:c>
      <x:c r="B6" s="296" t="n">
        <x:v>4</x:v>
      </x:c>
      <x:c r="C6" s="296" t="n">
        <x:v>21</x:v>
      </x:c>
      <x:c r="D6" s="296" t="n">
        <x:v>36</x:v>
      </x:c>
      <x:c r="E6" s="296" t="n">
        <x:v>44</x:v>
      </x:c>
      <x:c r="F6" s="296" t="n">
        <x:v>48</x:v>
      </x:c>
      <x:c r="G6" s="296" t="str">
        <x:v>Pair</x:v>
      </x:c>
      <x:c r="H6" s="296" t="n">
        <x:v>66</x:v>
      </x:c>
      <x:c r="I6" s="296" t="n">
        <x:v>66</x:v>
      </x:c>
      <x:c r="J6" s="296" t="n">
        <x:v>0</x:v>
      </x:c>
      <x:c r="K6" s="340" t="str">
        <x:v>PASS</x:v>
      </x:c>
      <x:c r="L6" s="318" t="str">
        <x:v>Every selected-pool pair appears in at least one block</x:v>
      </x:c>
    </x:row>
    <x:row r="7">
      <x:c r="A7" s="295" t="n">
        <x:v>4</x:v>
      </x:c>
      <x:c r="B7" s="296" t="n">
        <x:v>4</x:v>
      </x:c>
      <x:c r="C7" s="296" t="n">
        <x:v>25</x:v>
      </x:c>
      <x:c r="D7" s="296" t="n">
        <x:v>37</x:v>
      </x:c>
      <x:c r="E7" s="296" t="n">
        <x:v>44</x:v>
      </x:c>
      <x:c r="F7" s="296" t="n">
        <x:v>48</x:v>
      </x:c>
      <x:c r="G7" s="296" t="str">
        <x:v>Pair</x:v>
      </x:c>
      <x:c r="H7" s="296" t="n">
        <x:v>66</x:v>
      </x:c>
      <x:c r="I7" s="296" t="n">
        <x:v>66</x:v>
      </x:c>
      <x:c r="J7" s="296" t="n">
        <x:v>0</x:v>
      </x:c>
      <x:c r="K7" s="340" t="str">
        <x:v>PASS</x:v>
      </x:c>
      <x:c r="L7" s="318" t="str">
        <x:v>Every selected-pool pair appears in at least one block</x:v>
      </x:c>
    </x:row>
    <x:row r="8">
      <x:c r="A8" s="295" t="n">
        <x:v>5</x:v>
      </x:c>
      <x:c r="B8" s="296" t="n">
        <x:v>21</x:v>
      </x:c>
      <x:c r="C8" s="296" t="n">
        <x:v>25</x:v>
      </x:c>
      <x:c r="D8" s="296" t="n">
        <x:v>28</x:v>
      </x:c>
      <x:c r="E8" s="296" t="n">
        <x:v>35</x:v>
      </x:c>
      <x:c r="F8" s="296" t="n">
        <x:v>50</x:v>
      </x:c>
      <x:c r="G8" s="296" t="str">
        <x:v>Pair</x:v>
      </x:c>
      <x:c r="H8" s="296" t="n">
        <x:v>66</x:v>
      </x:c>
      <x:c r="I8" s="296" t="n">
        <x:v>66</x:v>
      </x:c>
      <x:c r="J8" s="296" t="n">
        <x:v>0</x:v>
      </x:c>
      <x:c r="K8" s="340" t="str">
        <x:v>PASS</x:v>
      </x:c>
      <x:c r="L8" s="318" t="str">
        <x:v>Every selected-pool pair appears in at least one block</x:v>
      </x:c>
    </x:row>
    <x:row r="9">
      <x:c r="A9" s="295" t="n">
        <x:v>6</x:v>
      </x:c>
      <x:c r="B9" s="296" t="n">
        <x:v>25</x:v>
      </x:c>
      <x:c r="C9" s="296" t="n">
        <x:v>27</x:v>
      </x:c>
      <x:c r="D9" s="296" t="n">
        <x:v>28</x:v>
      </x:c>
      <x:c r="E9" s="296" t="n">
        <x:v>36</x:v>
      </x:c>
      <x:c r="F9" s="296" t="n">
        <x:v>42</x:v>
      </x:c>
      <x:c r="G9" s="296" t="str">
        <x:v>Pair</x:v>
      </x:c>
      <x:c r="H9" s="296" t="n">
        <x:v>66</x:v>
      </x:c>
      <x:c r="I9" s="296" t="n">
        <x:v>66</x:v>
      </x:c>
      <x:c r="J9" s="296" t="n">
        <x:v>0</x:v>
      </x:c>
      <x:c r="K9" s="340" t="str">
        <x:v>PASS</x:v>
      </x:c>
      <x:c r="L9" s="318" t="str">
        <x:v>Every selected-pool pair appears in at least one block</x:v>
      </x:c>
    </x:row>
    <x:row r="10">
      <x:c r="A10" s="295" t="n">
        <x:v>7</x:v>
      </x:c>
      <x:c r="B10" s="296" t="n">
        <x:v>27</x:v>
      </x:c>
      <x:c r="C10" s="296" t="n">
        <x:v>28</x:v>
      </x:c>
      <x:c r="D10" s="296" t="n">
        <x:v>37</x:v>
      </x:c>
      <x:c r="E10" s="296" t="n">
        <x:v>44</x:v>
      </x:c>
      <x:c r="F10" s="296" t="n">
        <x:v>48</x:v>
      </x:c>
      <x:c r="G10" s="296" t="str">
        <x:v>Pair</x:v>
      </x:c>
      <x:c r="H10" s="296" t="n">
        <x:v>66</x:v>
      </x:c>
      <x:c r="I10" s="296" t="n">
        <x:v>66</x:v>
      </x:c>
      <x:c r="J10" s="296" t="n">
        <x:v>0</x:v>
      </x:c>
      <x:c r="K10" s="340" t="str">
        <x:v>PASS</x:v>
      </x:c>
      <x:c r="L10" s="318" t="str">
        <x:v>Every selected-pool pair appears in at least one block</x:v>
      </x:c>
    </x:row>
    <x:row r="11">
      <x:c r="A11" s="295" t="n">
        <x:v>8</x:v>
      </x:c>
      <x:c r="B11" s="296" t="n">
        <x:v>28</x:v>
      </x:c>
      <x:c r="C11" s="296" t="n">
        <x:v>35</x:v>
      </x:c>
      <x:c r="D11" s="296" t="n">
        <x:v>36</x:v>
      </x:c>
      <x:c r="E11" s="296" t="n">
        <x:v>37</x:v>
      </x:c>
      <x:c r="F11" s="296" t="n">
        <x:v>50</x:v>
      </x:c>
      <x:c r="G11" s="296" t="str">
        <x:v>Pair</x:v>
      </x:c>
      <x:c r="H11" s="296" t="n">
        <x:v>66</x:v>
      </x:c>
      <x:c r="I11" s="296" t="n">
        <x:v>66</x:v>
      </x:c>
      <x:c r="J11" s="296" t="n">
        <x:v>0</x:v>
      </x:c>
      <x:c r="K11" s="340" t="str">
        <x:v>PASS</x:v>
      </x:c>
      <x:c r="L11" s="318" t="str">
        <x:v>Every selected-pool pair appears in at least one block</x:v>
      </x:c>
    </x:row>
    <x:row r="12">
      <x:c r="A12" s="297" t="n">
        <x:v>9</x:v>
      </x:c>
      <x:c r="B12" s="298" t="n">
        <x:v>35</x:v>
      </x:c>
      <x:c r="C12" s="298" t="n">
        <x:v>42</x:v>
      </x:c>
      <x:c r="D12" s="298" t="n">
        <x:v>44</x:v>
      </x:c>
      <x:c r="E12" s="298" t="n">
        <x:v>48</x:v>
      </x:c>
      <x:c r="F12" s="298" t="n">
        <x:v>50</x:v>
      </x:c>
      <x:c r="G12" s="298" t="str">
        <x:v>Pair</x:v>
      </x:c>
      <x:c r="H12" s="298" t="n">
        <x:v>66</x:v>
      </x:c>
      <x:c r="I12" s="298" t="n">
        <x:v>66</x:v>
      </x:c>
      <x:c r="J12" s="298" t="n">
        <x:v>0</x:v>
      </x:c>
      <x:c r="K12" s="341" t="str">
        <x:v>PASS</x:v>
      </x:c>
      <x:c r="L12" s="319" t="str">
        <x:v>Every selected-pool pair appears in at least one block</x:v>
      </x:c>
    </x:row>
  </x:sheetData>
  <x:mergeCells>
    <x:mergeCell ref="A1:L1"/>
  </x:mergeCells>
  <x:pageMargins left="0.7" right="0.7" top="0.75" bottom="0.75" header="0.3" footer="0.3"/>
</x:worksheet>
</file>

<file path=xl/worksheets/sheet19.xml><?xml version="1.0" encoding="utf-8"?>
<x:worksheet xmlns:x="http://schemas.openxmlformats.org/spreadsheetml/2006/main">
  <x:sheetFormatPr defaultRowHeight="15"/>
  <x:sheetData>
    <x:row r="1">
      <x:c r="A1" s="382" t="str">
        <x:v>Verified Main Triple-Covering Design</x:v>
      </x:c>
      <x:c r="B1" s="382"/>
      <x:c r="C1" s="382"/>
      <x:c r="D1" s="382"/>
      <x:c r="E1" s="382"/>
      <x:c r="F1" s="382"/>
      <x:c r="G1" s="382"/>
      <x:c r="H1" s="382"/>
      <x:c r="I1" s="382"/>
      <x:c r="J1" s="382"/>
      <x:c r="K1" s="382"/>
      <x:c r="L1" s="382"/>
      <x:c r="M1" s="260"/>
      <x:c r="N1" s="260"/>
      <x:c r="O1" s="260"/>
      <x:c r="P1" s="260"/>
      <x:c r="Q1" s="260"/>
      <x:c r="R1" s="260"/>
      <x:c r="S1" s="260"/>
      <x:c r="T1" s="260"/>
      <x:c r="U1" s="260"/>
      <x:c r="V1" s="260"/>
      <x:c r="W1" s="260"/>
      <x:c r="X1" s="260"/>
      <x:c r="Y1" s="260"/>
      <x:c r="Z1" s="260"/>
    </x:row>
    <x:row r="3">
      <x:c r="A3" s="311" t="str">
        <x:v>Block</x:v>
      </x:c>
      <x:c r="B3" s="312" t="str">
        <x:v>Main 1</x:v>
      </x:c>
      <x:c r="C3" s="312" t="str">
        <x:v>Main 2</x:v>
      </x:c>
      <x:c r="D3" s="312" t="str">
        <x:v>Main 3</x:v>
      </x:c>
      <x:c r="E3" s="312" t="str">
        <x:v>Main 4</x:v>
      </x:c>
      <x:c r="F3" s="312" t="str">
        <x:v>Main 5</x:v>
      </x:c>
      <x:c r="G3" s="312" t="str">
        <x:v>Subset</x:v>
      </x:c>
      <x:c r="H3" s="312" t="str">
        <x:v>Required</x:v>
      </x:c>
      <x:c r="I3" s="312" t="str">
        <x:v>Covered</x:v>
      </x:c>
      <x:c r="J3" s="312" t="str">
        <x:v>Missing</x:v>
      </x:c>
      <x:c r="K3" s="312" t="str">
        <x:v>Verified</x:v>
      </x:c>
      <x:c r="L3" s="313" t="str">
        <x:v>Guarantee</x:v>
      </x:c>
    </x:row>
    <x:row r="4">
      <x:c r="A4" s="295" t="n">
        <x:v>1</x:v>
      </x:c>
      <x:c r="B4" s="296" t="n">
        <x:v>4</x:v>
      </x:c>
      <x:c r="C4" s="296" t="n">
        <x:v>21</x:v>
      </x:c>
      <x:c r="D4" s="296" t="n">
        <x:v>25</x:v>
      </x:c>
      <x:c r="E4" s="296" t="n">
        <x:v>27</x:v>
      </x:c>
      <x:c r="F4" s="296" t="n">
        <x:v>28</x:v>
      </x:c>
      <x:c r="G4" s="296" t="str">
        <x:v>Triple</x:v>
      </x:c>
      <x:c r="H4" s="296" t="n">
        <x:v>220</x:v>
      </x:c>
      <x:c r="I4" s="296" t="n">
        <x:v>220</x:v>
      </x:c>
      <x:c r="J4" s="296" t="n">
        <x:v>0</x:v>
      </x:c>
      <x:c r="K4" s="340" t="str">
        <x:v>PASS</x:v>
      </x:c>
      <x:c r="L4" s="318" t="str">
        <x:v>Every selected-pool triple appears in at least one block</x:v>
      </x:c>
    </x:row>
    <x:row r="5">
      <x:c r="A5" s="295" t="n">
        <x:v>2</x:v>
      </x:c>
      <x:c r="B5" s="296" t="n">
        <x:v>4</x:v>
      </x:c>
      <x:c r="C5" s="296" t="n">
        <x:v>21</x:v>
      </x:c>
      <x:c r="D5" s="296" t="n">
        <x:v>35</x:v>
      </x:c>
      <x:c r="E5" s="296" t="n">
        <x:v>36</x:v>
      </x:c>
      <x:c r="F5" s="296" t="n">
        <x:v>37</x:v>
      </x:c>
      <x:c r="G5" s="296" t="str">
        <x:v>Triple</x:v>
      </x:c>
      <x:c r="H5" s="296" t="n">
        <x:v>220</x:v>
      </x:c>
      <x:c r="I5" s="296" t="n">
        <x:v>220</x:v>
      </x:c>
      <x:c r="J5" s="296" t="n">
        <x:v>0</x:v>
      </x:c>
      <x:c r="K5" s="340" t="str">
        <x:v>PASS</x:v>
      </x:c>
      <x:c r="L5" s="318" t="str">
        <x:v>Every selected-pool triple appears in at least one block</x:v>
      </x:c>
    </x:row>
    <x:row r="6">
      <x:c r="A6" s="295" t="n">
        <x:v>3</x:v>
      </x:c>
      <x:c r="B6" s="296" t="n">
        <x:v>4</x:v>
      </x:c>
      <x:c r="C6" s="296" t="n">
        <x:v>21</x:v>
      </x:c>
      <x:c r="D6" s="296" t="n">
        <x:v>42</x:v>
      </x:c>
      <x:c r="E6" s="296" t="n">
        <x:v>44</x:v>
      </x:c>
      <x:c r="F6" s="296" t="n">
        <x:v>48</x:v>
      </x:c>
      <x:c r="G6" s="296" t="str">
        <x:v>Triple</x:v>
      </x:c>
      <x:c r="H6" s="296" t="n">
        <x:v>220</x:v>
      </x:c>
      <x:c r="I6" s="296" t="n">
        <x:v>220</x:v>
      </x:c>
      <x:c r="J6" s="296" t="n">
        <x:v>0</x:v>
      </x:c>
      <x:c r="K6" s="340" t="str">
        <x:v>PASS</x:v>
      </x:c>
      <x:c r="L6" s="318" t="str">
        <x:v>Every selected-pool triple appears in at least one block</x:v>
      </x:c>
    </x:row>
    <x:row r="7">
      <x:c r="A7" s="295" t="n">
        <x:v>4</x:v>
      </x:c>
      <x:c r="B7" s="296" t="n">
        <x:v>4</x:v>
      </x:c>
      <x:c r="C7" s="296" t="n">
        <x:v>25</x:v>
      </x:c>
      <x:c r="D7" s="296" t="n">
        <x:v>35</x:v>
      </x:c>
      <x:c r="E7" s="296" t="n">
        <x:v>42</x:v>
      </x:c>
      <x:c r="F7" s="296" t="n">
        <x:v>50</x:v>
      </x:c>
      <x:c r="G7" s="296" t="str">
        <x:v>Triple</x:v>
      </x:c>
      <x:c r="H7" s="296" t="n">
        <x:v>220</x:v>
      </x:c>
      <x:c r="I7" s="296" t="n">
        <x:v>220</x:v>
      </x:c>
      <x:c r="J7" s="296" t="n">
        <x:v>0</x:v>
      </x:c>
      <x:c r="K7" s="340" t="str">
        <x:v>PASS</x:v>
      </x:c>
      <x:c r="L7" s="318" t="str">
        <x:v>Every selected-pool triple appears in at least one block</x:v>
      </x:c>
    </x:row>
    <x:row r="8">
      <x:c r="A8" s="295" t="n">
        <x:v>5</x:v>
      </x:c>
      <x:c r="B8" s="296" t="n">
        <x:v>4</x:v>
      </x:c>
      <x:c r="C8" s="296" t="n">
        <x:v>27</x:v>
      </x:c>
      <x:c r="D8" s="296" t="n">
        <x:v>36</x:v>
      </x:c>
      <x:c r="E8" s="296" t="n">
        <x:v>44</x:v>
      </x:c>
      <x:c r="F8" s="296" t="n">
        <x:v>50</x:v>
      </x:c>
      <x:c r="G8" s="296" t="str">
        <x:v>Triple</x:v>
      </x:c>
      <x:c r="H8" s="296" t="n">
        <x:v>220</x:v>
      </x:c>
      <x:c r="I8" s="296" t="n">
        <x:v>220</x:v>
      </x:c>
      <x:c r="J8" s="296" t="n">
        <x:v>0</x:v>
      </x:c>
      <x:c r="K8" s="340" t="str">
        <x:v>PASS</x:v>
      </x:c>
      <x:c r="L8" s="318" t="str">
        <x:v>Every selected-pool triple appears in at least one block</x:v>
      </x:c>
    </x:row>
    <x:row r="9">
      <x:c r="A9" s="295" t="n">
        <x:v>6</x:v>
      </x:c>
      <x:c r="B9" s="296" t="n">
        <x:v>4</x:v>
      </x:c>
      <x:c r="C9" s="296" t="n">
        <x:v>28</x:v>
      </x:c>
      <x:c r="D9" s="296" t="n">
        <x:v>37</x:v>
      </x:c>
      <x:c r="E9" s="296" t="n">
        <x:v>48</x:v>
      </x:c>
      <x:c r="F9" s="296" t="n">
        <x:v>50</x:v>
      </x:c>
      <x:c r="G9" s="296" t="str">
        <x:v>Triple</x:v>
      </x:c>
      <x:c r="H9" s="296" t="n">
        <x:v>220</x:v>
      </x:c>
      <x:c r="I9" s="296" t="n">
        <x:v>220</x:v>
      </x:c>
      <x:c r="J9" s="296" t="n">
        <x:v>0</x:v>
      </x:c>
      <x:c r="K9" s="340" t="str">
        <x:v>PASS</x:v>
      </x:c>
      <x:c r="L9" s="318" t="str">
        <x:v>Every selected-pool triple appears in at least one block</x:v>
      </x:c>
    </x:row>
    <x:row r="10">
      <x:c r="A10" s="295" t="n">
        <x:v>7</x:v>
      </x:c>
      <x:c r="B10" s="296" t="n">
        <x:v>21</x:v>
      </x:c>
      <x:c r="C10" s="296" t="n">
        <x:v>25</x:v>
      </x:c>
      <x:c r="D10" s="296" t="n">
        <x:v>36</x:v>
      </x:c>
      <x:c r="E10" s="296" t="n">
        <x:v>48</x:v>
      </x:c>
      <x:c r="F10" s="296" t="n">
        <x:v>50</x:v>
      </x:c>
      <x:c r="G10" s="296" t="str">
        <x:v>Triple</x:v>
      </x:c>
      <x:c r="H10" s="296" t="n">
        <x:v>220</x:v>
      </x:c>
      <x:c r="I10" s="296" t="n">
        <x:v>220</x:v>
      </x:c>
      <x:c r="J10" s="296" t="n">
        <x:v>0</x:v>
      </x:c>
      <x:c r="K10" s="340" t="str">
        <x:v>PASS</x:v>
      </x:c>
      <x:c r="L10" s="318" t="str">
        <x:v>Every selected-pool triple appears in at least one block</x:v>
      </x:c>
    </x:row>
    <x:row r="11">
      <x:c r="A11" s="295" t="n">
        <x:v>8</x:v>
      </x:c>
      <x:c r="B11" s="296" t="n">
        <x:v>21</x:v>
      </x:c>
      <x:c r="C11" s="296" t="n">
        <x:v>27</x:v>
      </x:c>
      <x:c r="D11" s="296" t="n">
        <x:v>37</x:v>
      </x:c>
      <x:c r="E11" s="296" t="n">
        <x:v>42</x:v>
      </x:c>
      <x:c r="F11" s="296" t="n">
        <x:v>50</x:v>
      </x:c>
      <x:c r="G11" s="296" t="str">
        <x:v>Triple</x:v>
      </x:c>
      <x:c r="H11" s="296" t="n">
        <x:v>220</x:v>
      </x:c>
      <x:c r="I11" s="296" t="n">
        <x:v>220</x:v>
      </x:c>
      <x:c r="J11" s="296" t="n">
        <x:v>0</x:v>
      </x:c>
      <x:c r="K11" s="340" t="str">
        <x:v>PASS</x:v>
      </x:c>
      <x:c r="L11" s="318" t="str">
        <x:v>Every selected-pool triple appears in at least one block</x:v>
      </x:c>
    </x:row>
    <x:row r="12">
      <x:c r="A12" s="295" t="n">
        <x:v>9</x:v>
      </x:c>
      <x:c r="B12" s="296" t="n">
        <x:v>21</x:v>
      </x:c>
      <x:c r="C12" s="296" t="n">
        <x:v>28</x:v>
      </x:c>
      <x:c r="D12" s="296" t="n">
        <x:v>35</x:v>
      </x:c>
      <x:c r="E12" s="296" t="n">
        <x:v>44</x:v>
      </x:c>
      <x:c r="F12" s="296" t="n">
        <x:v>50</x:v>
      </x:c>
      <x:c r="G12" s="296" t="str">
        <x:v>Triple</x:v>
      </x:c>
      <x:c r="H12" s="296" t="n">
        <x:v>220</x:v>
      </x:c>
      <x:c r="I12" s="296" t="n">
        <x:v>220</x:v>
      </x:c>
      <x:c r="J12" s="296" t="n">
        <x:v>0</x:v>
      </x:c>
      <x:c r="K12" s="340" t="str">
        <x:v>PASS</x:v>
      </x:c>
      <x:c r="L12" s="318" t="str">
        <x:v>Every selected-pool triple appears in at least one block</x:v>
      </x:c>
    </x:row>
    <x:row r="13">
      <x:c r="A13" s="295" t="n">
        <x:v>10</x:v>
      </x:c>
      <x:c r="B13" s="296" t="n">
        <x:v>25</x:v>
      </x:c>
      <x:c r="C13" s="296" t="n">
        <x:v>27</x:v>
      </x:c>
      <x:c r="D13" s="296" t="n">
        <x:v>35</x:v>
      </x:c>
      <x:c r="E13" s="296" t="n">
        <x:v>37</x:v>
      </x:c>
      <x:c r="F13" s="296" t="n">
        <x:v>44</x:v>
      </x:c>
      <x:c r="G13" s="296" t="str">
        <x:v>Triple</x:v>
      </x:c>
      <x:c r="H13" s="296" t="n">
        <x:v>220</x:v>
      </x:c>
      <x:c r="I13" s="296" t="n">
        <x:v>220</x:v>
      </x:c>
      <x:c r="J13" s="296" t="n">
        <x:v>0</x:v>
      </x:c>
      <x:c r="K13" s="340" t="str">
        <x:v>PASS</x:v>
      </x:c>
      <x:c r="L13" s="318" t="str">
        <x:v>Every selected-pool triple appears in at least one block</x:v>
      </x:c>
    </x:row>
    <x:row r="14">
      <x:c r="A14" s="295" t="n">
        <x:v>11</x:v>
      </x:c>
      <x:c r="B14" s="296" t="n">
        <x:v>25</x:v>
      </x:c>
      <x:c r="C14" s="296" t="n">
        <x:v>28</x:v>
      </x:c>
      <x:c r="D14" s="296" t="n">
        <x:v>36</x:v>
      </x:c>
      <x:c r="E14" s="296" t="n">
        <x:v>37</x:v>
      </x:c>
      <x:c r="F14" s="296" t="n">
        <x:v>42</x:v>
      </x:c>
      <x:c r="G14" s="296" t="str">
        <x:v>Triple</x:v>
      </x:c>
      <x:c r="H14" s="296" t="n">
        <x:v>220</x:v>
      </x:c>
      <x:c r="I14" s="296" t="n">
        <x:v>220</x:v>
      </x:c>
      <x:c r="J14" s="296" t="n">
        <x:v>0</x:v>
      </x:c>
      <x:c r="K14" s="340" t="str">
        <x:v>PASS</x:v>
      </x:c>
      <x:c r="L14" s="318" t="str">
        <x:v>Every selected-pool triple appears in at least one block</x:v>
      </x:c>
    </x:row>
    <x:row r="15">
      <x:c r="A15" s="295" t="n">
        <x:v>12</x:v>
      </x:c>
      <x:c r="B15" s="296" t="n">
        <x:v>27</x:v>
      </x:c>
      <x:c r="C15" s="296" t="n">
        <x:v>28</x:v>
      </x:c>
      <x:c r="D15" s="296" t="n">
        <x:v>35</x:v>
      </x:c>
      <x:c r="E15" s="296" t="n">
        <x:v>36</x:v>
      </x:c>
      <x:c r="F15" s="296" t="n">
        <x:v>48</x:v>
      </x:c>
      <x:c r="G15" s="296" t="str">
        <x:v>Triple</x:v>
      </x:c>
      <x:c r="H15" s="296" t="n">
        <x:v>220</x:v>
      </x:c>
      <x:c r="I15" s="296" t="n">
        <x:v>220</x:v>
      </x:c>
      <x:c r="J15" s="296" t="n">
        <x:v>0</x:v>
      </x:c>
      <x:c r="K15" s="340" t="str">
        <x:v>PASS</x:v>
      </x:c>
      <x:c r="L15" s="318" t="str">
        <x:v>Every selected-pool triple appears in at least one block</x:v>
      </x:c>
    </x:row>
    <x:row r="16">
      <x:c r="A16" s="295" t="n">
        <x:v>13</x:v>
      </x:c>
      <x:c r="B16" s="296" t="n">
        <x:v>25</x:v>
      </x:c>
      <x:c r="C16" s="296" t="n">
        <x:v>27</x:v>
      </x:c>
      <x:c r="D16" s="296" t="n">
        <x:v>42</x:v>
      </x:c>
      <x:c r="E16" s="296" t="n">
        <x:v>44</x:v>
      </x:c>
      <x:c r="F16" s="296" t="n">
        <x:v>48</x:v>
      </x:c>
      <x:c r="G16" s="296" t="str">
        <x:v>Triple</x:v>
      </x:c>
      <x:c r="H16" s="296" t="n">
        <x:v>220</x:v>
      </x:c>
      <x:c r="I16" s="296" t="n">
        <x:v>220</x:v>
      </x:c>
      <x:c r="J16" s="296" t="n">
        <x:v>0</x:v>
      </x:c>
      <x:c r="K16" s="340" t="str">
        <x:v>PASS</x:v>
      </x:c>
      <x:c r="L16" s="318" t="str">
        <x:v>Every selected-pool triple appears in at least one block</x:v>
      </x:c>
    </x:row>
    <x:row r="17">
      <x:c r="A17" s="295" t="n">
        <x:v>14</x:v>
      </x:c>
      <x:c r="B17" s="296" t="n">
        <x:v>35</x:v>
      </x:c>
      <x:c r="C17" s="296" t="n">
        <x:v>36</x:v>
      </x:c>
      <x:c r="D17" s="296" t="n">
        <x:v>42</x:v>
      </x:c>
      <x:c r="E17" s="296" t="n">
        <x:v>44</x:v>
      </x:c>
      <x:c r="F17" s="296" t="n">
        <x:v>48</x:v>
      </x:c>
      <x:c r="G17" s="296" t="str">
        <x:v>Triple</x:v>
      </x:c>
      <x:c r="H17" s="296" t="n">
        <x:v>220</x:v>
      </x:c>
      <x:c r="I17" s="296" t="n">
        <x:v>220</x:v>
      </x:c>
      <x:c r="J17" s="296" t="n">
        <x:v>0</x:v>
      </x:c>
      <x:c r="K17" s="340" t="str">
        <x:v>PASS</x:v>
      </x:c>
      <x:c r="L17" s="318" t="str">
        <x:v>Every selected-pool triple appears in at least one block</x:v>
      </x:c>
    </x:row>
    <x:row r="18">
      <x:c r="A18" s="295" t="n">
        <x:v>15</x:v>
      </x:c>
      <x:c r="B18" s="296" t="n">
        <x:v>4</x:v>
      </x:c>
      <x:c r="C18" s="296" t="n">
        <x:v>25</x:v>
      </x:c>
      <x:c r="D18" s="296" t="n">
        <x:v>28</x:v>
      </x:c>
      <x:c r="E18" s="296" t="n">
        <x:v>36</x:v>
      </x:c>
      <x:c r="F18" s="296" t="n">
        <x:v>44</x:v>
      </x:c>
      <x:c r="G18" s="296" t="str">
        <x:v>Triple</x:v>
      </x:c>
      <x:c r="H18" s="296" t="n">
        <x:v>220</x:v>
      </x:c>
      <x:c r="I18" s="296" t="n">
        <x:v>220</x:v>
      </x:c>
      <x:c r="J18" s="296" t="n">
        <x:v>0</x:v>
      </x:c>
      <x:c r="K18" s="340" t="str">
        <x:v>PASS</x:v>
      </x:c>
      <x:c r="L18" s="318" t="str">
        <x:v>Every selected-pool triple appears in at least one block</x:v>
      </x:c>
    </x:row>
    <x:row r="19">
      <x:c r="A19" s="295" t="n">
        <x:v>16</x:v>
      </x:c>
      <x:c r="B19" s="296" t="n">
        <x:v>4</x:v>
      </x:c>
      <x:c r="C19" s="296" t="n">
        <x:v>27</x:v>
      </x:c>
      <x:c r="D19" s="296" t="n">
        <x:v>28</x:v>
      </x:c>
      <x:c r="E19" s="296" t="n">
        <x:v>35</x:v>
      </x:c>
      <x:c r="F19" s="296" t="n">
        <x:v>42</x:v>
      </x:c>
      <x:c r="G19" s="296" t="str">
        <x:v>Triple</x:v>
      </x:c>
      <x:c r="H19" s="296" t="n">
        <x:v>220</x:v>
      </x:c>
      <x:c r="I19" s="296" t="n">
        <x:v>220</x:v>
      </x:c>
      <x:c r="J19" s="296" t="n">
        <x:v>0</x:v>
      </x:c>
      <x:c r="K19" s="340" t="str">
        <x:v>PASS</x:v>
      </x:c>
      <x:c r="L19" s="318" t="str">
        <x:v>Every selected-pool triple appears in at least one block</x:v>
      </x:c>
    </x:row>
    <x:row r="20">
      <x:c r="A20" s="295" t="n">
        <x:v>17</x:v>
      </x:c>
      <x:c r="B20" s="296" t="n">
        <x:v>21</x:v>
      </x:c>
      <x:c r="C20" s="296" t="n">
        <x:v>25</x:v>
      </x:c>
      <x:c r="D20" s="296" t="n">
        <x:v>35</x:v>
      </x:c>
      <x:c r="E20" s="296" t="n">
        <x:v>37</x:v>
      </x:c>
      <x:c r="F20" s="296" t="n">
        <x:v>48</x:v>
      </x:c>
      <x:c r="G20" s="296" t="str">
        <x:v>Triple</x:v>
      </x:c>
      <x:c r="H20" s="296" t="n">
        <x:v>220</x:v>
      </x:c>
      <x:c r="I20" s="296" t="n">
        <x:v>220</x:v>
      </x:c>
      <x:c r="J20" s="296" t="n">
        <x:v>0</x:v>
      </x:c>
      <x:c r="K20" s="340" t="str">
        <x:v>PASS</x:v>
      </x:c>
      <x:c r="L20" s="318" t="str">
        <x:v>Every selected-pool triple appears in at least one block</x:v>
      </x:c>
    </x:row>
    <x:row r="21">
      <x:c r="A21" s="295" t="n">
        <x:v>18</x:v>
      </x:c>
      <x:c r="B21" s="296" t="n">
        <x:v>28</x:v>
      </x:c>
      <x:c r="C21" s="296" t="n">
        <x:v>37</x:v>
      </x:c>
      <x:c r="D21" s="296" t="n">
        <x:v>42</x:v>
      </x:c>
      <x:c r="E21" s="296" t="n">
        <x:v>44</x:v>
      </x:c>
      <x:c r="F21" s="296" t="n">
        <x:v>48</x:v>
      </x:c>
      <x:c r="G21" s="296" t="str">
        <x:v>Triple</x:v>
      </x:c>
      <x:c r="H21" s="296" t="n">
        <x:v>220</x:v>
      </x:c>
      <x:c r="I21" s="296" t="n">
        <x:v>220</x:v>
      </x:c>
      <x:c r="J21" s="296" t="n">
        <x:v>0</x:v>
      </x:c>
      <x:c r="K21" s="340" t="str">
        <x:v>PASS</x:v>
      </x:c>
      <x:c r="L21" s="318" t="str">
        <x:v>Every selected-pool triple appears in at least one block</x:v>
      </x:c>
    </x:row>
    <x:row r="22">
      <x:c r="A22" s="295" t="n">
        <x:v>19</x:v>
      </x:c>
      <x:c r="B22" s="296" t="n">
        <x:v>4</x:v>
      </x:c>
      <x:c r="C22" s="296" t="n">
        <x:v>27</x:v>
      </x:c>
      <x:c r="D22" s="296" t="n">
        <x:v>36</x:v>
      </x:c>
      <x:c r="E22" s="296" t="n">
        <x:v>37</x:v>
      </x:c>
      <x:c r="F22" s="296" t="n">
        <x:v>48</x:v>
      </x:c>
      <x:c r="G22" s="296" t="str">
        <x:v>Triple</x:v>
      </x:c>
      <x:c r="H22" s="296" t="n">
        <x:v>220</x:v>
      </x:c>
      <x:c r="I22" s="296" t="n">
        <x:v>220</x:v>
      </x:c>
      <x:c r="J22" s="296" t="n">
        <x:v>0</x:v>
      </x:c>
      <x:c r="K22" s="340" t="str">
        <x:v>PASS</x:v>
      </x:c>
      <x:c r="L22" s="318" t="str">
        <x:v>Every selected-pool triple appears in at least one block</x:v>
      </x:c>
    </x:row>
    <x:row r="23">
      <x:c r="A23" s="295" t="n">
        <x:v>20</x:v>
      </x:c>
      <x:c r="B23" s="296" t="n">
        <x:v>21</x:v>
      </x:c>
      <x:c r="C23" s="296" t="n">
        <x:v>28</x:v>
      </x:c>
      <x:c r="D23" s="296" t="n">
        <x:v>36</x:v>
      </x:c>
      <x:c r="E23" s="296" t="n">
        <x:v>42</x:v>
      </x:c>
      <x:c r="F23" s="296" t="n">
        <x:v>50</x:v>
      </x:c>
      <x:c r="G23" s="296" t="str">
        <x:v>Triple</x:v>
      </x:c>
      <x:c r="H23" s="296" t="n">
        <x:v>220</x:v>
      </x:c>
      <x:c r="I23" s="296" t="n">
        <x:v>220</x:v>
      </x:c>
      <x:c r="J23" s="296" t="n">
        <x:v>0</x:v>
      </x:c>
      <x:c r="K23" s="340" t="str">
        <x:v>PASS</x:v>
      </x:c>
      <x:c r="L23" s="318" t="str">
        <x:v>Every selected-pool triple appears in at least one block</x:v>
      </x:c>
    </x:row>
    <x:row r="24">
      <x:c r="A24" s="295" t="n">
        <x:v>21</x:v>
      </x:c>
      <x:c r="B24" s="296" t="n">
        <x:v>4</x:v>
      </x:c>
      <x:c r="C24" s="296" t="n">
        <x:v>25</x:v>
      </x:c>
      <x:c r="D24" s="296" t="n">
        <x:v>37</x:v>
      </x:c>
      <x:c r="E24" s="296" t="n">
        <x:v>44</x:v>
      </x:c>
      <x:c r="F24" s="296" t="n">
        <x:v>50</x:v>
      </x:c>
      <x:c r="G24" s="296" t="str">
        <x:v>Triple</x:v>
      </x:c>
      <x:c r="H24" s="296" t="n">
        <x:v>220</x:v>
      </x:c>
      <x:c r="I24" s="296" t="n">
        <x:v>220</x:v>
      </x:c>
      <x:c r="J24" s="296" t="n">
        <x:v>0</x:v>
      </x:c>
      <x:c r="K24" s="340" t="str">
        <x:v>PASS</x:v>
      </x:c>
      <x:c r="L24" s="318" t="str">
        <x:v>Every selected-pool triple appears in at least one block</x:v>
      </x:c>
    </x:row>
    <x:row r="25">
      <x:c r="A25" s="295" t="n">
        <x:v>22</x:v>
      </x:c>
      <x:c r="B25" s="296" t="n">
        <x:v>21</x:v>
      </x:c>
      <x:c r="C25" s="296" t="n">
        <x:v>25</x:v>
      </x:c>
      <x:c r="D25" s="296" t="n">
        <x:v>27</x:v>
      </x:c>
      <x:c r="E25" s="296" t="n">
        <x:v>36</x:v>
      </x:c>
      <x:c r="F25" s="296" t="n">
        <x:v>44</x:v>
      </x:c>
      <x:c r="G25" s="296" t="str">
        <x:v>Triple</x:v>
      </x:c>
      <x:c r="H25" s="296" t="n">
        <x:v>220</x:v>
      </x:c>
      <x:c r="I25" s="296" t="n">
        <x:v>220</x:v>
      </x:c>
      <x:c r="J25" s="296" t="n">
        <x:v>0</x:v>
      </x:c>
      <x:c r="K25" s="340" t="str">
        <x:v>PASS</x:v>
      </x:c>
      <x:c r="L25" s="318" t="str">
        <x:v>Every selected-pool triple appears in at least one block</x:v>
      </x:c>
    </x:row>
    <x:row r="26">
      <x:c r="A26" s="295" t="n">
        <x:v>23</x:v>
      </x:c>
      <x:c r="B26" s="296" t="n">
        <x:v>21</x:v>
      </x:c>
      <x:c r="C26" s="296" t="n">
        <x:v>27</x:v>
      </x:c>
      <x:c r="D26" s="296" t="n">
        <x:v>35</x:v>
      </x:c>
      <x:c r="E26" s="296" t="n">
        <x:v>48</x:v>
      </x:c>
      <x:c r="F26" s="296" t="n">
        <x:v>50</x:v>
      </x:c>
      <x:c r="G26" s="296" t="str">
        <x:v>Triple</x:v>
      </x:c>
      <x:c r="H26" s="296" t="n">
        <x:v>220</x:v>
      </x:c>
      <x:c r="I26" s="296" t="n">
        <x:v>220</x:v>
      </x:c>
      <x:c r="J26" s="296" t="n">
        <x:v>0</x:v>
      </x:c>
      <x:c r="K26" s="340" t="str">
        <x:v>PASS</x:v>
      </x:c>
      <x:c r="L26" s="318" t="str">
        <x:v>Every selected-pool triple appears in at least one block</x:v>
      </x:c>
    </x:row>
    <x:row r="27">
      <x:c r="A27" s="295" t="n">
        <x:v>24</x:v>
      </x:c>
      <x:c r="B27" s="296" t="n">
        <x:v>4</x:v>
      </x:c>
      <x:c r="C27" s="296" t="n">
        <x:v>25</x:v>
      </x:c>
      <x:c r="D27" s="296" t="n">
        <x:v>28</x:v>
      </x:c>
      <x:c r="E27" s="296" t="n">
        <x:v>35</x:v>
      </x:c>
      <x:c r="F27" s="296" t="n">
        <x:v>48</x:v>
      </x:c>
      <x:c r="G27" s="296" t="str">
        <x:v>Triple</x:v>
      </x:c>
      <x:c r="H27" s="296" t="n">
        <x:v>220</x:v>
      </x:c>
      <x:c r="I27" s="296" t="n">
        <x:v>220</x:v>
      </x:c>
      <x:c r="J27" s="296" t="n">
        <x:v>0</x:v>
      </x:c>
      <x:c r="K27" s="340" t="str">
        <x:v>PASS</x:v>
      </x:c>
      <x:c r="L27" s="318" t="str">
        <x:v>Every selected-pool triple appears in at least one block</x:v>
      </x:c>
    </x:row>
    <x:row r="28">
      <x:c r="A28" s="295" t="n">
        <x:v>25</x:v>
      </x:c>
      <x:c r="B28" s="296" t="n">
        <x:v>21</x:v>
      </x:c>
      <x:c r="C28" s="296" t="n">
        <x:v>27</x:v>
      </x:c>
      <x:c r="D28" s="296" t="n">
        <x:v>28</x:v>
      </x:c>
      <x:c r="E28" s="296" t="n">
        <x:v>37</x:v>
      </x:c>
      <x:c r="F28" s="296" t="n">
        <x:v>44</x:v>
      </x:c>
      <x:c r="G28" s="296" t="str">
        <x:v>Triple</x:v>
      </x:c>
      <x:c r="H28" s="296" t="n">
        <x:v>220</x:v>
      </x:c>
      <x:c r="I28" s="296" t="n">
        <x:v>220</x:v>
      </x:c>
      <x:c r="J28" s="296" t="n">
        <x:v>0</x:v>
      </x:c>
      <x:c r="K28" s="340" t="str">
        <x:v>PASS</x:v>
      </x:c>
      <x:c r="L28" s="318" t="str">
        <x:v>Every selected-pool triple appears in at least one block</x:v>
      </x:c>
    </x:row>
    <x:row r="29">
      <x:c r="A29" s="295" t="n">
        <x:v>26</x:v>
      </x:c>
      <x:c r="B29" s="296" t="n">
        <x:v>25</x:v>
      </x:c>
      <x:c r="C29" s="296" t="n">
        <x:v>35</x:v>
      </x:c>
      <x:c r="D29" s="296" t="n">
        <x:v>36</x:v>
      </x:c>
      <x:c r="E29" s="296" t="n">
        <x:v>37</x:v>
      </x:c>
      <x:c r="F29" s="296" t="n">
        <x:v>50</x:v>
      </x:c>
      <x:c r="G29" s="296" t="str">
        <x:v>Triple</x:v>
      </x:c>
      <x:c r="H29" s="296" t="n">
        <x:v>220</x:v>
      </x:c>
      <x:c r="I29" s="296" t="n">
        <x:v>220</x:v>
      </x:c>
      <x:c r="J29" s="296" t="n">
        <x:v>0</x:v>
      </x:c>
      <x:c r="K29" s="340" t="str">
        <x:v>PASS</x:v>
      </x:c>
      <x:c r="L29" s="318" t="str">
        <x:v>Every selected-pool triple appears in at least one block</x:v>
      </x:c>
    </x:row>
    <x:row r="30">
      <x:c r="A30" s="295" t="n">
        <x:v>27</x:v>
      </x:c>
      <x:c r="B30" s="296" t="n">
        <x:v>4</x:v>
      </x:c>
      <x:c r="C30" s="296" t="n">
        <x:v>21</x:v>
      </x:c>
      <x:c r="D30" s="296" t="n">
        <x:v>35</x:v>
      </x:c>
      <x:c r="E30" s="296" t="n">
        <x:v>37</x:v>
      </x:c>
      <x:c r="F30" s="296" t="n">
        <x:v>42</x:v>
      </x:c>
      <x:c r="G30" s="296" t="str">
        <x:v>Triple</x:v>
      </x:c>
      <x:c r="H30" s="296" t="n">
        <x:v>220</x:v>
      </x:c>
      <x:c r="I30" s="296" t="n">
        <x:v>220</x:v>
      </x:c>
      <x:c r="J30" s="296" t="n">
        <x:v>0</x:v>
      </x:c>
      <x:c r="K30" s="340" t="str">
        <x:v>PASS</x:v>
      </x:c>
      <x:c r="L30" s="318" t="str">
        <x:v>Every selected-pool triple appears in at least one block</x:v>
      </x:c>
    </x:row>
    <x:row r="31">
      <x:c r="A31" s="295" t="n">
        <x:v>28</x:v>
      </x:c>
      <x:c r="B31" s="296" t="n">
        <x:v>4</x:v>
      </x:c>
      <x:c r="C31" s="296" t="n">
        <x:v>25</x:v>
      </x:c>
      <x:c r="D31" s="296" t="n">
        <x:v>27</x:v>
      </x:c>
      <x:c r="E31" s="296" t="n">
        <x:v>28</x:v>
      </x:c>
      <x:c r="F31" s="296" t="n">
        <x:v>50</x:v>
      </x:c>
      <x:c r="G31" s="296" t="str">
        <x:v>Triple</x:v>
      </x:c>
      <x:c r="H31" s="296" t="n">
        <x:v>220</x:v>
      </x:c>
      <x:c r="I31" s="296" t="n">
        <x:v>220</x:v>
      </x:c>
      <x:c r="J31" s="296" t="n">
        <x:v>0</x:v>
      </x:c>
      <x:c r="K31" s="340" t="str">
        <x:v>PASS</x:v>
      </x:c>
      <x:c r="L31" s="318" t="str">
        <x:v>Every selected-pool triple appears in at least one block</x:v>
      </x:c>
    </x:row>
    <x:row r="32">
      <x:c r="A32" s="295" t="n">
        <x:v>29</x:v>
      </x:c>
      <x:c r="B32" s="296" t="n">
        <x:v>4</x:v>
      </x:c>
      <x:c r="C32" s="296" t="n">
        <x:v>42</x:v>
      </x:c>
      <x:c r="D32" s="296" t="n">
        <x:v>44</x:v>
      </x:c>
      <x:c r="E32" s="296" t="n">
        <x:v>48</x:v>
      </x:c>
      <x:c r="F32" s="296" t="n">
        <x:v>50</x:v>
      </x:c>
      <x:c r="G32" s="296" t="str">
        <x:v>Triple</x:v>
      </x:c>
      <x:c r="H32" s="296" t="n">
        <x:v>220</x:v>
      </x:c>
      <x:c r="I32" s="296" t="n">
        <x:v>220</x:v>
      </x:c>
      <x:c r="J32" s="296" t="n">
        <x:v>0</x:v>
      </x:c>
      <x:c r="K32" s="340" t="str">
        <x:v>PASS</x:v>
      </x:c>
      <x:c r="L32" s="318" t="str">
        <x:v>Every selected-pool triple appears in at least one block</x:v>
      </x:c>
    </x:row>
    <x:row r="33">
      <x:c r="A33" s="295" t="n">
        <x:v>30</x:v>
      </x:c>
      <x:c r="B33" s="296" t="n">
        <x:v>4</x:v>
      </x:c>
      <x:c r="C33" s="296" t="n">
        <x:v>21</x:v>
      </x:c>
      <x:c r="D33" s="296" t="n">
        <x:v>25</x:v>
      </x:c>
      <x:c r="E33" s="296" t="n">
        <x:v>36</x:v>
      </x:c>
      <x:c r="F33" s="296" t="n">
        <x:v>42</x:v>
      </x:c>
      <x:c r="G33" s="296" t="str">
        <x:v>Triple</x:v>
      </x:c>
      <x:c r="H33" s="296" t="n">
        <x:v>220</x:v>
      </x:c>
      <x:c r="I33" s="296" t="n">
        <x:v>220</x:v>
      </x:c>
      <x:c r="J33" s="296" t="n">
        <x:v>0</x:v>
      </x:c>
      <x:c r="K33" s="340" t="str">
        <x:v>PASS</x:v>
      </x:c>
      <x:c r="L33" s="318" t="str">
        <x:v>Every selected-pool triple appears in at least one block</x:v>
      </x:c>
    </x:row>
    <x:row r="34">
      <x:c r="A34" s="295" t="n">
        <x:v>31</x:v>
      </x:c>
      <x:c r="B34" s="296" t="n">
        <x:v>4</x:v>
      </x:c>
      <x:c r="C34" s="296" t="n">
        <x:v>21</x:v>
      </x:c>
      <x:c r="D34" s="296" t="n">
        <x:v>28</x:v>
      </x:c>
      <x:c r="E34" s="296" t="n">
        <x:v>48</x:v>
      </x:c>
      <x:c r="F34" s="296" t="n">
        <x:v>50</x:v>
      </x:c>
      <x:c r="G34" s="296" t="str">
        <x:v>Triple</x:v>
      </x:c>
      <x:c r="H34" s="296" t="n">
        <x:v>220</x:v>
      </x:c>
      <x:c r="I34" s="296" t="n">
        <x:v>220</x:v>
      </x:c>
      <x:c r="J34" s="296" t="n">
        <x:v>0</x:v>
      </x:c>
      <x:c r="K34" s="340" t="str">
        <x:v>PASS</x:v>
      </x:c>
      <x:c r="L34" s="318" t="str">
        <x:v>Every selected-pool triple appears in at least one block</x:v>
      </x:c>
    </x:row>
    <x:row r="35">
      <x:c r="A35" s="295" t="n">
        <x:v>32</x:v>
      </x:c>
      <x:c r="B35" s="296" t="n">
        <x:v>4</x:v>
      </x:c>
      <x:c r="C35" s="296" t="n">
        <x:v>28</x:v>
      </x:c>
      <x:c r="D35" s="296" t="n">
        <x:v>35</x:v>
      </x:c>
      <x:c r="E35" s="296" t="n">
        <x:v>37</x:v>
      </x:c>
      <x:c r="F35" s="296" t="n">
        <x:v>44</x:v>
      </x:c>
      <x:c r="G35" s="296" t="str">
        <x:v>Triple</x:v>
      </x:c>
      <x:c r="H35" s="296" t="n">
        <x:v>220</x:v>
      </x:c>
      <x:c r="I35" s="296" t="n">
        <x:v>220</x:v>
      </x:c>
      <x:c r="J35" s="296" t="n">
        <x:v>0</x:v>
      </x:c>
      <x:c r="K35" s="340" t="str">
        <x:v>PASS</x:v>
      </x:c>
      <x:c r="L35" s="318" t="str">
        <x:v>Every selected-pool triple appears in at least one block</x:v>
      </x:c>
    </x:row>
    <x:row r="36">
      <x:c r="A36" s="297" t="n">
        <x:v>33</x:v>
      </x:c>
      <x:c r="B36" s="298" t="n">
        <x:v>27</x:v>
      </x:c>
      <x:c r="C36" s="298" t="n">
        <x:v>36</x:v>
      </x:c>
      <x:c r="D36" s="298" t="n">
        <x:v>37</x:v>
      </x:c>
      <x:c r="E36" s="298" t="n">
        <x:v>42</x:v>
      </x:c>
      <x:c r="F36" s="298" t="n">
        <x:v>44</x:v>
      </x:c>
      <x:c r="G36" s="298" t="str">
        <x:v>Triple</x:v>
      </x:c>
      <x:c r="H36" s="298" t="n">
        <x:v>220</x:v>
      </x:c>
      <x:c r="I36" s="298" t="n">
        <x:v>220</x:v>
      </x:c>
      <x:c r="J36" s="298" t="n">
        <x:v>0</x:v>
      </x:c>
      <x:c r="K36" s="341" t="str">
        <x:v>PASS</x:v>
      </x:c>
      <x:c r="L36" s="319" t="str">
        <x:v>Every selected-pool triple appears in at least one block</x:v>
      </x:c>
    </x:row>
  </x:sheetData>
  <x:mergeCells>
    <x:mergeCell ref="A1:L1"/>
  </x:mergeCells>
  <x:pageMargins left="0.7" right="0.7" top="0.75" bottom="0.75" header="0.3" footer="0.3"/>
</x:worksheet>
</file>

<file path=xl/worksheets/sheet20.xml><?xml version="1.0" encoding="utf-8"?>
<x:worksheet xmlns:x="http://schemas.openxmlformats.org/spreadsheetml/2006/main">
  <x:sheetFormatPr defaultRowHeight="15"/>
  <x:cols>
    <x:col min="1" max="1" width="9"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2" hidden="0" customWidth="1"/>
    <x:col min="10" max="10" width="11" hidden="0" customWidth="1"/>
    <x:col min="11" max="11" width="11" hidden="0" customWidth="1"/>
    <x:col min="12" max="12" width="21" hidden="0" customWidth="1"/>
    <x:col min="13" max="13" width="11" hidden="0" customWidth="1"/>
    <x:col min="14" max="14" width="27" hidden="0" customWidth="1"/>
  </x:cols>
  <x:sheetData>
    <x:row r="1">
      <x:c r="A1" s="382" t="str">
        <x:v>54-Line Compact Conditional 2+2 Wheel</x:v>
      </x:c>
      <x:c r="B1" s="382"/>
      <x:c r="C1" s="382"/>
      <x:c r="D1" s="382"/>
      <x:c r="E1" s="382"/>
      <x:c r="F1" s="382"/>
      <x:c r="G1" s="382"/>
      <x:c r="H1" s="382"/>
      <x:c r="I1" s="382"/>
      <x:c r="J1" s="382"/>
      <x:c r="K1" s="382"/>
      <x:c r="L1" s="382"/>
      <x:c r="M1" s="382"/>
      <x:c r="N1" s="382"/>
      <x:c r="O1" s="260"/>
      <x:c r="P1" s="260"/>
      <x:c r="Q1" s="260"/>
      <x:c r="R1" s="260"/>
      <x:c r="S1" s="260"/>
      <x:c r="T1" s="260"/>
      <x:c r="U1" s="260"/>
      <x:c r="V1" s="260"/>
      <x:c r="W1" s="260"/>
      <x:c r="X1" s="260"/>
      <x:c r="Y1" s="260"/>
      <x:c r="Z1" s="260"/>
    </x:row>
    <x:row r="2">
      <x:c r="A2" s="326" t="str">
        <x:v>If ≥2 winning mains are in the selected 12 and both Euros are in 3,5,7,9, at least one line contains ≥2+2.</x:v>
      </x:c>
      <x:c r="B2" s="326"/>
      <x:c r="C2" s="326"/>
      <x:c r="D2" s="326"/>
      <x:c r="E2" s="326"/>
      <x:c r="F2" s="326"/>
      <x:c r="G2" s="326"/>
      <x:c r="H2" s="326"/>
      <x:c r="I2" s="326"/>
      <x:c r="J2" s="326"/>
      <x:c r="K2" s="326"/>
      <x:c r="L2" s="326"/>
      <x:c r="M2" s="326"/>
      <x:c r="N2" s="326"/>
    </x:row>
    <x:row r="4">
      <x:c r="A4" s="311" t="str">
        <x:v>Line</x:v>
      </x:c>
      <x:c r="B4" s="312" t="str">
        <x:v>Main 1</x:v>
      </x:c>
      <x:c r="C4" s="312" t="str">
        <x:v>Main 2</x:v>
      </x:c>
      <x:c r="D4" s="312" t="str">
        <x:v>Main 3</x:v>
      </x:c>
      <x:c r="E4" s="312" t="str">
        <x:v>Main 4</x:v>
      </x:c>
      <x:c r="F4" s="312" t="str">
        <x:v>Main 5</x:v>
      </x:c>
      <x:c r="G4" s="312" t="str">
        <x:v>Euro 1</x:v>
      </x:c>
      <x:c r="H4" s="312" t="str">
        <x:v>Euro 2</x:v>
      </x:c>
      <x:c r="I4" s="312" t="str">
        <x:v>Main Sum</x:v>
      </x:c>
      <x:c r="J4" s="312" t="str">
        <x:v>Odd Count</x:v>
      </x:c>
      <x:c r="K4" s="312" t="str">
        <x:v>Above 31</x:v>
      </x:c>
      <x:c r="L4" s="312" t="str">
        <x:v>Jackpot Probability</x:v>
      </x:c>
      <x:c r="M4" s="312" t="str">
        <x:v>Cost</x:v>
      </x:c>
      <x:c r="N4" s="313" t="str">
        <x:v>Classification</x:v>
      </x:c>
    </x:row>
    <x:row r="5">
      <x:c r="A5" s="295" t="n">
        <x:v>1</x:v>
      </x:c>
      <x:c r="B5" s="296" t="n">
        <x:v>4</x:v>
      </x:c>
      <x:c r="C5" s="296" t="n">
        <x:v>21</x:v>
      </x:c>
      <x:c r="D5" s="296" t="n">
        <x:v>27</x:v>
      </x:c>
      <x:c r="E5" s="296" t="n">
        <x:v>35</x:v>
      </x:c>
      <x:c r="F5" s="296" t="n">
        <x:v>50</x:v>
      </x:c>
      <x:c r="G5" s="296" t="n">
        <x:v>3</x:v>
      </x:c>
      <x:c r="H5" s="296" t="n">
        <x:v>5</x:v>
      </x:c>
      <x:c r="I5" s="296" t="n">
        <x:f>SUM(B5:F5)</x:f>
        <x:v>137</x:v>
      </x:c>
      <x:c r="J5" s="296" t="n">
        <x:f>MOD(B5,2)+MOD(C5,2)+MOD(D5,2)+MOD(E5,2)+MOD(F5,2)</x:f>
        <x:v>3</x:v>
      </x:c>
      <x:c r="K5" s="296" t="n">
        <x:f>COUNTIF(B5:F5,"&gt;31")</x:f>
        <x:v>2</x:v>
      </x:c>
      <x:c r="L5" s="336" t="n">
        <x:f>1/'Executive Summary'!$B$24</x:f>
        <x:v>7.1511238420185165e-9</x:v>
      </x:c>
      <x:c r="M5" s="342" t="n">
        <x:f>2.5</x:f>
        <x:v>2.5</x:v>
      </x:c>
      <x:c r="N5" s="288" t="str">
        <x:v>Conditional coverage wheel</x:v>
      </x:c>
    </x:row>
    <x:row r="6">
      <x:c r="A6" s="295" t="n">
        <x:v>2</x:v>
      </x:c>
      <x:c r="B6" s="296" t="n">
        <x:v>4</x:v>
      </x:c>
      <x:c r="C6" s="296" t="n">
        <x:v>21</x:v>
      </x:c>
      <x:c r="D6" s="296" t="n">
        <x:v>27</x:v>
      </x:c>
      <x:c r="E6" s="296" t="n">
        <x:v>35</x:v>
      </x:c>
      <x:c r="F6" s="296" t="n">
        <x:v>50</x:v>
      </x:c>
      <x:c r="G6" s="296" t="n">
        <x:v>3</x:v>
      </x:c>
      <x:c r="H6" s="296" t="n">
        <x:v>7</x:v>
      </x:c>
      <x:c r="I6" s="296" t="n">
        <x:f>SUM(B6:F6)</x:f>
        <x:v>137</x:v>
      </x:c>
      <x:c r="J6" s="296" t="n">
        <x:f>MOD(B6,2)+MOD(C6,2)+MOD(D6,2)+MOD(E6,2)+MOD(F6,2)</x:f>
        <x:v>3</x:v>
      </x:c>
      <x:c r="K6" s="296" t="n">
        <x:f>COUNTIF(B6:F6,"&gt;31")</x:f>
        <x:v>2</x:v>
      </x:c>
      <x:c r="L6" s="336" t="n">
        <x:f>1/'Executive Summary'!$B$24</x:f>
        <x:v>7.1511238420185165e-9</x:v>
      </x:c>
      <x:c r="M6" s="342" t="n">
        <x:f>2.5</x:f>
        <x:v>2.5</x:v>
      </x:c>
      <x:c r="N6" s="288" t="str">
        <x:v>Conditional coverage wheel</x:v>
      </x:c>
    </x:row>
    <x:row r="7">
      <x:c r="A7" s="295" t="n">
        <x:v>3</x:v>
      </x:c>
      <x:c r="B7" s="296" t="n">
        <x:v>4</x:v>
      </x:c>
      <x:c r="C7" s="296" t="n">
        <x:v>21</x:v>
      </x:c>
      <x:c r="D7" s="296" t="n">
        <x:v>27</x:v>
      </x:c>
      <x:c r="E7" s="296" t="n">
        <x:v>35</x:v>
      </x:c>
      <x:c r="F7" s="296" t="n">
        <x:v>50</x:v>
      </x:c>
      <x:c r="G7" s="296" t="n">
        <x:v>3</x:v>
      </x:c>
      <x:c r="H7" s="296" t="n">
        <x:v>9</x:v>
      </x:c>
      <x:c r="I7" s="296" t="n">
        <x:f>SUM(B7:F7)</x:f>
        <x:v>137</x:v>
      </x:c>
      <x:c r="J7" s="296" t="n">
        <x:f>MOD(B7,2)+MOD(C7,2)+MOD(D7,2)+MOD(E7,2)+MOD(F7,2)</x:f>
        <x:v>3</x:v>
      </x:c>
      <x:c r="K7" s="296" t="n">
        <x:f>COUNTIF(B7:F7,"&gt;31")</x:f>
        <x:v>2</x:v>
      </x:c>
      <x:c r="L7" s="336" t="n">
        <x:f>1/'Executive Summary'!$B$24</x:f>
        <x:v>7.1511238420185165e-9</x:v>
      </x:c>
      <x:c r="M7" s="342" t="n">
        <x:f>2.5</x:f>
        <x:v>2.5</x:v>
      </x:c>
      <x:c r="N7" s="288" t="str">
        <x:v>Conditional coverage wheel</x:v>
      </x:c>
    </x:row>
    <x:row r="8">
      <x:c r="A8" s="295" t="n">
        <x:v>4</x:v>
      </x:c>
      <x:c r="B8" s="296" t="n">
        <x:v>4</x:v>
      </x:c>
      <x:c r="C8" s="296" t="n">
        <x:v>21</x:v>
      </x:c>
      <x:c r="D8" s="296" t="n">
        <x:v>27</x:v>
      </x:c>
      <x:c r="E8" s="296" t="n">
        <x:v>35</x:v>
      </x:c>
      <x:c r="F8" s="296" t="n">
        <x:v>50</x:v>
      </x:c>
      <x:c r="G8" s="296" t="n">
        <x:v>5</x:v>
      </x:c>
      <x:c r="H8" s="296" t="n">
        <x:v>7</x:v>
      </x:c>
      <x:c r="I8" s="296" t="n">
        <x:f>SUM(B8:F8)</x:f>
        <x:v>137</x:v>
      </x:c>
      <x:c r="J8" s="296" t="n">
        <x:f>MOD(B8,2)+MOD(C8,2)+MOD(D8,2)+MOD(E8,2)+MOD(F8,2)</x:f>
        <x:v>3</x:v>
      </x:c>
      <x:c r="K8" s="296" t="n">
        <x:f>COUNTIF(B8:F8,"&gt;31")</x:f>
        <x:v>2</x:v>
      </x:c>
      <x:c r="L8" s="336" t="n">
        <x:f>1/'Executive Summary'!$B$24</x:f>
        <x:v>7.1511238420185165e-9</x:v>
      </x:c>
      <x:c r="M8" s="342" t="n">
        <x:f>2.5</x:f>
        <x:v>2.5</x:v>
      </x:c>
      <x:c r="N8" s="288" t="str">
        <x:v>Conditional coverage wheel</x:v>
      </x:c>
    </x:row>
    <x:row r="9">
      <x:c r="A9" s="295" t="n">
        <x:v>5</x:v>
      </x:c>
      <x:c r="B9" s="296" t="n">
        <x:v>4</x:v>
      </x:c>
      <x:c r="C9" s="296" t="n">
        <x:v>21</x:v>
      </x:c>
      <x:c r="D9" s="296" t="n">
        <x:v>27</x:v>
      </x:c>
      <x:c r="E9" s="296" t="n">
        <x:v>35</x:v>
      </x:c>
      <x:c r="F9" s="296" t="n">
        <x:v>50</x:v>
      </x:c>
      <x:c r="G9" s="296" t="n">
        <x:v>5</x:v>
      </x:c>
      <x:c r="H9" s="296" t="n">
        <x:v>9</x:v>
      </x:c>
      <x:c r="I9" s="296" t="n">
        <x:f>SUM(B9:F9)</x:f>
        <x:v>137</x:v>
      </x:c>
      <x:c r="J9" s="296" t="n">
        <x:f>MOD(B9,2)+MOD(C9,2)+MOD(D9,2)+MOD(E9,2)+MOD(F9,2)</x:f>
        <x:v>3</x:v>
      </x:c>
      <x:c r="K9" s="296" t="n">
        <x:f>COUNTIF(B9:F9,"&gt;31")</x:f>
        <x:v>2</x:v>
      </x:c>
      <x:c r="L9" s="336" t="n">
        <x:f>1/'Executive Summary'!$B$24</x:f>
        <x:v>7.1511238420185165e-9</x:v>
      </x:c>
      <x:c r="M9" s="342" t="n">
        <x:f>2.5</x:f>
        <x:v>2.5</x:v>
      </x:c>
      <x:c r="N9" s="288" t="str">
        <x:v>Conditional coverage wheel</x:v>
      </x:c>
    </x:row>
    <x:row r="10">
      <x:c r="A10" s="295" t="n">
        <x:v>6</x:v>
      </x:c>
      <x:c r="B10" s="296" t="n">
        <x:v>4</x:v>
      </x:c>
      <x:c r="C10" s="296" t="n">
        <x:v>21</x:v>
      </x:c>
      <x:c r="D10" s="296" t="n">
        <x:v>27</x:v>
      </x:c>
      <x:c r="E10" s="296" t="n">
        <x:v>35</x:v>
      </x:c>
      <x:c r="F10" s="296" t="n">
        <x:v>50</x:v>
      </x:c>
      <x:c r="G10" s="296" t="n">
        <x:v>7</x:v>
      </x:c>
      <x:c r="H10" s="296" t="n">
        <x:v>9</x:v>
      </x:c>
      <x:c r="I10" s="296" t="n">
        <x:f>SUM(B10:F10)</x:f>
        <x:v>137</x:v>
      </x:c>
      <x:c r="J10" s="296" t="n">
        <x:f>MOD(B10,2)+MOD(C10,2)+MOD(D10,2)+MOD(E10,2)+MOD(F10,2)</x:f>
        <x:v>3</x:v>
      </x:c>
      <x:c r="K10" s="296" t="n">
        <x:f>COUNTIF(B10:F10,"&gt;31")</x:f>
        <x:v>2</x:v>
      </x:c>
      <x:c r="L10" s="336" t="n">
        <x:f>1/'Executive Summary'!$B$24</x:f>
        <x:v>7.1511238420185165e-9</x:v>
      </x:c>
      <x:c r="M10" s="342" t="n">
        <x:f>2.5</x:f>
        <x:v>2.5</x:v>
      </x:c>
      <x:c r="N10" s="288" t="str">
        <x:v>Conditional coverage wheel</x:v>
      </x:c>
    </x:row>
    <x:row r="11">
      <x:c r="A11" s="295" t="n">
        <x:v>7</x:v>
      </x:c>
      <x:c r="B11" s="296" t="n">
        <x:v>4</x:v>
      </x:c>
      <x:c r="C11" s="296" t="n">
        <x:v>21</x:v>
      </x:c>
      <x:c r="D11" s="296" t="n">
        <x:v>28</x:v>
      </x:c>
      <x:c r="E11" s="296" t="n">
        <x:v>37</x:v>
      </x:c>
      <x:c r="F11" s="296" t="n">
        <x:v>42</x:v>
      </x:c>
      <x:c r="G11" s="296" t="n">
        <x:v>3</x:v>
      </x:c>
      <x:c r="H11" s="296" t="n">
        <x:v>5</x:v>
      </x:c>
      <x:c r="I11" s="296" t="n">
        <x:f>SUM(B11:F11)</x:f>
        <x:v>132</x:v>
      </x:c>
      <x:c r="J11" s="296" t="n">
        <x:f>MOD(B11,2)+MOD(C11,2)+MOD(D11,2)+MOD(E11,2)+MOD(F11,2)</x:f>
        <x:v>2</x:v>
      </x:c>
      <x:c r="K11" s="296" t="n">
        <x:f>COUNTIF(B11:F11,"&gt;31")</x:f>
        <x:v>2</x:v>
      </x:c>
      <x:c r="L11" s="336" t="n">
        <x:f>1/'Executive Summary'!$B$24</x:f>
        <x:v>7.1511238420185165e-9</x:v>
      </x:c>
      <x:c r="M11" s="342" t="n">
        <x:f>2.5</x:f>
        <x:v>2.5</x:v>
      </x:c>
      <x:c r="N11" s="288" t="str">
        <x:v>Conditional coverage wheel</x:v>
      </x:c>
    </x:row>
    <x:row r="12">
      <x:c r="A12" s="295" t="n">
        <x:v>8</x:v>
      </x:c>
      <x:c r="B12" s="296" t="n">
        <x:v>4</x:v>
      </x:c>
      <x:c r="C12" s="296" t="n">
        <x:v>21</x:v>
      </x:c>
      <x:c r="D12" s="296" t="n">
        <x:v>28</x:v>
      </x:c>
      <x:c r="E12" s="296" t="n">
        <x:v>37</x:v>
      </x:c>
      <x:c r="F12" s="296" t="n">
        <x:v>42</x:v>
      </x:c>
      <x:c r="G12" s="296" t="n">
        <x:v>3</x:v>
      </x:c>
      <x:c r="H12" s="296" t="n">
        <x:v>7</x:v>
      </x:c>
      <x:c r="I12" s="296" t="n">
        <x:f>SUM(B12:F12)</x:f>
        <x:v>132</x:v>
      </x:c>
      <x:c r="J12" s="296" t="n">
        <x:f>MOD(B12,2)+MOD(C12,2)+MOD(D12,2)+MOD(E12,2)+MOD(F12,2)</x:f>
        <x:v>2</x:v>
      </x:c>
      <x:c r="K12" s="296" t="n">
        <x:f>COUNTIF(B12:F12,"&gt;31")</x:f>
        <x:v>2</x:v>
      </x:c>
      <x:c r="L12" s="336" t="n">
        <x:f>1/'Executive Summary'!$B$24</x:f>
        <x:v>7.1511238420185165e-9</x:v>
      </x:c>
      <x:c r="M12" s="342" t="n">
        <x:f>2.5</x:f>
        <x:v>2.5</x:v>
      </x:c>
      <x:c r="N12" s="288" t="str">
        <x:v>Conditional coverage wheel</x:v>
      </x:c>
    </x:row>
    <x:row r="13">
      <x:c r="A13" s="295" t="n">
        <x:v>9</x:v>
      </x:c>
      <x:c r="B13" s="296" t="n">
        <x:v>4</x:v>
      </x:c>
      <x:c r="C13" s="296" t="n">
        <x:v>21</x:v>
      </x:c>
      <x:c r="D13" s="296" t="n">
        <x:v>28</x:v>
      </x:c>
      <x:c r="E13" s="296" t="n">
        <x:v>37</x:v>
      </x:c>
      <x:c r="F13" s="296" t="n">
        <x:v>42</x:v>
      </x:c>
      <x:c r="G13" s="296" t="n">
        <x:v>3</x:v>
      </x:c>
      <x:c r="H13" s="296" t="n">
        <x:v>9</x:v>
      </x:c>
      <x:c r="I13" s="296" t="n">
        <x:f>SUM(B13:F13)</x:f>
        <x:v>132</x:v>
      </x:c>
      <x:c r="J13" s="296" t="n">
        <x:f>MOD(B13,2)+MOD(C13,2)+MOD(D13,2)+MOD(E13,2)+MOD(F13,2)</x:f>
        <x:v>2</x:v>
      </x:c>
      <x:c r="K13" s="296" t="n">
        <x:f>COUNTIF(B13:F13,"&gt;31")</x:f>
        <x:v>2</x:v>
      </x:c>
      <x:c r="L13" s="336" t="n">
        <x:f>1/'Executive Summary'!$B$24</x:f>
        <x:v>7.1511238420185165e-9</x:v>
      </x:c>
      <x:c r="M13" s="342" t="n">
        <x:f>2.5</x:f>
        <x:v>2.5</x:v>
      </x:c>
      <x:c r="N13" s="288" t="str">
        <x:v>Conditional coverage wheel</x:v>
      </x:c>
    </x:row>
    <x:row r="14">
      <x:c r="A14" s="295" t="n">
        <x:v>10</x:v>
      </x:c>
      <x:c r="B14" s="296" t="n">
        <x:v>4</x:v>
      </x:c>
      <x:c r="C14" s="296" t="n">
        <x:v>21</x:v>
      </x:c>
      <x:c r="D14" s="296" t="n">
        <x:v>28</x:v>
      </x:c>
      <x:c r="E14" s="296" t="n">
        <x:v>37</x:v>
      </x:c>
      <x:c r="F14" s="296" t="n">
        <x:v>42</x:v>
      </x:c>
      <x:c r="G14" s="296" t="n">
        <x:v>5</x:v>
      </x:c>
      <x:c r="H14" s="296" t="n">
        <x:v>7</x:v>
      </x:c>
      <x:c r="I14" s="296" t="n">
        <x:f>SUM(B14:F14)</x:f>
        <x:v>132</x:v>
      </x:c>
      <x:c r="J14" s="296" t="n">
        <x:f>MOD(B14,2)+MOD(C14,2)+MOD(D14,2)+MOD(E14,2)+MOD(F14,2)</x:f>
        <x:v>2</x:v>
      </x:c>
      <x:c r="K14" s="296" t="n">
        <x:f>COUNTIF(B14:F14,"&gt;31")</x:f>
        <x:v>2</x:v>
      </x:c>
      <x:c r="L14" s="336" t="n">
        <x:f>1/'Executive Summary'!$B$24</x:f>
        <x:v>7.1511238420185165e-9</x:v>
      </x:c>
      <x:c r="M14" s="342" t="n">
        <x:f>2.5</x:f>
        <x:v>2.5</x:v>
      </x:c>
      <x:c r="N14" s="288" t="str">
        <x:v>Conditional coverage wheel</x:v>
      </x:c>
    </x:row>
    <x:row r="15">
      <x:c r="A15" s="295" t="n">
        <x:v>11</x:v>
      </x:c>
      <x:c r="B15" s="296" t="n">
        <x:v>4</x:v>
      </x:c>
      <x:c r="C15" s="296" t="n">
        <x:v>21</x:v>
      </x:c>
      <x:c r="D15" s="296" t="n">
        <x:v>28</x:v>
      </x:c>
      <x:c r="E15" s="296" t="n">
        <x:v>37</x:v>
      </x:c>
      <x:c r="F15" s="296" t="n">
        <x:v>42</x:v>
      </x:c>
      <x:c r="G15" s="296" t="n">
        <x:v>5</x:v>
      </x:c>
      <x:c r="H15" s="296" t="n">
        <x:v>9</x:v>
      </x:c>
      <x:c r="I15" s="296" t="n">
        <x:f>SUM(B15:F15)</x:f>
        <x:v>132</x:v>
      </x:c>
      <x:c r="J15" s="296" t="n">
        <x:f>MOD(B15,2)+MOD(C15,2)+MOD(D15,2)+MOD(E15,2)+MOD(F15,2)</x:f>
        <x:v>2</x:v>
      </x:c>
      <x:c r="K15" s="296" t="n">
        <x:f>COUNTIF(B15:F15,"&gt;31")</x:f>
        <x:v>2</x:v>
      </x:c>
      <x:c r="L15" s="336" t="n">
        <x:f>1/'Executive Summary'!$B$24</x:f>
        <x:v>7.1511238420185165e-9</x:v>
      </x:c>
      <x:c r="M15" s="342" t="n">
        <x:f>2.5</x:f>
        <x:v>2.5</x:v>
      </x:c>
      <x:c r="N15" s="288" t="str">
        <x:v>Conditional coverage wheel</x:v>
      </x:c>
    </x:row>
    <x:row r="16">
      <x:c r="A16" s="295" t="n">
        <x:v>12</x:v>
      </x:c>
      <x:c r="B16" s="296" t="n">
        <x:v>4</x:v>
      </x:c>
      <x:c r="C16" s="296" t="n">
        <x:v>21</x:v>
      </x:c>
      <x:c r="D16" s="296" t="n">
        <x:v>28</x:v>
      </x:c>
      <x:c r="E16" s="296" t="n">
        <x:v>37</x:v>
      </x:c>
      <x:c r="F16" s="296" t="n">
        <x:v>42</x:v>
      </x:c>
      <x:c r="G16" s="296" t="n">
        <x:v>7</x:v>
      </x:c>
      <x:c r="H16" s="296" t="n">
        <x:v>9</x:v>
      </x:c>
      <x:c r="I16" s="296" t="n">
        <x:f>SUM(B16:F16)</x:f>
        <x:v>132</x:v>
      </x:c>
      <x:c r="J16" s="296" t="n">
        <x:f>MOD(B16,2)+MOD(C16,2)+MOD(D16,2)+MOD(E16,2)+MOD(F16,2)</x:f>
        <x:v>2</x:v>
      </x:c>
      <x:c r="K16" s="296" t="n">
        <x:f>COUNTIF(B16:F16,"&gt;31")</x:f>
        <x:v>2</x:v>
      </x:c>
      <x:c r="L16" s="336" t="n">
        <x:f>1/'Executive Summary'!$B$24</x:f>
        <x:v>7.1511238420185165e-9</x:v>
      </x:c>
      <x:c r="M16" s="342" t="n">
        <x:f>2.5</x:f>
        <x:v>2.5</x:v>
      </x:c>
      <x:c r="N16" s="288" t="str">
        <x:v>Conditional coverage wheel</x:v>
      </x:c>
    </x:row>
    <x:row r="17">
      <x:c r="A17" s="295" t="n">
        <x:v>13</x:v>
      </x:c>
      <x:c r="B17" s="296" t="n">
        <x:v>4</x:v>
      </x:c>
      <x:c r="C17" s="296" t="n">
        <x:v>21</x:v>
      </x:c>
      <x:c r="D17" s="296" t="n">
        <x:v>36</x:v>
      </x:c>
      <x:c r="E17" s="296" t="n">
        <x:v>44</x:v>
      </x:c>
      <x:c r="F17" s="296" t="n">
        <x:v>48</x:v>
      </x:c>
      <x:c r="G17" s="296" t="n">
        <x:v>3</x:v>
      </x:c>
      <x:c r="H17" s="296" t="n">
        <x:v>5</x:v>
      </x:c>
      <x:c r="I17" s="296" t="n">
        <x:f>SUM(B17:F17)</x:f>
        <x:v>153</x:v>
      </x:c>
      <x:c r="J17" s="296" t="n">
        <x:f>MOD(B17,2)+MOD(C17,2)+MOD(D17,2)+MOD(E17,2)+MOD(F17,2)</x:f>
        <x:v>1</x:v>
      </x:c>
      <x:c r="K17" s="296" t="n">
        <x:f>COUNTIF(B17:F17,"&gt;31")</x:f>
        <x:v>3</x:v>
      </x:c>
      <x:c r="L17" s="336" t="n">
        <x:f>1/'Executive Summary'!$B$24</x:f>
        <x:v>7.1511238420185165e-9</x:v>
      </x:c>
      <x:c r="M17" s="342" t="n">
        <x:f>2.5</x:f>
        <x:v>2.5</x:v>
      </x:c>
      <x:c r="N17" s="288" t="str">
        <x:v>Conditional coverage wheel</x:v>
      </x:c>
    </x:row>
    <x:row r="18">
      <x:c r="A18" s="295" t="n">
        <x:v>14</x:v>
      </x:c>
      <x:c r="B18" s="296" t="n">
        <x:v>4</x:v>
      </x:c>
      <x:c r="C18" s="296" t="n">
        <x:v>21</x:v>
      </x:c>
      <x:c r="D18" s="296" t="n">
        <x:v>36</x:v>
      </x:c>
      <x:c r="E18" s="296" t="n">
        <x:v>44</x:v>
      </x:c>
      <x:c r="F18" s="296" t="n">
        <x:v>48</x:v>
      </x:c>
      <x:c r="G18" s="296" t="n">
        <x:v>3</x:v>
      </x:c>
      <x:c r="H18" s="296" t="n">
        <x:v>7</x:v>
      </x:c>
      <x:c r="I18" s="296" t="n">
        <x:f>SUM(B18:F18)</x:f>
        <x:v>153</x:v>
      </x:c>
      <x:c r="J18" s="296" t="n">
        <x:f>MOD(B18,2)+MOD(C18,2)+MOD(D18,2)+MOD(E18,2)+MOD(F18,2)</x:f>
        <x:v>1</x:v>
      </x:c>
      <x:c r="K18" s="296" t="n">
        <x:f>COUNTIF(B18:F18,"&gt;31")</x:f>
        <x:v>3</x:v>
      </x:c>
      <x:c r="L18" s="336" t="n">
        <x:f>1/'Executive Summary'!$B$24</x:f>
        <x:v>7.1511238420185165e-9</x:v>
      </x:c>
      <x:c r="M18" s="342" t="n">
        <x:f>2.5</x:f>
        <x:v>2.5</x:v>
      </x:c>
      <x:c r="N18" s="288" t="str">
        <x:v>Conditional coverage wheel</x:v>
      </x:c>
    </x:row>
    <x:row r="19">
      <x:c r="A19" s="295" t="n">
        <x:v>15</x:v>
      </x:c>
      <x:c r="B19" s="296" t="n">
        <x:v>4</x:v>
      </x:c>
      <x:c r="C19" s="296" t="n">
        <x:v>21</x:v>
      </x:c>
      <x:c r="D19" s="296" t="n">
        <x:v>36</x:v>
      </x:c>
      <x:c r="E19" s="296" t="n">
        <x:v>44</x:v>
      </x:c>
      <x:c r="F19" s="296" t="n">
        <x:v>48</x:v>
      </x:c>
      <x:c r="G19" s="296" t="n">
        <x:v>3</x:v>
      </x:c>
      <x:c r="H19" s="296" t="n">
        <x:v>9</x:v>
      </x:c>
      <x:c r="I19" s="296" t="n">
        <x:f>SUM(B19:F19)</x:f>
        <x:v>153</x:v>
      </x:c>
      <x:c r="J19" s="296" t="n">
        <x:f>MOD(B19,2)+MOD(C19,2)+MOD(D19,2)+MOD(E19,2)+MOD(F19,2)</x:f>
        <x:v>1</x:v>
      </x:c>
      <x:c r="K19" s="296" t="n">
        <x:f>COUNTIF(B19:F19,"&gt;31")</x:f>
        <x:v>3</x:v>
      </x:c>
      <x:c r="L19" s="336" t="n">
        <x:f>1/'Executive Summary'!$B$24</x:f>
        <x:v>7.1511238420185165e-9</x:v>
      </x:c>
      <x:c r="M19" s="342" t="n">
        <x:f>2.5</x:f>
        <x:v>2.5</x:v>
      </x:c>
      <x:c r="N19" s="288" t="str">
        <x:v>Conditional coverage wheel</x:v>
      </x:c>
    </x:row>
    <x:row r="20">
      <x:c r="A20" s="295" t="n">
        <x:v>16</x:v>
      </x:c>
      <x:c r="B20" s="296" t="n">
        <x:v>4</x:v>
      </x:c>
      <x:c r="C20" s="296" t="n">
        <x:v>21</x:v>
      </x:c>
      <x:c r="D20" s="296" t="n">
        <x:v>36</x:v>
      </x:c>
      <x:c r="E20" s="296" t="n">
        <x:v>44</x:v>
      </x:c>
      <x:c r="F20" s="296" t="n">
        <x:v>48</x:v>
      </x:c>
      <x:c r="G20" s="296" t="n">
        <x:v>5</x:v>
      </x:c>
      <x:c r="H20" s="296" t="n">
        <x:v>7</x:v>
      </x:c>
      <x:c r="I20" s="296" t="n">
        <x:f>SUM(B20:F20)</x:f>
        <x:v>153</x:v>
      </x:c>
      <x:c r="J20" s="296" t="n">
        <x:f>MOD(B20,2)+MOD(C20,2)+MOD(D20,2)+MOD(E20,2)+MOD(F20,2)</x:f>
        <x:v>1</x:v>
      </x:c>
      <x:c r="K20" s="296" t="n">
        <x:f>COUNTIF(B20:F20,"&gt;31")</x:f>
        <x:v>3</x:v>
      </x:c>
      <x:c r="L20" s="336" t="n">
        <x:f>1/'Executive Summary'!$B$24</x:f>
        <x:v>7.1511238420185165e-9</x:v>
      </x:c>
      <x:c r="M20" s="342" t="n">
        <x:f>2.5</x:f>
        <x:v>2.5</x:v>
      </x:c>
      <x:c r="N20" s="288" t="str">
        <x:v>Conditional coverage wheel</x:v>
      </x:c>
    </x:row>
    <x:row r="21">
      <x:c r="A21" s="295" t="n">
        <x:v>17</x:v>
      </x:c>
      <x:c r="B21" s="296" t="n">
        <x:v>4</x:v>
      </x:c>
      <x:c r="C21" s="296" t="n">
        <x:v>21</x:v>
      </x:c>
      <x:c r="D21" s="296" t="n">
        <x:v>36</x:v>
      </x:c>
      <x:c r="E21" s="296" t="n">
        <x:v>44</x:v>
      </x:c>
      <x:c r="F21" s="296" t="n">
        <x:v>48</x:v>
      </x:c>
      <x:c r="G21" s="296" t="n">
        <x:v>5</x:v>
      </x:c>
      <x:c r="H21" s="296" t="n">
        <x:v>9</x:v>
      </x:c>
      <x:c r="I21" s="296" t="n">
        <x:f>SUM(B21:F21)</x:f>
        <x:v>153</x:v>
      </x:c>
      <x:c r="J21" s="296" t="n">
        <x:f>MOD(B21,2)+MOD(C21,2)+MOD(D21,2)+MOD(E21,2)+MOD(F21,2)</x:f>
        <x:v>1</x:v>
      </x:c>
      <x:c r="K21" s="296" t="n">
        <x:f>COUNTIF(B21:F21,"&gt;31")</x:f>
        <x:v>3</x:v>
      </x:c>
      <x:c r="L21" s="336" t="n">
        <x:f>1/'Executive Summary'!$B$24</x:f>
        <x:v>7.1511238420185165e-9</x:v>
      </x:c>
      <x:c r="M21" s="342" t="n">
        <x:f>2.5</x:f>
        <x:v>2.5</x:v>
      </x:c>
      <x:c r="N21" s="288" t="str">
        <x:v>Conditional coverage wheel</x:v>
      </x:c>
    </x:row>
    <x:row r="22">
      <x:c r="A22" s="295" t="n">
        <x:v>18</x:v>
      </x:c>
      <x:c r="B22" s="296" t="n">
        <x:v>4</x:v>
      </x:c>
      <x:c r="C22" s="296" t="n">
        <x:v>21</x:v>
      </x:c>
      <x:c r="D22" s="296" t="n">
        <x:v>36</x:v>
      </x:c>
      <x:c r="E22" s="296" t="n">
        <x:v>44</x:v>
      </x:c>
      <x:c r="F22" s="296" t="n">
        <x:v>48</x:v>
      </x:c>
      <x:c r="G22" s="296" t="n">
        <x:v>7</x:v>
      </x:c>
      <x:c r="H22" s="296" t="n">
        <x:v>9</x:v>
      </x:c>
      <x:c r="I22" s="296" t="n">
        <x:f>SUM(B22:F22)</x:f>
        <x:v>153</x:v>
      </x:c>
      <x:c r="J22" s="296" t="n">
        <x:f>MOD(B22,2)+MOD(C22,2)+MOD(D22,2)+MOD(E22,2)+MOD(F22,2)</x:f>
        <x:v>1</x:v>
      </x:c>
      <x:c r="K22" s="296" t="n">
        <x:f>COUNTIF(B22:F22,"&gt;31")</x:f>
        <x:v>3</x:v>
      </x:c>
      <x:c r="L22" s="336" t="n">
        <x:f>1/'Executive Summary'!$B$24</x:f>
        <x:v>7.1511238420185165e-9</x:v>
      </x:c>
      <x:c r="M22" s="342" t="n">
        <x:f>2.5</x:f>
        <x:v>2.5</x:v>
      </x:c>
      <x:c r="N22" s="288" t="str">
        <x:v>Conditional coverage wheel</x:v>
      </x:c>
    </x:row>
    <x:row r="23">
      <x:c r="A23" s="295" t="n">
        <x:v>19</x:v>
      </x:c>
      <x:c r="B23" s="296" t="n">
        <x:v>4</x:v>
      </x:c>
      <x:c r="C23" s="296" t="n">
        <x:v>25</x:v>
      </x:c>
      <x:c r="D23" s="296" t="n">
        <x:v>37</x:v>
      </x:c>
      <x:c r="E23" s="296" t="n">
        <x:v>44</x:v>
      </x:c>
      <x:c r="F23" s="296" t="n">
        <x:v>48</x:v>
      </x:c>
      <x:c r="G23" s="296" t="n">
        <x:v>3</x:v>
      </x:c>
      <x:c r="H23" s="296" t="n">
        <x:v>5</x:v>
      </x:c>
      <x:c r="I23" s="296" t="n">
        <x:f>SUM(B23:F23)</x:f>
        <x:v>158</x:v>
      </x:c>
      <x:c r="J23" s="296" t="n">
        <x:f>MOD(B23,2)+MOD(C23,2)+MOD(D23,2)+MOD(E23,2)+MOD(F23,2)</x:f>
        <x:v>2</x:v>
      </x:c>
      <x:c r="K23" s="296" t="n">
        <x:f>COUNTIF(B23:F23,"&gt;31")</x:f>
        <x:v>3</x:v>
      </x:c>
      <x:c r="L23" s="336" t="n">
        <x:f>1/'Executive Summary'!$B$24</x:f>
        <x:v>7.1511238420185165e-9</x:v>
      </x:c>
      <x:c r="M23" s="342" t="n">
        <x:f>2.5</x:f>
        <x:v>2.5</x:v>
      </x:c>
      <x:c r="N23" s="288" t="str">
        <x:v>Conditional coverage wheel</x:v>
      </x:c>
    </x:row>
    <x:row r="24">
      <x:c r="A24" s="295" t="n">
        <x:v>20</x:v>
      </x:c>
      <x:c r="B24" s="296" t="n">
        <x:v>4</x:v>
      </x:c>
      <x:c r="C24" s="296" t="n">
        <x:v>25</x:v>
      </x:c>
      <x:c r="D24" s="296" t="n">
        <x:v>37</x:v>
      </x:c>
      <x:c r="E24" s="296" t="n">
        <x:v>44</x:v>
      </x:c>
      <x:c r="F24" s="296" t="n">
        <x:v>48</x:v>
      </x:c>
      <x:c r="G24" s="296" t="n">
        <x:v>3</x:v>
      </x:c>
      <x:c r="H24" s="296" t="n">
        <x:v>7</x:v>
      </x:c>
      <x:c r="I24" s="296" t="n">
        <x:f>SUM(B24:F24)</x:f>
        <x:v>158</x:v>
      </x:c>
      <x:c r="J24" s="296" t="n">
        <x:f>MOD(B24,2)+MOD(C24,2)+MOD(D24,2)+MOD(E24,2)+MOD(F24,2)</x:f>
        <x:v>2</x:v>
      </x:c>
      <x:c r="K24" s="296" t="n">
        <x:f>COUNTIF(B24:F24,"&gt;31")</x:f>
        <x:v>3</x:v>
      </x:c>
      <x:c r="L24" s="336" t="n">
        <x:f>1/'Executive Summary'!$B$24</x:f>
        <x:v>7.1511238420185165e-9</x:v>
      </x:c>
      <x:c r="M24" s="342" t="n">
        <x:f>2.5</x:f>
        <x:v>2.5</x:v>
      </x:c>
      <x:c r="N24" s="288" t="str">
        <x:v>Conditional coverage wheel</x:v>
      </x:c>
    </x:row>
    <x:row r="25">
      <x:c r="A25" s="295" t="n">
        <x:v>21</x:v>
      </x:c>
      <x:c r="B25" s="296" t="n">
        <x:v>4</x:v>
      </x:c>
      <x:c r="C25" s="296" t="n">
        <x:v>25</x:v>
      </x:c>
      <x:c r="D25" s="296" t="n">
        <x:v>37</x:v>
      </x:c>
      <x:c r="E25" s="296" t="n">
        <x:v>44</x:v>
      </x:c>
      <x:c r="F25" s="296" t="n">
        <x:v>48</x:v>
      </x:c>
      <x:c r="G25" s="296" t="n">
        <x:v>3</x:v>
      </x:c>
      <x:c r="H25" s="296" t="n">
        <x:v>9</x:v>
      </x:c>
      <x:c r="I25" s="296" t="n">
        <x:f>SUM(B25:F25)</x:f>
        <x:v>158</x:v>
      </x:c>
      <x:c r="J25" s="296" t="n">
        <x:f>MOD(B25,2)+MOD(C25,2)+MOD(D25,2)+MOD(E25,2)+MOD(F25,2)</x:f>
        <x:v>2</x:v>
      </x:c>
      <x:c r="K25" s="296" t="n">
        <x:f>COUNTIF(B25:F25,"&gt;31")</x:f>
        <x:v>3</x:v>
      </x:c>
      <x:c r="L25" s="336" t="n">
        <x:f>1/'Executive Summary'!$B$24</x:f>
        <x:v>7.1511238420185165e-9</x:v>
      </x:c>
      <x:c r="M25" s="342" t="n">
        <x:f>2.5</x:f>
        <x:v>2.5</x:v>
      </x:c>
      <x:c r="N25" s="288" t="str">
        <x:v>Conditional coverage wheel</x:v>
      </x:c>
    </x:row>
    <x:row r="26">
      <x:c r="A26" s="295" t="n">
        <x:v>22</x:v>
      </x:c>
      <x:c r="B26" s="296" t="n">
        <x:v>4</x:v>
      </x:c>
      <x:c r="C26" s="296" t="n">
        <x:v>25</x:v>
      </x:c>
      <x:c r="D26" s="296" t="n">
        <x:v>37</x:v>
      </x:c>
      <x:c r="E26" s="296" t="n">
        <x:v>44</x:v>
      </x:c>
      <x:c r="F26" s="296" t="n">
        <x:v>48</x:v>
      </x:c>
      <x:c r="G26" s="296" t="n">
        <x:v>5</x:v>
      </x:c>
      <x:c r="H26" s="296" t="n">
        <x:v>7</x:v>
      </x:c>
      <x:c r="I26" s="296" t="n">
        <x:f>SUM(B26:F26)</x:f>
        <x:v>158</x:v>
      </x:c>
      <x:c r="J26" s="296" t="n">
        <x:f>MOD(B26,2)+MOD(C26,2)+MOD(D26,2)+MOD(E26,2)+MOD(F26,2)</x:f>
        <x:v>2</x:v>
      </x:c>
      <x:c r="K26" s="296" t="n">
        <x:f>COUNTIF(B26:F26,"&gt;31")</x:f>
        <x:v>3</x:v>
      </x:c>
      <x:c r="L26" s="336" t="n">
        <x:f>1/'Executive Summary'!$B$24</x:f>
        <x:v>7.1511238420185165e-9</x:v>
      </x:c>
      <x:c r="M26" s="342" t="n">
        <x:f>2.5</x:f>
        <x:v>2.5</x:v>
      </x:c>
      <x:c r="N26" s="288" t="str">
        <x:v>Conditional coverage wheel</x:v>
      </x:c>
    </x:row>
    <x:row r="27">
      <x:c r="A27" s="295" t="n">
        <x:v>23</x:v>
      </x:c>
      <x:c r="B27" s="296" t="n">
        <x:v>4</x:v>
      </x:c>
      <x:c r="C27" s="296" t="n">
        <x:v>25</x:v>
      </x:c>
      <x:c r="D27" s="296" t="n">
        <x:v>37</x:v>
      </x:c>
      <x:c r="E27" s="296" t="n">
        <x:v>44</x:v>
      </x:c>
      <x:c r="F27" s="296" t="n">
        <x:v>48</x:v>
      </x:c>
      <x:c r="G27" s="296" t="n">
        <x:v>5</x:v>
      </x:c>
      <x:c r="H27" s="296" t="n">
        <x:v>9</x:v>
      </x:c>
      <x:c r="I27" s="296" t="n">
        <x:f>SUM(B27:F27)</x:f>
        <x:v>158</x:v>
      </x:c>
      <x:c r="J27" s="296" t="n">
        <x:f>MOD(B27,2)+MOD(C27,2)+MOD(D27,2)+MOD(E27,2)+MOD(F27,2)</x:f>
        <x:v>2</x:v>
      </x:c>
      <x:c r="K27" s="296" t="n">
        <x:f>COUNTIF(B27:F27,"&gt;31")</x:f>
        <x:v>3</x:v>
      </x:c>
      <x:c r="L27" s="336" t="n">
        <x:f>1/'Executive Summary'!$B$24</x:f>
        <x:v>7.1511238420185165e-9</x:v>
      </x:c>
      <x:c r="M27" s="342" t="n">
        <x:f>2.5</x:f>
        <x:v>2.5</x:v>
      </x:c>
      <x:c r="N27" s="288" t="str">
        <x:v>Conditional coverage wheel</x:v>
      </x:c>
    </x:row>
    <x:row r="28">
      <x:c r="A28" s="295" t="n">
        <x:v>24</x:v>
      </x:c>
      <x:c r="B28" s="296" t="n">
        <x:v>4</x:v>
      </x:c>
      <x:c r="C28" s="296" t="n">
        <x:v>25</x:v>
      </x:c>
      <x:c r="D28" s="296" t="n">
        <x:v>37</x:v>
      </x:c>
      <x:c r="E28" s="296" t="n">
        <x:v>44</x:v>
      </x:c>
      <x:c r="F28" s="296" t="n">
        <x:v>48</x:v>
      </x:c>
      <x:c r="G28" s="296" t="n">
        <x:v>7</x:v>
      </x:c>
      <x:c r="H28" s="296" t="n">
        <x:v>9</x:v>
      </x:c>
      <x:c r="I28" s="296" t="n">
        <x:f>SUM(B28:F28)</x:f>
        <x:v>158</x:v>
      </x:c>
      <x:c r="J28" s="296" t="n">
        <x:f>MOD(B28,2)+MOD(C28,2)+MOD(D28,2)+MOD(E28,2)+MOD(F28,2)</x:f>
        <x:v>2</x:v>
      </x:c>
      <x:c r="K28" s="296" t="n">
        <x:f>COUNTIF(B28:F28,"&gt;31")</x:f>
        <x:v>3</x:v>
      </x:c>
      <x:c r="L28" s="336" t="n">
        <x:f>1/'Executive Summary'!$B$24</x:f>
        <x:v>7.1511238420185165e-9</x:v>
      </x:c>
      <x:c r="M28" s="342" t="n">
        <x:f>2.5</x:f>
        <x:v>2.5</x:v>
      </x:c>
      <x:c r="N28" s="288" t="str">
        <x:v>Conditional coverage wheel</x:v>
      </x:c>
    </x:row>
    <x:row r="29">
      <x:c r="A29" s="295" t="n">
        <x:v>25</x:v>
      </x:c>
      <x:c r="B29" s="296" t="n">
        <x:v>21</x:v>
      </x:c>
      <x:c r="C29" s="296" t="n">
        <x:v>25</x:v>
      </x:c>
      <x:c r="D29" s="296" t="n">
        <x:v>28</x:v>
      </x:c>
      <x:c r="E29" s="296" t="n">
        <x:v>35</x:v>
      </x:c>
      <x:c r="F29" s="296" t="n">
        <x:v>50</x:v>
      </x:c>
      <x:c r="G29" s="296" t="n">
        <x:v>3</x:v>
      </x:c>
      <x:c r="H29" s="296" t="n">
        <x:v>5</x:v>
      </x:c>
      <x:c r="I29" s="296" t="n">
        <x:f>SUM(B29:F29)</x:f>
        <x:v>159</x:v>
      </x:c>
      <x:c r="J29" s="296" t="n">
        <x:f>MOD(B29,2)+MOD(C29,2)+MOD(D29,2)+MOD(E29,2)+MOD(F29,2)</x:f>
        <x:v>3</x:v>
      </x:c>
      <x:c r="K29" s="296" t="n">
        <x:f>COUNTIF(B29:F29,"&gt;31")</x:f>
        <x:v>2</x:v>
      </x:c>
      <x:c r="L29" s="336" t="n">
        <x:f>1/'Executive Summary'!$B$24</x:f>
        <x:v>7.1511238420185165e-9</x:v>
      </x:c>
      <x:c r="M29" s="342" t="n">
        <x:f>2.5</x:f>
        <x:v>2.5</x:v>
      </x:c>
      <x:c r="N29" s="288" t="str">
        <x:v>Conditional coverage wheel</x:v>
      </x:c>
    </x:row>
    <x:row r="30">
      <x:c r="A30" s="295" t="n">
        <x:v>26</x:v>
      </x:c>
      <x:c r="B30" s="296" t="n">
        <x:v>21</x:v>
      </x:c>
      <x:c r="C30" s="296" t="n">
        <x:v>25</x:v>
      </x:c>
      <x:c r="D30" s="296" t="n">
        <x:v>28</x:v>
      </x:c>
      <x:c r="E30" s="296" t="n">
        <x:v>35</x:v>
      </x:c>
      <x:c r="F30" s="296" t="n">
        <x:v>50</x:v>
      </x:c>
      <x:c r="G30" s="296" t="n">
        <x:v>3</x:v>
      </x:c>
      <x:c r="H30" s="296" t="n">
        <x:v>7</x:v>
      </x:c>
      <x:c r="I30" s="296" t="n">
        <x:f>SUM(B30:F30)</x:f>
        <x:v>159</x:v>
      </x:c>
      <x:c r="J30" s="296" t="n">
        <x:f>MOD(B30,2)+MOD(C30,2)+MOD(D30,2)+MOD(E30,2)+MOD(F30,2)</x:f>
        <x:v>3</x:v>
      </x:c>
      <x:c r="K30" s="296" t="n">
        <x:f>COUNTIF(B30:F30,"&gt;31")</x:f>
        <x:v>2</x:v>
      </x:c>
      <x:c r="L30" s="336" t="n">
        <x:f>1/'Executive Summary'!$B$24</x:f>
        <x:v>7.1511238420185165e-9</x:v>
      </x:c>
      <x:c r="M30" s="342" t="n">
        <x:f>2.5</x:f>
        <x:v>2.5</x:v>
      </x:c>
      <x:c r="N30" s="288" t="str">
        <x:v>Conditional coverage wheel</x:v>
      </x:c>
    </x:row>
    <x:row r="31">
      <x:c r="A31" s="295" t="n">
        <x:v>27</x:v>
      </x:c>
      <x:c r="B31" s="296" t="n">
        <x:v>21</x:v>
      </x:c>
      <x:c r="C31" s="296" t="n">
        <x:v>25</x:v>
      </x:c>
      <x:c r="D31" s="296" t="n">
        <x:v>28</x:v>
      </x:c>
      <x:c r="E31" s="296" t="n">
        <x:v>35</x:v>
      </x:c>
      <x:c r="F31" s="296" t="n">
        <x:v>50</x:v>
      </x:c>
      <x:c r="G31" s="296" t="n">
        <x:v>3</x:v>
      </x:c>
      <x:c r="H31" s="296" t="n">
        <x:v>9</x:v>
      </x:c>
      <x:c r="I31" s="296" t="n">
        <x:f>SUM(B31:F31)</x:f>
        <x:v>159</x:v>
      </x:c>
      <x:c r="J31" s="296" t="n">
        <x:f>MOD(B31,2)+MOD(C31,2)+MOD(D31,2)+MOD(E31,2)+MOD(F31,2)</x:f>
        <x:v>3</x:v>
      </x:c>
      <x:c r="K31" s="296" t="n">
        <x:f>COUNTIF(B31:F31,"&gt;31")</x:f>
        <x:v>2</x:v>
      </x:c>
      <x:c r="L31" s="336" t="n">
        <x:f>1/'Executive Summary'!$B$24</x:f>
        <x:v>7.1511238420185165e-9</x:v>
      </x:c>
      <x:c r="M31" s="342" t="n">
        <x:f>2.5</x:f>
        <x:v>2.5</x:v>
      </x:c>
      <x:c r="N31" s="288" t="str">
        <x:v>Conditional coverage wheel</x:v>
      </x:c>
    </x:row>
    <x:row r="32">
      <x:c r="A32" s="295" t="n">
        <x:v>28</x:v>
      </x:c>
      <x:c r="B32" s="296" t="n">
        <x:v>21</x:v>
      </x:c>
      <x:c r="C32" s="296" t="n">
        <x:v>25</x:v>
      </x:c>
      <x:c r="D32" s="296" t="n">
        <x:v>28</x:v>
      </x:c>
      <x:c r="E32" s="296" t="n">
        <x:v>35</x:v>
      </x:c>
      <x:c r="F32" s="296" t="n">
        <x:v>50</x:v>
      </x:c>
      <x:c r="G32" s="296" t="n">
        <x:v>5</x:v>
      </x:c>
      <x:c r="H32" s="296" t="n">
        <x:v>7</x:v>
      </x:c>
      <x:c r="I32" s="296" t="n">
        <x:f>SUM(B32:F32)</x:f>
        <x:v>159</x:v>
      </x:c>
      <x:c r="J32" s="296" t="n">
        <x:f>MOD(B32,2)+MOD(C32,2)+MOD(D32,2)+MOD(E32,2)+MOD(F32,2)</x:f>
        <x:v>3</x:v>
      </x:c>
      <x:c r="K32" s="296" t="n">
        <x:f>COUNTIF(B32:F32,"&gt;31")</x:f>
        <x:v>2</x:v>
      </x:c>
      <x:c r="L32" s="336" t="n">
        <x:f>1/'Executive Summary'!$B$24</x:f>
        <x:v>7.1511238420185165e-9</x:v>
      </x:c>
      <x:c r="M32" s="342" t="n">
        <x:f>2.5</x:f>
        <x:v>2.5</x:v>
      </x:c>
      <x:c r="N32" s="288" t="str">
        <x:v>Conditional coverage wheel</x:v>
      </x:c>
    </x:row>
    <x:row r="33">
      <x:c r="A33" s="295" t="n">
        <x:v>29</x:v>
      </x:c>
      <x:c r="B33" s="296" t="n">
        <x:v>21</x:v>
      </x:c>
      <x:c r="C33" s="296" t="n">
        <x:v>25</x:v>
      </x:c>
      <x:c r="D33" s="296" t="n">
        <x:v>28</x:v>
      </x:c>
      <x:c r="E33" s="296" t="n">
        <x:v>35</x:v>
      </x:c>
      <x:c r="F33" s="296" t="n">
        <x:v>50</x:v>
      </x:c>
      <x:c r="G33" s="296" t="n">
        <x:v>5</x:v>
      </x:c>
      <x:c r="H33" s="296" t="n">
        <x:v>9</x:v>
      </x:c>
      <x:c r="I33" s="296" t="n">
        <x:f>SUM(B33:F33)</x:f>
        <x:v>159</x:v>
      </x:c>
      <x:c r="J33" s="296" t="n">
        <x:f>MOD(B33,2)+MOD(C33,2)+MOD(D33,2)+MOD(E33,2)+MOD(F33,2)</x:f>
        <x:v>3</x:v>
      </x:c>
      <x:c r="K33" s="296" t="n">
        <x:f>COUNTIF(B33:F33,"&gt;31")</x:f>
        <x:v>2</x:v>
      </x:c>
      <x:c r="L33" s="336" t="n">
        <x:f>1/'Executive Summary'!$B$24</x:f>
        <x:v>7.1511238420185165e-9</x:v>
      </x:c>
      <x:c r="M33" s="342" t="n">
        <x:f>2.5</x:f>
        <x:v>2.5</x:v>
      </x:c>
      <x:c r="N33" s="288" t="str">
        <x:v>Conditional coverage wheel</x:v>
      </x:c>
    </x:row>
    <x:row r="34">
      <x:c r="A34" s="295" t="n">
        <x:v>30</x:v>
      </x:c>
      <x:c r="B34" s="296" t="n">
        <x:v>21</x:v>
      </x:c>
      <x:c r="C34" s="296" t="n">
        <x:v>25</x:v>
      </x:c>
      <x:c r="D34" s="296" t="n">
        <x:v>28</x:v>
      </x:c>
      <x:c r="E34" s="296" t="n">
        <x:v>35</x:v>
      </x:c>
      <x:c r="F34" s="296" t="n">
        <x:v>50</x:v>
      </x:c>
      <x:c r="G34" s="296" t="n">
        <x:v>7</x:v>
      </x:c>
      <x:c r="H34" s="296" t="n">
        <x:v>9</x:v>
      </x:c>
      <x:c r="I34" s="296" t="n">
        <x:f>SUM(B34:F34)</x:f>
        <x:v>159</x:v>
      </x:c>
      <x:c r="J34" s="296" t="n">
        <x:f>MOD(B34,2)+MOD(C34,2)+MOD(D34,2)+MOD(E34,2)+MOD(F34,2)</x:f>
        <x:v>3</x:v>
      </x:c>
      <x:c r="K34" s="296" t="n">
        <x:f>COUNTIF(B34:F34,"&gt;31")</x:f>
        <x:v>2</x:v>
      </x:c>
      <x:c r="L34" s="336" t="n">
        <x:f>1/'Executive Summary'!$B$24</x:f>
        <x:v>7.1511238420185165e-9</x:v>
      </x:c>
      <x:c r="M34" s="342" t="n">
        <x:f>2.5</x:f>
        <x:v>2.5</x:v>
      </x:c>
      <x:c r="N34" s="288" t="str">
        <x:v>Conditional coverage wheel</x:v>
      </x:c>
    </x:row>
    <x:row r="35">
      <x:c r="A35" s="295" t="n">
        <x:v>31</x:v>
      </x:c>
      <x:c r="B35" s="296" t="n">
        <x:v>25</x:v>
      </x:c>
      <x:c r="C35" s="296" t="n">
        <x:v>27</x:v>
      </x:c>
      <x:c r="D35" s="296" t="n">
        <x:v>28</x:v>
      </x:c>
      <x:c r="E35" s="296" t="n">
        <x:v>36</x:v>
      </x:c>
      <x:c r="F35" s="296" t="n">
        <x:v>42</x:v>
      </x:c>
      <x:c r="G35" s="296" t="n">
        <x:v>3</x:v>
      </x:c>
      <x:c r="H35" s="296" t="n">
        <x:v>5</x:v>
      </x:c>
      <x:c r="I35" s="296" t="n">
        <x:f>SUM(B35:F35)</x:f>
        <x:v>158</x:v>
      </x:c>
      <x:c r="J35" s="296" t="n">
        <x:f>MOD(B35,2)+MOD(C35,2)+MOD(D35,2)+MOD(E35,2)+MOD(F35,2)</x:f>
        <x:v>2</x:v>
      </x:c>
      <x:c r="K35" s="296" t="n">
        <x:f>COUNTIF(B35:F35,"&gt;31")</x:f>
        <x:v>2</x:v>
      </x:c>
      <x:c r="L35" s="336" t="n">
        <x:f>1/'Executive Summary'!$B$24</x:f>
        <x:v>7.1511238420185165e-9</x:v>
      </x:c>
      <x:c r="M35" s="342" t="n">
        <x:f>2.5</x:f>
        <x:v>2.5</x:v>
      </x:c>
      <x:c r="N35" s="288" t="str">
        <x:v>Conditional coverage wheel</x:v>
      </x:c>
    </x:row>
    <x:row r="36">
      <x:c r="A36" s="295" t="n">
        <x:v>32</x:v>
      </x:c>
      <x:c r="B36" s="296" t="n">
        <x:v>25</x:v>
      </x:c>
      <x:c r="C36" s="296" t="n">
        <x:v>27</x:v>
      </x:c>
      <x:c r="D36" s="296" t="n">
        <x:v>28</x:v>
      </x:c>
      <x:c r="E36" s="296" t="n">
        <x:v>36</x:v>
      </x:c>
      <x:c r="F36" s="296" t="n">
        <x:v>42</x:v>
      </x:c>
      <x:c r="G36" s="296" t="n">
        <x:v>3</x:v>
      </x:c>
      <x:c r="H36" s="296" t="n">
        <x:v>7</x:v>
      </x:c>
      <x:c r="I36" s="296" t="n">
        <x:f>SUM(B36:F36)</x:f>
        <x:v>158</x:v>
      </x:c>
      <x:c r="J36" s="296" t="n">
        <x:f>MOD(B36,2)+MOD(C36,2)+MOD(D36,2)+MOD(E36,2)+MOD(F36,2)</x:f>
        <x:v>2</x:v>
      </x:c>
      <x:c r="K36" s="296" t="n">
        <x:f>COUNTIF(B36:F36,"&gt;31")</x:f>
        <x:v>2</x:v>
      </x:c>
      <x:c r="L36" s="336" t="n">
        <x:f>1/'Executive Summary'!$B$24</x:f>
        <x:v>7.1511238420185165e-9</x:v>
      </x:c>
      <x:c r="M36" s="342" t="n">
        <x:f>2.5</x:f>
        <x:v>2.5</x:v>
      </x:c>
      <x:c r="N36" s="288" t="str">
        <x:v>Conditional coverage wheel</x:v>
      </x:c>
    </x:row>
    <x:row r="37">
      <x:c r="A37" s="295" t="n">
        <x:v>33</x:v>
      </x:c>
      <x:c r="B37" s="296" t="n">
        <x:v>25</x:v>
      </x:c>
      <x:c r="C37" s="296" t="n">
        <x:v>27</x:v>
      </x:c>
      <x:c r="D37" s="296" t="n">
        <x:v>28</x:v>
      </x:c>
      <x:c r="E37" s="296" t="n">
        <x:v>36</x:v>
      </x:c>
      <x:c r="F37" s="296" t="n">
        <x:v>42</x:v>
      </x:c>
      <x:c r="G37" s="296" t="n">
        <x:v>3</x:v>
      </x:c>
      <x:c r="H37" s="296" t="n">
        <x:v>9</x:v>
      </x:c>
      <x:c r="I37" s="296" t="n">
        <x:f>SUM(B37:F37)</x:f>
        <x:v>158</x:v>
      </x:c>
      <x:c r="J37" s="296" t="n">
        <x:f>MOD(B37,2)+MOD(C37,2)+MOD(D37,2)+MOD(E37,2)+MOD(F37,2)</x:f>
        <x:v>2</x:v>
      </x:c>
      <x:c r="K37" s="296" t="n">
        <x:f>COUNTIF(B37:F37,"&gt;31")</x:f>
        <x:v>2</x:v>
      </x:c>
      <x:c r="L37" s="336" t="n">
        <x:f>1/'Executive Summary'!$B$24</x:f>
        <x:v>7.1511238420185165e-9</x:v>
      </x:c>
      <x:c r="M37" s="342" t="n">
        <x:f>2.5</x:f>
        <x:v>2.5</x:v>
      </x:c>
      <x:c r="N37" s="288" t="str">
        <x:v>Conditional coverage wheel</x:v>
      </x:c>
    </x:row>
    <x:row r="38">
      <x:c r="A38" s="295" t="n">
        <x:v>34</x:v>
      </x:c>
      <x:c r="B38" s="296" t="n">
        <x:v>25</x:v>
      </x:c>
      <x:c r="C38" s="296" t="n">
        <x:v>27</x:v>
      </x:c>
      <x:c r="D38" s="296" t="n">
        <x:v>28</x:v>
      </x:c>
      <x:c r="E38" s="296" t="n">
        <x:v>36</x:v>
      </x:c>
      <x:c r="F38" s="296" t="n">
        <x:v>42</x:v>
      </x:c>
      <x:c r="G38" s="296" t="n">
        <x:v>5</x:v>
      </x:c>
      <x:c r="H38" s="296" t="n">
        <x:v>7</x:v>
      </x:c>
      <x:c r="I38" s="296" t="n">
        <x:f>SUM(B38:F38)</x:f>
        <x:v>158</x:v>
      </x:c>
      <x:c r="J38" s="296" t="n">
        <x:f>MOD(B38,2)+MOD(C38,2)+MOD(D38,2)+MOD(E38,2)+MOD(F38,2)</x:f>
        <x:v>2</x:v>
      </x:c>
      <x:c r="K38" s="296" t="n">
        <x:f>COUNTIF(B38:F38,"&gt;31")</x:f>
        <x:v>2</x:v>
      </x:c>
      <x:c r="L38" s="336" t="n">
        <x:f>1/'Executive Summary'!$B$24</x:f>
        <x:v>7.1511238420185165e-9</x:v>
      </x:c>
      <x:c r="M38" s="342" t="n">
        <x:f>2.5</x:f>
        <x:v>2.5</x:v>
      </x:c>
      <x:c r="N38" s="288" t="str">
        <x:v>Conditional coverage wheel</x:v>
      </x:c>
    </x:row>
    <x:row r="39">
      <x:c r="A39" s="295" t="n">
        <x:v>35</x:v>
      </x:c>
      <x:c r="B39" s="296" t="n">
        <x:v>25</x:v>
      </x:c>
      <x:c r="C39" s="296" t="n">
        <x:v>27</x:v>
      </x:c>
      <x:c r="D39" s="296" t="n">
        <x:v>28</x:v>
      </x:c>
      <x:c r="E39" s="296" t="n">
        <x:v>36</x:v>
      </x:c>
      <x:c r="F39" s="296" t="n">
        <x:v>42</x:v>
      </x:c>
      <x:c r="G39" s="296" t="n">
        <x:v>5</x:v>
      </x:c>
      <x:c r="H39" s="296" t="n">
        <x:v>9</x:v>
      </x:c>
      <x:c r="I39" s="296" t="n">
        <x:f>SUM(B39:F39)</x:f>
        <x:v>158</x:v>
      </x:c>
      <x:c r="J39" s="296" t="n">
        <x:f>MOD(B39,2)+MOD(C39,2)+MOD(D39,2)+MOD(E39,2)+MOD(F39,2)</x:f>
        <x:v>2</x:v>
      </x:c>
      <x:c r="K39" s="296" t="n">
        <x:f>COUNTIF(B39:F39,"&gt;31")</x:f>
        <x:v>2</x:v>
      </x:c>
      <x:c r="L39" s="336" t="n">
        <x:f>1/'Executive Summary'!$B$24</x:f>
        <x:v>7.1511238420185165e-9</x:v>
      </x:c>
      <x:c r="M39" s="342" t="n">
        <x:f>2.5</x:f>
        <x:v>2.5</x:v>
      </x:c>
      <x:c r="N39" s="288" t="str">
        <x:v>Conditional coverage wheel</x:v>
      </x:c>
    </x:row>
    <x:row r="40">
      <x:c r="A40" s="295" t="n">
        <x:v>36</x:v>
      </x:c>
      <x:c r="B40" s="296" t="n">
        <x:v>25</x:v>
      </x:c>
      <x:c r="C40" s="296" t="n">
        <x:v>27</x:v>
      </x:c>
      <x:c r="D40" s="296" t="n">
        <x:v>28</x:v>
      </x:c>
      <x:c r="E40" s="296" t="n">
        <x:v>36</x:v>
      </x:c>
      <x:c r="F40" s="296" t="n">
        <x:v>42</x:v>
      </x:c>
      <x:c r="G40" s="296" t="n">
        <x:v>7</x:v>
      </x:c>
      <x:c r="H40" s="296" t="n">
        <x:v>9</x:v>
      </x:c>
      <x:c r="I40" s="296" t="n">
        <x:f>SUM(B40:F40)</x:f>
        <x:v>158</x:v>
      </x:c>
      <x:c r="J40" s="296" t="n">
        <x:f>MOD(B40,2)+MOD(C40,2)+MOD(D40,2)+MOD(E40,2)+MOD(F40,2)</x:f>
        <x:v>2</x:v>
      </x:c>
      <x:c r="K40" s="296" t="n">
        <x:f>COUNTIF(B40:F40,"&gt;31")</x:f>
        <x:v>2</x:v>
      </x:c>
      <x:c r="L40" s="336" t="n">
        <x:f>1/'Executive Summary'!$B$24</x:f>
        <x:v>7.1511238420185165e-9</x:v>
      </x:c>
      <x:c r="M40" s="342" t="n">
        <x:f>2.5</x:f>
        <x:v>2.5</x:v>
      </x:c>
      <x:c r="N40" s="288" t="str">
        <x:v>Conditional coverage wheel</x:v>
      </x:c>
    </x:row>
    <x:row r="41">
      <x:c r="A41" s="295" t="n">
        <x:v>37</x:v>
      </x:c>
      <x:c r="B41" s="296" t="n">
        <x:v>27</x:v>
      </x:c>
      <x:c r="C41" s="296" t="n">
        <x:v>28</x:v>
      </x:c>
      <x:c r="D41" s="296" t="n">
        <x:v>37</x:v>
      </x:c>
      <x:c r="E41" s="296" t="n">
        <x:v>44</x:v>
      </x:c>
      <x:c r="F41" s="296" t="n">
        <x:v>48</x:v>
      </x:c>
      <x:c r="G41" s="296" t="n">
        <x:v>3</x:v>
      </x:c>
      <x:c r="H41" s="296" t="n">
        <x:v>5</x:v>
      </x:c>
      <x:c r="I41" s="296" t="n">
        <x:f>SUM(B41:F41)</x:f>
        <x:v>184</x:v>
      </x:c>
      <x:c r="J41" s="296" t="n">
        <x:f>MOD(B41,2)+MOD(C41,2)+MOD(D41,2)+MOD(E41,2)+MOD(F41,2)</x:f>
        <x:v>2</x:v>
      </x:c>
      <x:c r="K41" s="296" t="n">
        <x:f>COUNTIF(B41:F41,"&gt;31")</x:f>
        <x:v>3</x:v>
      </x:c>
      <x:c r="L41" s="336" t="n">
        <x:f>1/'Executive Summary'!$B$24</x:f>
        <x:v>7.1511238420185165e-9</x:v>
      </x:c>
      <x:c r="M41" s="342" t="n">
        <x:f>2.5</x:f>
        <x:v>2.5</x:v>
      </x:c>
      <x:c r="N41" s="288" t="str">
        <x:v>Conditional coverage wheel</x:v>
      </x:c>
    </x:row>
    <x:row r="42">
      <x:c r="A42" s="295" t="n">
        <x:v>38</x:v>
      </x:c>
      <x:c r="B42" s="296" t="n">
        <x:v>27</x:v>
      </x:c>
      <x:c r="C42" s="296" t="n">
        <x:v>28</x:v>
      </x:c>
      <x:c r="D42" s="296" t="n">
        <x:v>37</x:v>
      </x:c>
      <x:c r="E42" s="296" t="n">
        <x:v>44</x:v>
      </x:c>
      <x:c r="F42" s="296" t="n">
        <x:v>48</x:v>
      </x:c>
      <x:c r="G42" s="296" t="n">
        <x:v>3</x:v>
      </x:c>
      <x:c r="H42" s="296" t="n">
        <x:v>7</x:v>
      </x:c>
      <x:c r="I42" s="296" t="n">
        <x:f>SUM(B42:F42)</x:f>
        <x:v>184</x:v>
      </x:c>
      <x:c r="J42" s="296" t="n">
        <x:f>MOD(B42,2)+MOD(C42,2)+MOD(D42,2)+MOD(E42,2)+MOD(F42,2)</x:f>
        <x:v>2</x:v>
      </x:c>
      <x:c r="K42" s="296" t="n">
        <x:f>COUNTIF(B42:F42,"&gt;31")</x:f>
        <x:v>3</x:v>
      </x:c>
      <x:c r="L42" s="336" t="n">
        <x:f>1/'Executive Summary'!$B$24</x:f>
        <x:v>7.1511238420185165e-9</x:v>
      </x:c>
      <x:c r="M42" s="342" t="n">
        <x:f>2.5</x:f>
        <x:v>2.5</x:v>
      </x:c>
      <x:c r="N42" s="288" t="str">
        <x:v>Conditional coverage wheel</x:v>
      </x:c>
    </x:row>
    <x:row r="43">
      <x:c r="A43" s="295" t="n">
        <x:v>39</x:v>
      </x:c>
      <x:c r="B43" s="296" t="n">
        <x:v>27</x:v>
      </x:c>
      <x:c r="C43" s="296" t="n">
        <x:v>28</x:v>
      </x:c>
      <x:c r="D43" s="296" t="n">
        <x:v>37</x:v>
      </x:c>
      <x:c r="E43" s="296" t="n">
        <x:v>44</x:v>
      </x:c>
      <x:c r="F43" s="296" t="n">
        <x:v>48</x:v>
      </x:c>
      <x:c r="G43" s="296" t="n">
        <x:v>3</x:v>
      </x:c>
      <x:c r="H43" s="296" t="n">
        <x:v>9</x:v>
      </x:c>
      <x:c r="I43" s="296" t="n">
        <x:f>SUM(B43:F43)</x:f>
        <x:v>184</x:v>
      </x:c>
      <x:c r="J43" s="296" t="n">
        <x:f>MOD(B43,2)+MOD(C43,2)+MOD(D43,2)+MOD(E43,2)+MOD(F43,2)</x:f>
        <x:v>2</x:v>
      </x:c>
      <x:c r="K43" s="296" t="n">
        <x:f>COUNTIF(B43:F43,"&gt;31")</x:f>
        <x:v>3</x:v>
      </x:c>
      <x:c r="L43" s="336" t="n">
        <x:f>1/'Executive Summary'!$B$24</x:f>
        <x:v>7.1511238420185165e-9</x:v>
      </x:c>
      <x:c r="M43" s="342" t="n">
        <x:f>2.5</x:f>
        <x:v>2.5</x:v>
      </x:c>
      <x:c r="N43" s="288" t="str">
        <x:v>Conditional coverage wheel</x:v>
      </x:c>
    </x:row>
    <x:row r="44">
      <x:c r="A44" s="295" t="n">
        <x:v>40</x:v>
      </x:c>
      <x:c r="B44" s="296" t="n">
        <x:v>27</x:v>
      </x:c>
      <x:c r="C44" s="296" t="n">
        <x:v>28</x:v>
      </x:c>
      <x:c r="D44" s="296" t="n">
        <x:v>37</x:v>
      </x:c>
      <x:c r="E44" s="296" t="n">
        <x:v>44</x:v>
      </x:c>
      <x:c r="F44" s="296" t="n">
        <x:v>48</x:v>
      </x:c>
      <x:c r="G44" s="296" t="n">
        <x:v>5</x:v>
      </x:c>
      <x:c r="H44" s="296" t="n">
        <x:v>7</x:v>
      </x:c>
      <x:c r="I44" s="296" t="n">
        <x:f>SUM(B44:F44)</x:f>
        <x:v>184</x:v>
      </x:c>
      <x:c r="J44" s="296" t="n">
        <x:f>MOD(B44,2)+MOD(C44,2)+MOD(D44,2)+MOD(E44,2)+MOD(F44,2)</x:f>
        <x:v>2</x:v>
      </x:c>
      <x:c r="K44" s="296" t="n">
        <x:f>COUNTIF(B44:F44,"&gt;31")</x:f>
        <x:v>3</x:v>
      </x:c>
      <x:c r="L44" s="336" t="n">
        <x:f>1/'Executive Summary'!$B$24</x:f>
        <x:v>7.1511238420185165e-9</x:v>
      </x:c>
      <x:c r="M44" s="342" t="n">
        <x:f>2.5</x:f>
        <x:v>2.5</x:v>
      </x:c>
      <x:c r="N44" s="288" t="str">
        <x:v>Conditional coverage wheel</x:v>
      </x:c>
    </x:row>
    <x:row r="45">
      <x:c r="A45" s="295" t="n">
        <x:v>41</x:v>
      </x:c>
      <x:c r="B45" s="296" t="n">
        <x:v>27</x:v>
      </x:c>
      <x:c r="C45" s="296" t="n">
        <x:v>28</x:v>
      </x:c>
      <x:c r="D45" s="296" t="n">
        <x:v>37</x:v>
      </x:c>
      <x:c r="E45" s="296" t="n">
        <x:v>44</x:v>
      </x:c>
      <x:c r="F45" s="296" t="n">
        <x:v>48</x:v>
      </x:c>
      <x:c r="G45" s="296" t="n">
        <x:v>5</x:v>
      </x:c>
      <x:c r="H45" s="296" t="n">
        <x:v>9</x:v>
      </x:c>
      <x:c r="I45" s="296" t="n">
        <x:f>SUM(B45:F45)</x:f>
        <x:v>184</x:v>
      </x:c>
      <x:c r="J45" s="296" t="n">
        <x:f>MOD(B45,2)+MOD(C45,2)+MOD(D45,2)+MOD(E45,2)+MOD(F45,2)</x:f>
        <x:v>2</x:v>
      </x:c>
      <x:c r="K45" s="296" t="n">
        <x:f>COUNTIF(B45:F45,"&gt;31")</x:f>
        <x:v>3</x:v>
      </x:c>
      <x:c r="L45" s="336" t="n">
        <x:f>1/'Executive Summary'!$B$24</x:f>
        <x:v>7.1511238420185165e-9</x:v>
      </x:c>
      <x:c r="M45" s="342" t="n">
        <x:f>2.5</x:f>
        <x:v>2.5</x:v>
      </x:c>
      <x:c r="N45" s="288" t="str">
        <x:v>Conditional coverage wheel</x:v>
      </x:c>
    </x:row>
    <x:row r="46">
      <x:c r="A46" s="295" t="n">
        <x:v>42</x:v>
      </x:c>
      <x:c r="B46" s="296" t="n">
        <x:v>27</x:v>
      </x:c>
      <x:c r="C46" s="296" t="n">
        <x:v>28</x:v>
      </x:c>
      <x:c r="D46" s="296" t="n">
        <x:v>37</x:v>
      </x:c>
      <x:c r="E46" s="296" t="n">
        <x:v>44</x:v>
      </x:c>
      <x:c r="F46" s="296" t="n">
        <x:v>48</x:v>
      </x:c>
      <x:c r="G46" s="296" t="n">
        <x:v>7</x:v>
      </x:c>
      <x:c r="H46" s="296" t="n">
        <x:v>9</x:v>
      </x:c>
      <x:c r="I46" s="296" t="n">
        <x:f>SUM(B46:F46)</x:f>
        <x:v>184</x:v>
      </x:c>
      <x:c r="J46" s="296" t="n">
        <x:f>MOD(B46,2)+MOD(C46,2)+MOD(D46,2)+MOD(E46,2)+MOD(F46,2)</x:f>
        <x:v>2</x:v>
      </x:c>
      <x:c r="K46" s="296" t="n">
        <x:f>COUNTIF(B46:F46,"&gt;31")</x:f>
        <x:v>3</x:v>
      </x:c>
      <x:c r="L46" s="336" t="n">
        <x:f>1/'Executive Summary'!$B$24</x:f>
        <x:v>7.1511238420185165e-9</x:v>
      </x:c>
      <x:c r="M46" s="342" t="n">
        <x:f>2.5</x:f>
        <x:v>2.5</x:v>
      </x:c>
      <x:c r="N46" s="288" t="str">
        <x:v>Conditional coverage wheel</x:v>
      </x:c>
    </x:row>
    <x:row r="47">
      <x:c r="A47" s="295" t="n">
        <x:v>43</x:v>
      </x:c>
      <x:c r="B47" s="296" t="n">
        <x:v>28</x:v>
      </x:c>
      <x:c r="C47" s="296" t="n">
        <x:v>35</x:v>
      </x:c>
      <x:c r="D47" s="296" t="n">
        <x:v>36</x:v>
      </x:c>
      <x:c r="E47" s="296" t="n">
        <x:v>37</x:v>
      </x:c>
      <x:c r="F47" s="296" t="n">
        <x:v>50</x:v>
      </x:c>
      <x:c r="G47" s="296" t="n">
        <x:v>3</x:v>
      </x:c>
      <x:c r="H47" s="296" t="n">
        <x:v>5</x:v>
      </x:c>
      <x:c r="I47" s="296" t="n">
        <x:f>SUM(B47:F47)</x:f>
        <x:v>186</x:v>
      </x:c>
      <x:c r="J47" s="296" t="n">
        <x:f>MOD(B47,2)+MOD(C47,2)+MOD(D47,2)+MOD(E47,2)+MOD(F47,2)</x:f>
        <x:v>2</x:v>
      </x:c>
      <x:c r="K47" s="296" t="n">
        <x:f>COUNTIF(B47:F47,"&gt;31")</x:f>
        <x:v>4</x:v>
      </x:c>
      <x:c r="L47" s="336" t="n">
        <x:f>1/'Executive Summary'!$B$24</x:f>
        <x:v>7.1511238420185165e-9</x:v>
      </x:c>
      <x:c r="M47" s="342" t="n">
        <x:f>2.5</x:f>
        <x:v>2.5</x:v>
      </x:c>
      <x:c r="N47" s="288" t="str">
        <x:v>Conditional coverage wheel</x:v>
      </x:c>
    </x:row>
    <x:row r="48">
      <x:c r="A48" s="295" t="n">
        <x:v>44</x:v>
      </x:c>
      <x:c r="B48" s="296" t="n">
        <x:v>28</x:v>
      </x:c>
      <x:c r="C48" s="296" t="n">
        <x:v>35</x:v>
      </x:c>
      <x:c r="D48" s="296" t="n">
        <x:v>36</x:v>
      </x:c>
      <x:c r="E48" s="296" t="n">
        <x:v>37</x:v>
      </x:c>
      <x:c r="F48" s="296" t="n">
        <x:v>50</x:v>
      </x:c>
      <x:c r="G48" s="296" t="n">
        <x:v>3</x:v>
      </x:c>
      <x:c r="H48" s="296" t="n">
        <x:v>7</x:v>
      </x:c>
      <x:c r="I48" s="296" t="n">
        <x:f>SUM(B48:F48)</x:f>
        <x:v>186</x:v>
      </x:c>
      <x:c r="J48" s="296" t="n">
        <x:f>MOD(B48,2)+MOD(C48,2)+MOD(D48,2)+MOD(E48,2)+MOD(F48,2)</x:f>
        <x:v>2</x:v>
      </x:c>
      <x:c r="K48" s="296" t="n">
        <x:f>COUNTIF(B48:F48,"&gt;31")</x:f>
        <x:v>4</x:v>
      </x:c>
      <x:c r="L48" s="336" t="n">
        <x:f>1/'Executive Summary'!$B$24</x:f>
        <x:v>7.1511238420185165e-9</x:v>
      </x:c>
      <x:c r="M48" s="342" t="n">
        <x:f>2.5</x:f>
        <x:v>2.5</x:v>
      </x:c>
      <x:c r="N48" s="288" t="str">
        <x:v>Conditional coverage wheel</x:v>
      </x:c>
    </x:row>
    <x:row r="49">
      <x:c r="A49" s="295" t="n">
        <x:v>45</x:v>
      </x:c>
      <x:c r="B49" s="296" t="n">
        <x:v>28</x:v>
      </x:c>
      <x:c r="C49" s="296" t="n">
        <x:v>35</x:v>
      </x:c>
      <x:c r="D49" s="296" t="n">
        <x:v>36</x:v>
      </x:c>
      <x:c r="E49" s="296" t="n">
        <x:v>37</x:v>
      </x:c>
      <x:c r="F49" s="296" t="n">
        <x:v>50</x:v>
      </x:c>
      <x:c r="G49" s="296" t="n">
        <x:v>3</x:v>
      </x:c>
      <x:c r="H49" s="296" t="n">
        <x:v>9</x:v>
      </x:c>
      <x:c r="I49" s="296" t="n">
        <x:f>SUM(B49:F49)</x:f>
        <x:v>186</x:v>
      </x:c>
      <x:c r="J49" s="296" t="n">
        <x:f>MOD(B49,2)+MOD(C49,2)+MOD(D49,2)+MOD(E49,2)+MOD(F49,2)</x:f>
        <x:v>2</x:v>
      </x:c>
      <x:c r="K49" s="296" t="n">
        <x:f>COUNTIF(B49:F49,"&gt;31")</x:f>
        <x:v>4</x:v>
      </x:c>
      <x:c r="L49" s="336" t="n">
        <x:f>1/'Executive Summary'!$B$24</x:f>
        <x:v>7.1511238420185165e-9</x:v>
      </x:c>
      <x:c r="M49" s="342" t="n">
        <x:f>2.5</x:f>
        <x:v>2.5</x:v>
      </x:c>
      <x:c r="N49" s="288" t="str">
        <x:v>Conditional coverage wheel</x:v>
      </x:c>
    </x:row>
    <x:row r="50">
      <x:c r="A50" s="295" t="n">
        <x:v>46</x:v>
      </x:c>
      <x:c r="B50" s="296" t="n">
        <x:v>28</x:v>
      </x:c>
      <x:c r="C50" s="296" t="n">
        <x:v>35</x:v>
      </x:c>
      <x:c r="D50" s="296" t="n">
        <x:v>36</x:v>
      </x:c>
      <x:c r="E50" s="296" t="n">
        <x:v>37</x:v>
      </x:c>
      <x:c r="F50" s="296" t="n">
        <x:v>50</x:v>
      </x:c>
      <x:c r="G50" s="296" t="n">
        <x:v>5</x:v>
      </x:c>
      <x:c r="H50" s="296" t="n">
        <x:v>7</x:v>
      </x:c>
      <x:c r="I50" s="296" t="n">
        <x:f>SUM(B50:F50)</x:f>
        <x:v>186</x:v>
      </x:c>
      <x:c r="J50" s="296" t="n">
        <x:f>MOD(B50,2)+MOD(C50,2)+MOD(D50,2)+MOD(E50,2)+MOD(F50,2)</x:f>
        <x:v>2</x:v>
      </x:c>
      <x:c r="K50" s="296" t="n">
        <x:f>COUNTIF(B50:F50,"&gt;31")</x:f>
        <x:v>4</x:v>
      </x:c>
      <x:c r="L50" s="336" t="n">
        <x:f>1/'Executive Summary'!$B$24</x:f>
        <x:v>7.1511238420185165e-9</x:v>
      </x:c>
      <x:c r="M50" s="342" t="n">
        <x:f>2.5</x:f>
        <x:v>2.5</x:v>
      </x:c>
      <x:c r="N50" s="288" t="str">
        <x:v>Conditional coverage wheel</x:v>
      </x:c>
    </x:row>
    <x:row r="51">
      <x:c r="A51" s="295" t="n">
        <x:v>47</x:v>
      </x:c>
      <x:c r="B51" s="296" t="n">
        <x:v>28</x:v>
      </x:c>
      <x:c r="C51" s="296" t="n">
        <x:v>35</x:v>
      </x:c>
      <x:c r="D51" s="296" t="n">
        <x:v>36</x:v>
      </x:c>
      <x:c r="E51" s="296" t="n">
        <x:v>37</x:v>
      </x:c>
      <x:c r="F51" s="296" t="n">
        <x:v>50</x:v>
      </x:c>
      <x:c r="G51" s="296" t="n">
        <x:v>5</x:v>
      </x:c>
      <x:c r="H51" s="296" t="n">
        <x:v>9</x:v>
      </x:c>
      <x:c r="I51" s="296" t="n">
        <x:f>SUM(B51:F51)</x:f>
        <x:v>186</x:v>
      </x:c>
      <x:c r="J51" s="296" t="n">
        <x:f>MOD(B51,2)+MOD(C51,2)+MOD(D51,2)+MOD(E51,2)+MOD(F51,2)</x:f>
        <x:v>2</x:v>
      </x:c>
      <x:c r="K51" s="296" t="n">
        <x:f>COUNTIF(B51:F51,"&gt;31")</x:f>
        <x:v>4</x:v>
      </x:c>
      <x:c r="L51" s="336" t="n">
        <x:f>1/'Executive Summary'!$B$24</x:f>
        <x:v>7.1511238420185165e-9</x:v>
      </x:c>
      <x:c r="M51" s="342" t="n">
        <x:f>2.5</x:f>
        <x:v>2.5</x:v>
      </x:c>
      <x:c r="N51" s="288" t="str">
        <x:v>Conditional coverage wheel</x:v>
      </x:c>
    </x:row>
    <x:row r="52">
      <x:c r="A52" s="295" t="n">
        <x:v>48</x:v>
      </x:c>
      <x:c r="B52" s="296" t="n">
        <x:v>28</x:v>
      </x:c>
      <x:c r="C52" s="296" t="n">
        <x:v>35</x:v>
      </x:c>
      <x:c r="D52" s="296" t="n">
        <x:v>36</x:v>
      </x:c>
      <x:c r="E52" s="296" t="n">
        <x:v>37</x:v>
      </x:c>
      <x:c r="F52" s="296" t="n">
        <x:v>50</x:v>
      </x:c>
      <x:c r="G52" s="296" t="n">
        <x:v>7</x:v>
      </x:c>
      <x:c r="H52" s="296" t="n">
        <x:v>9</x:v>
      </x:c>
      <x:c r="I52" s="296" t="n">
        <x:f>SUM(B52:F52)</x:f>
        <x:v>186</x:v>
      </x:c>
      <x:c r="J52" s="296" t="n">
        <x:f>MOD(B52,2)+MOD(C52,2)+MOD(D52,2)+MOD(E52,2)+MOD(F52,2)</x:f>
        <x:v>2</x:v>
      </x:c>
      <x:c r="K52" s="296" t="n">
        <x:f>COUNTIF(B52:F52,"&gt;31")</x:f>
        <x:v>4</x:v>
      </x:c>
      <x:c r="L52" s="336" t="n">
        <x:f>1/'Executive Summary'!$B$24</x:f>
        <x:v>7.1511238420185165e-9</x:v>
      </x:c>
      <x:c r="M52" s="342" t="n">
        <x:f>2.5</x:f>
        <x:v>2.5</x:v>
      </x:c>
      <x:c r="N52" s="288" t="str">
        <x:v>Conditional coverage wheel</x:v>
      </x:c>
    </x:row>
    <x:row r="53">
      <x:c r="A53" s="295" t="n">
        <x:v>49</x:v>
      </x:c>
      <x:c r="B53" s="296" t="n">
        <x:v>35</x:v>
      </x:c>
      <x:c r="C53" s="296" t="n">
        <x:v>42</x:v>
      </x:c>
      <x:c r="D53" s="296" t="n">
        <x:v>44</x:v>
      </x:c>
      <x:c r="E53" s="296" t="n">
        <x:v>48</x:v>
      </x:c>
      <x:c r="F53" s="296" t="n">
        <x:v>50</x:v>
      </x:c>
      <x:c r="G53" s="296" t="n">
        <x:v>3</x:v>
      </x:c>
      <x:c r="H53" s="296" t="n">
        <x:v>5</x:v>
      </x:c>
      <x:c r="I53" s="296" t="n">
        <x:f>SUM(B53:F53)</x:f>
        <x:v>219</x:v>
      </x:c>
      <x:c r="J53" s="296" t="n">
        <x:f>MOD(B53,2)+MOD(C53,2)+MOD(D53,2)+MOD(E53,2)+MOD(F53,2)</x:f>
        <x:v>1</x:v>
      </x:c>
      <x:c r="K53" s="296" t="n">
        <x:f>COUNTIF(B53:F53,"&gt;31")</x:f>
        <x:v>5</x:v>
      </x:c>
      <x:c r="L53" s="336" t="n">
        <x:f>1/'Executive Summary'!$B$24</x:f>
        <x:v>7.1511238420185165e-9</x:v>
      </x:c>
      <x:c r="M53" s="342" t="n">
        <x:f>2.5</x:f>
        <x:v>2.5</x:v>
      </x:c>
      <x:c r="N53" s="288" t="str">
        <x:v>Conditional coverage wheel</x:v>
      </x:c>
    </x:row>
    <x:row r="54">
      <x:c r="A54" s="295" t="n">
        <x:v>50</x:v>
      </x:c>
      <x:c r="B54" s="296" t="n">
        <x:v>35</x:v>
      </x:c>
      <x:c r="C54" s="296" t="n">
        <x:v>42</x:v>
      </x:c>
      <x:c r="D54" s="296" t="n">
        <x:v>44</x:v>
      </x:c>
      <x:c r="E54" s="296" t="n">
        <x:v>48</x:v>
      </x:c>
      <x:c r="F54" s="296" t="n">
        <x:v>50</x:v>
      </x:c>
      <x:c r="G54" s="296" t="n">
        <x:v>3</x:v>
      </x:c>
      <x:c r="H54" s="296" t="n">
        <x:v>7</x:v>
      </x:c>
      <x:c r="I54" s="296" t="n">
        <x:f>SUM(B54:F54)</x:f>
        <x:v>219</x:v>
      </x:c>
      <x:c r="J54" s="296" t="n">
        <x:f>MOD(B54,2)+MOD(C54,2)+MOD(D54,2)+MOD(E54,2)+MOD(F54,2)</x:f>
        <x:v>1</x:v>
      </x:c>
      <x:c r="K54" s="296" t="n">
        <x:f>COUNTIF(B54:F54,"&gt;31")</x:f>
        <x:v>5</x:v>
      </x:c>
      <x:c r="L54" s="336" t="n">
        <x:f>1/'Executive Summary'!$B$24</x:f>
        <x:v>7.1511238420185165e-9</x:v>
      </x:c>
      <x:c r="M54" s="342" t="n">
        <x:f>2.5</x:f>
        <x:v>2.5</x:v>
      </x:c>
      <x:c r="N54" s="288" t="str">
        <x:v>Conditional coverage wheel</x:v>
      </x:c>
    </x:row>
    <x:row r="55">
      <x:c r="A55" s="295" t="n">
        <x:v>51</x:v>
      </x:c>
      <x:c r="B55" s="296" t="n">
        <x:v>35</x:v>
      </x:c>
      <x:c r="C55" s="296" t="n">
        <x:v>42</x:v>
      </x:c>
      <x:c r="D55" s="296" t="n">
        <x:v>44</x:v>
      </x:c>
      <x:c r="E55" s="296" t="n">
        <x:v>48</x:v>
      </x:c>
      <x:c r="F55" s="296" t="n">
        <x:v>50</x:v>
      </x:c>
      <x:c r="G55" s="296" t="n">
        <x:v>3</x:v>
      </x:c>
      <x:c r="H55" s="296" t="n">
        <x:v>9</x:v>
      </x:c>
      <x:c r="I55" s="296" t="n">
        <x:f>SUM(B55:F55)</x:f>
        <x:v>219</x:v>
      </x:c>
      <x:c r="J55" s="296" t="n">
        <x:f>MOD(B55,2)+MOD(C55,2)+MOD(D55,2)+MOD(E55,2)+MOD(F55,2)</x:f>
        <x:v>1</x:v>
      </x:c>
      <x:c r="K55" s="296" t="n">
        <x:f>COUNTIF(B55:F55,"&gt;31")</x:f>
        <x:v>5</x:v>
      </x:c>
      <x:c r="L55" s="336" t="n">
        <x:f>1/'Executive Summary'!$B$24</x:f>
        <x:v>7.1511238420185165e-9</x:v>
      </x:c>
      <x:c r="M55" s="342" t="n">
        <x:f>2.5</x:f>
        <x:v>2.5</x:v>
      </x:c>
      <x:c r="N55" s="288" t="str">
        <x:v>Conditional coverage wheel</x:v>
      </x:c>
    </x:row>
    <x:row r="56">
      <x:c r="A56" s="295" t="n">
        <x:v>52</x:v>
      </x:c>
      <x:c r="B56" s="296" t="n">
        <x:v>35</x:v>
      </x:c>
      <x:c r="C56" s="296" t="n">
        <x:v>42</x:v>
      </x:c>
      <x:c r="D56" s="296" t="n">
        <x:v>44</x:v>
      </x:c>
      <x:c r="E56" s="296" t="n">
        <x:v>48</x:v>
      </x:c>
      <x:c r="F56" s="296" t="n">
        <x:v>50</x:v>
      </x:c>
      <x:c r="G56" s="296" t="n">
        <x:v>5</x:v>
      </x:c>
      <x:c r="H56" s="296" t="n">
        <x:v>7</x:v>
      </x:c>
      <x:c r="I56" s="296" t="n">
        <x:f>SUM(B56:F56)</x:f>
        <x:v>219</x:v>
      </x:c>
      <x:c r="J56" s="296" t="n">
        <x:f>MOD(B56,2)+MOD(C56,2)+MOD(D56,2)+MOD(E56,2)+MOD(F56,2)</x:f>
        <x:v>1</x:v>
      </x:c>
      <x:c r="K56" s="296" t="n">
        <x:f>COUNTIF(B56:F56,"&gt;31")</x:f>
        <x:v>5</x:v>
      </x:c>
      <x:c r="L56" s="336" t="n">
        <x:f>1/'Executive Summary'!$B$24</x:f>
        <x:v>7.1511238420185165e-9</x:v>
      </x:c>
      <x:c r="M56" s="342" t="n">
        <x:f>2.5</x:f>
        <x:v>2.5</x:v>
      </x:c>
      <x:c r="N56" s="288" t="str">
        <x:v>Conditional coverage wheel</x:v>
      </x:c>
    </x:row>
    <x:row r="57">
      <x:c r="A57" s="295" t="n">
        <x:v>53</x:v>
      </x:c>
      <x:c r="B57" s="296" t="n">
        <x:v>35</x:v>
      </x:c>
      <x:c r="C57" s="296" t="n">
        <x:v>42</x:v>
      </x:c>
      <x:c r="D57" s="296" t="n">
        <x:v>44</x:v>
      </x:c>
      <x:c r="E57" s="296" t="n">
        <x:v>48</x:v>
      </x:c>
      <x:c r="F57" s="296" t="n">
        <x:v>50</x:v>
      </x:c>
      <x:c r="G57" s="296" t="n">
        <x:v>5</x:v>
      </x:c>
      <x:c r="H57" s="296" t="n">
        <x:v>9</x:v>
      </x:c>
      <x:c r="I57" s="296" t="n">
        <x:f>SUM(B57:F57)</x:f>
        <x:v>219</x:v>
      </x:c>
      <x:c r="J57" s="296" t="n">
        <x:f>MOD(B57,2)+MOD(C57,2)+MOD(D57,2)+MOD(E57,2)+MOD(F57,2)</x:f>
        <x:v>1</x:v>
      </x:c>
      <x:c r="K57" s="296" t="n">
        <x:f>COUNTIF(B57:F57,"&gt;31")</x:f>
        <x:v>5</x:v>
      </x:c>
      <x:c r="L57" s="336" t="n">
        <x:f>1/'Executive Summary'!$B$24</x:f>
        <x:v>7.1511238420185165e-9</x:v>
      </x:c>
      <x:c r="M57" s="342" t="n">
        <x:f>2.5</x:f>
        <x:v>2.5</x:v>
      </x:c>
      <x:c r="N57" s="288" t="str">
        <x:v>Conditional coverage wheel</x:v>
      </x:c>
    </x:row>
    <x:row r="58">
      <x:c r="A58" s="297" t="n">
        <x:v>54</x:v>
      </x:c>
      <x:c r="B58" s="298" t="n">
        <x:v>35</x:v>
      </x:c>
      <x:c r="C58" s="298" t="n">
        <x:v>42</x:v>
      </x:c>
      <x:c r="D58" s="298" t="n">
        <x:v>44</x:v>
      </x:c>
      <x:c r="E58" s="298" t="n">
        <x:v>48</x:v>
      </x:c>
      <x:c r="F58" s="298" t="n">
        <x:v>50</x:v>
      </x:c>
      <x:c r="G58" s="298" t="n">
        <x:v>7</x:v>
      </x:c>
      <x:c r="H58" s="298" t="n">
        <x:v>9</x:v>
      </x:c>
      <x:c r="I58" s="298" t="n">
        <x:f>SUM(B58:F58)</x:f>
        <x:v>219</x:v>
      </x:c>
      <x:c r="J58" s="298" t="n">
        <x:f>MOD(B58,2)+MOD(C58,2)+MOD(D58,2)+MOD(E58,2)+MOD(F58,2)</x:f>
        <x:v>1</x:v>
      </x:c>
      <x:c r="K58" s="298" t="n">
        <x:f>COUNTIF(B58:F58,"&gt;31")</x:f>
        <x:v>5</x:v>
      </x:c>
      <x:c r="L58" s="337" t="n">
        <x:f>1/'Executive Summary'!$B$24</x:f>
        <x:v>7.1511238420185165e-9</x:v>
      </x:c>
      <x:c r="M58" s="343" t="n">
        <x:f>2.5</x:f>
        <x:v>2.5</x:v>
      </x:c>
      <x:c r="N58" s="290" t="str">
        <x:v>Conditional coverage wheel</x:v>
      </x:c>
    </x:row>
  </x:sheetData>
  <x:mergeCells>
    <x:mergeCell ref="A1:N1"/>
    <x:mergeCell ref="A2:N2"/>
  </x:mergeCells>
  <x:pageMargins left="0.7" right="0.7" top="0.75" bottom="0.75" header="0.3" footer="0.3"/>
</x:worksheet>
</file>

<file path=xl/worksheets/sheet21.xml><?xml version="1.0" encoding="utf-8"?>
<x:worksheet xmlns:x="http://schemas.openxmlformats.org/spreadsheetml/2006/main">
  <x:sheetFormatPr defaultRowHeight="15"/>
  <x:cols>
    <x:col min="1" max="1" width="9"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2" hidden="0" customWidth="1"/>
    <x:col min="10" max="10" width="11" hidden="0" customWidth="1"/>
    <x:col min="11" max="11" width="11" hidden="0" customWidth="1"/>
    <x:col min="12" max="12" width="21" hidden="0" customWidth="1"/>
    <x:col min="13" max="13" width="11" hidden="0" customWidth="1"/>
    <x:col min="14" max="14" width="27" hidden="0" customWidth="1"/>
  </x:cols>
  <x:sheetData>
    <x:row r="1">
      <x:c r="A1" s="382" t="str">
        <x:v>135-Line Extended Conditional 2+2 Wheel</x:v>
      </x:c>
      <x:c r="B1" s="382"/>
      <x:c r="C1" s="382"/>
      <x:c r="D1" s="382"/>
      <x:c r="E1" s="382"/>
      <x:c r="F1" s="382"/>
      <x:c r="G1" s="382"/>
      <x:c r="H1" s="382"/>
      <x:c r="I1" s="382"/>
      <x:c r="J1" s="382"/>
      <x:c r="K1" s="382"/>
      <x:c r="L1" s="382"/>
      <x:c r="M1" s="382"/>
      <x:c r="N1" s="382"/>
      <x:c r="O1" s="260"/>
      <x:c r="P1" s="260"/>
      <x:c r="Q1" s="260"/>
      <x:c r="R1" s="260"/>
      <x:c r="S1" s="260"/>
      <x:c r="T1" s="260"/>
      <x:c r="U1" s="260"/>
      <x:c r="V1" s="260"/>
      <x:c r="W1" s="260"/>
      <x:c r="X1" s="260"/>
      <x:c r="Y1" s="260"/>
      <x:c r="Z1" s="260"/>
    </x:row>
    <x:row r="2">
      <x:c r="A2" s="326" t="str">
        <x:v>If ≥2 winning mains are in the selected 12 and both Euros are in 3,4,5,7,8,9, at least one line contains ≥2+2.</x:v>
      </x:c>
      <x:c r="B2" s="326"/>
      <x:c r="C2" s="326"/>
      <x:c r="D2" s="326"/>
      <x:c r="E2" s="326"/>
      <x:c r="F2" s="326"/>
      <x:c r="G2" s="326"/>
      <x:c r="H2" s="326"/>
      <x:c r="I2" s="326"/>
      <x:c r="J2" s="326"/>
      <x:c r="K2" s="326"/>
      <x:c r="L2" s="326"/>
      <x:c r="M2" s="326"/>
      <x:c r="N2" s="326"/>
    </x:row>
    <x:row r="4">
      <x:c r="A4" s="311" t="str">
        <x:v>Line</x:v>
      </x:c>
      <x:c r="B4" s="312" t="str">
        <x:v>Main 1</x:v>
      </x:c>
      <x:c r="C4" s="312" t="str">
        <x:v>Main 2</x:v>
      </x:c>
      <x:c r="D4" s="312" t="str">
        <x:v>Main 3</x:v>
      </x:c>
      <x:c r="E4" s="312" t="str">
        <x:v>Main 4</x:v>
      </x:c>
      <x:c r="F4" s="312" t="str">
        <x:v>Main 5</x:v>
      </x:c>
      <x:c r="G4" s="312" t="str">
        <x:v>Euro 1</x:v>
      </x:c>
      <x:c r="H4" s="312" t="str">
        <x:v>Euro 2</x:v>
      </x:c>
      <x:c r="I4" s="312" t="str">
        <x:v>Main Sum</x:v>
      </x:c>
      <x:c r="J4" s="312" t="str">
        <x:v>Odd Count</x:v>
      </x:c>
      <x:c r="K4" s="312" t="str">
        <x:v>Above 31</x:v>
      </x:c>
      <x:c r="L4" s="312" t="str">
        <x:v>Jackpot Probability</x:v>
      </x:c>
      <x:c r="M4" s="312" t="str">
        <x:v>Cost</x:v>
      </x:c>
      <x:c r="N4" s="313" t="str">
        <x:v>Classification</x:v>
      </x:c>
    </x:row>
    <x:row r="5">
      <x:c r="A5" s="295" t="n">
        <x:v>1</x:v>
      </x:c>
      <x:c r="B5" s="296" t="n">
        <x:v>4</x:v>
      </x:c>
      <x:c r="C5" s="296" t="n">
        <x:v>21</x:v>
      </x:c>
      <x:c r="D5" s="296" t="n">
        <x:v>27</x:v>
      </x:c>
      <x:c r="E5" s="296" t="n">
        <x:v>35</x:v>
      </x:c>
      <x:c r="F5" s="296" t="n">
        <x:v>50</x:v>
      </x:c>
      <x:c r="G5" s="296" t="n">
        <x:v>3</x:v>
      </x:c>
      <x:c r="H5" s="296" t="n">
        <x:v>4</x:v>
      </x:c>
      <x:c r="I5" s="296" t="n">
        <x:f>SUM(B5:F5)</x:f>
        <x:v>137</x:v>
      </x:c>
      <x:c r="J5" s="296" t="n">
        <x:f>MOD(B5,2)+MOD(C5,2)+MOD(D5,2)+MOD(E5,2)+MOD(F5,2)</x:f>
        <x:v>3</x:v>
      </x:c>
      <x:c r="K5" s="296" t="n">
        <x:f>COUNTIF(B5:F5,"&gt;31")</x:f>
        <x:v>2</x:v>
      </x:c>
      <x:c r="L5" s="336" t="n">
        <x:f>1/'Executive Summary'!$B$24</x:f>
        <x:v>7.1511238420185165e-9</x:v>
      </x:c>
      <x:c r="M5" s="342" t="n">
        <x:f>2.5</x:f>
        <x:v>2.5</x:v>
      </x:c>
      <x:c r="N5" s="288" t="str">
        <x:v>Conditional coverage wheel</x:v>
      </x:c>
    </x:row>
    <x:row r="6">
      <x:c r="A6" s="295" t="n">
        <x:v>2</x:v>
      </x:c>
      <x:c r="B6" s="296" t="n">
        <x:v>4</x:v>
      </x:c>
      <x:c r="C6" s="296" t="n">
        <x:v>21</x:v>
      </x:c>
      <x:c r="D6" s="296" t="n">
        <x:v>27</x:v>
      </x:c>
      <x:c r="E6" s="296" t="n">
        <x:v>35</x:v>
      </x:c>
      <x:c r="F6" s="296" t="n">
        <x:v>50</x:v>
      </x:c>
      <x:c r="G6" s="296" t="n">
        <x:v>3</x:v>
      </x:c>
      <x:c r="H6" s="296" t="n">
        <x:v>5</x:v>
      </x:c>
      <x:c r="I6" s="296" t="n">
        <x:f>SUM(B6:F6)</x:f>
        <x:v>137</x:v>
      </x:c>
      <x:c r="J6" s="296" t="n">
        <x:f>MOD(B6,2)+MOD(C6,2)+MOD(D6,2)+MOD(E6,2)+MOD(F6,2)</x:f>
        <x:v>3</x:v>
      </x:c>
      <x:c r="K6" s="296" t="n">
        <x:f>COUNTIF(B6:F6,"&gt;31")</x:f>
        <x:v>2</x:v>
      </x:c>
      <x:c r="L6" s="336" t="n">
        <x:f>1/'Executive Summary'!$B$24</x:f>
        <x:v>7.1511238420185165e-9</x:v>
      </x:c>
      <x:c r="M6" s="342" t="n">
        <x:f>2.5</x:f>
        <x:v>2.5</x:v>
      </x:c>
      <x:c r="N6" s="288" t="str">
        <x:v>Conditional coverage wheel</x:v>
      </x:c>
    </x:row>
    <x:row r="7">
      <x:c r="A7" s="295" t="n">
        <x:v>3</x:v>
      </x:c>
      <x:c r="B7" s="296" t="n">
        <x:v>4</x:v>
      </x:c>
      <x:c r="C7" s="296" t="n">
        <x:v>21</x:v>
      </x:c>
      <x:c r="D7" s="296" t="n">
        <x:v>27</x:v>
      </x:c>
      <x:c r="E7" s="296" t="n">
        <x:v>35</x:v>
      </x:c>
      <x:c r="F7" s="296" t="n">
        <x:v>50</x:v>
      </x:c>
      <x:c r="G7" s="296" t="n">
        <x:v>3</x:v>
      </x:c>
      <x:c r="H7" s="296" t="n">
        <x:v>7</x:v>
      </x:c>
      <x:c r="I7" s="296" t="n">
        <x:f>SUM(B7:F7)</x:f>
        <x:v>137</x:v>
      </x:c>
      <x:c r="J7" s="296" t="n">
        <x:f>MOD(B7,2)+MOD(C7,2)+MOD(D7,2)+MOD(E7,2)+MOD(F7,2)</x:f>
        <x:v>3</x:v>
      </x:c>
      <x:c r="K7" s="296" t="n">
        <x:f>COUNTIF(B7:F7,"&gt;31")</x:f>
        <x:v>2</x:v>
      </x:c>
      <x:c r="L7" s="336" t="n">
        <x:f>1/'Executive Summary'!$B$24</x:f>
        <x:v>7.1511238420185165e-9</x:v>
      </x:c>
      <x:c r="M7" s="342" t="n">
        <x:f>2.5</x:f>
        <x:v>2.5</x:v>
      </x:c>
      <x:c r="N7" s="288" t="str">
        <x:v>Conditional coverage wheel</x:v>
      </x:c>
    </x:row>
    <x:row r="8">
      <x:c r="A8" s="295" t="n">
        <x:v>4</x:v>
      </x:c>
      <x:c r="B8" s="296" t="n">
        <x:v>4</x:v>
      </x:c>
      <x:c r="C8" s="296" t="n">
        <x:v>21</x:v>
      </x:c>
      <x:c r="D8" s="296" t="n">
        <x:v>27</x:v>
      </x:c>
      <x:c r="E8" s="296" t="n">
        <x:v>35</x:v>
      </x:c>
      <x:c r="F8" s="296" t="n">
        <x:v>50</x:v>
      </x:c>
      <x:c r="G8" s="296" t="n">
        <x:v>3</x:v>
      </x:c>
      <x:c r="H8" s="296" t="n">
        <x:v>8</x:v>
      </x:c>
      <x:c r="I8" s="296" t="n">
        <x:f>SUM(B8:F8)</x:f>
        <x:v>137</x:v>
      </x:c>
      <x:c r="J8" s="296" t="n">
        <x:f>MOD(B8,2)+MOD(C8,2)+MOD(D8,2)+MOD(E8,2)+MOD(F8,2)</x:f>
        <x:v>3</x:v>
      </x:c>
      <x:c r="K8" s="296" t="n">
        <x:f>COUNTIF(B8:F8,"&gt;31")</x:f>
        <x:v>2</x:v>
      </x:c>
      <x:c r="L8" s="336" t="n">
        <x:f>1/'Executive Summary'!$B$24</x:f>
        <x:v>7.1511238420185165e-9</x:v>
      </x:c>
      <x:c r="M8" s="342" t="n">
        <x:f>2.5</x:f>
        <x:v>2.5</x:v>
      </x:c>
      <x:c r="N8" s="288" t="str">
        <x:v>Conditional coverage wheel</x:v>
      </x:c>
    </x:row>
    <x:row r="9">
      <x:c r="A9" s="295" t="n">
        <x:v>5</x:v>
      </x:c>
      <x:c r="B9" s="296" t="n">
        <x:v>4</x:v>
      </x:c>
      <x:c r="C9" s="296" t="n">
        <x:v>21</x:v>
      </x:c>
      <x:c r="D9" s="296" t="n">
        <x:v>27</x:v>
      </x:c>
      <x:c r="E9" s="296" t="n">
        <x:v>35</x:v>
      </x:c>
      <x:c r="F9" s="296" t="n">
        <x:v>50</x:v>
      </x:c>
      <x:c r="G9" s="296" t="n">
        <x:v>3</x:v>
      </x:c>
      <x:c r="H9" s="296" t="n">
        <x:v>9</x:v>
      </x:c>
      <x:c r="I9" s="296" t="n">
        <x:f>SUM(B9:F9)</x:f>
        <x:v>137</x:v>
      </x:c>
      <x:c r="J9" s="296" t="n">
        <x:f>MOD(B9,2)+MOD(C9,2)+MOD(D9,2)+MOD(E9,2)+MOD(F9,2)</x:f>
        <x:v>3</x:v>
      </x:c>
      <x:c r="K9" s="296" t="n">
        <x:f>COUNTIF(B9:F9,"&gt;31")</x:f>
        <x:v>2</x:v>
      </x:c>
      <x:c r="L9" s="336" t="n">
        <x:f>1/'Executive Summary'!$B$24</x:f>
        <x:v>7.1511238420185165e-9</x:v>
      </x:c>
      <x:c r="M9" s="342" t="n">
        <x:f>2.5</x:f>
        <x:v>2.5</x:v>
      </x:c>
      <x:c r="N9" s="288" t="str">
        <x:v>Conditional coverage wheel</x:v>
      </x:c>
    </x:row>
    <x:row r="10">
      <x:c r="A10" s="295" t="n">
        <x:v>6</x:v>
      </x:c>
      <x:c r="B10" s="296" t="n">
        <x:v>4</x:v>
      </x:c>
      <x:c r="C10" s="296" t="n">
        <x:v>21</x:v>
      </x:c>
      <x:c r="D10" s="296" t="n">
        <x:v>27</x:v>
      </x:c>
      <x:c r="E10" s="296" t="n">
        <x:v>35</x:v>
      </x:c>
      <x:c r="F10" s="296" t="n">
        <x:v>50</x:v>
      </x:c>
      <x:c r="G10" s="296" t="n">
        <x:v>4</x:v>
      </x:c>
      <x:c r="H10" s="296" t="n">
        <x:v>5</x:v>
      </x:c>
      <x:c r="I10" s="296" t="n">
        <x:f>SUM(B10:F10)</x:f>
        <x:v>137</x:v>
      </x:c>
      <x:c r="J10" s="296" t="n">
        <x:f>MOD(B10,2)+MOD(C10,2)+MOD(D10,2)+MOD(E10,2)+MOD(F10,2)</x:f>
        <x:v>3</x:v>
      </x:c>
      <x:c r="K10" s="296" t="n">
        <x:f>COUNTIF(B10:F10,"&gt;31")</x:f>
        <x:v>2</x:v>
      </x:c>
      <x:c r="L10" s="336" t="n">
        <x:f>1/'Executive Summary'!$B$24</x:f>
        <x:v>7.1511238420185165e-9</x:v>
      </x:c>
      <x:c r="M10" s="342" t="n">
        <x:f>2.5</x:f>
        <x:v>2.5</x:v>
      </x:c>
      <x:c r="N10" s="288" t="str">
        <x:v>Conditional coverage wheel</x:v>
      </x:c>
    </x:row>
    <x:row r="11">
      <x:c r="A11" s="295" t="n">
        <x:v>7</x:v>
      </x:c>
      <x:c r="B11" s="296" t="n">
        <x:v>4</x:v>
      </x:c>
      <x:c r="C11" s="296" t="n">
        <x:v>21</x:v>
      </x:c>
      <x:c r="D11" s="296" t="n">
        <x:v>27</x:v>
      </x:c>
      <x:c r="E11" s="296" t="n">
        <x:v>35</x:v>
      </x:c>
      <x:c r="F11" s="296" t="n">
        <x:v>50</x:v>
      </x:c>
      <x:c r="G11" s="296" t="n">
        <x:v>4</x:v>
      </x:c>
      <x:c r="H11" s="296" t="n">
        <x:v>7</x:v>
      </x:c>
      <x:c r="I11" s="296" t="n">
        <x:f>SUM(B11:F11)</x:f>
        <x:v>137</x:v>
      </x:c>
      <x:c r="J11" s="296" t="n">
        <x:f>MOD(B11,2)+MOD(C11,2)+MOD(D11,2)+MOD(E11,2)+MOD(F11,2)</x:f>
        <x:v>3</x:v>
      </x:c>
      <x:c r="K11" s="296" t="n">
        <x:f>COUNTIF(B11:F11,"&gt;31")</x:f>
        <x:v>2</x:v>
      </x:c>
      <x:c r="L11" s="336" t="n">
        <x:f>1/'Executive Summary'!$B$24</x:f>
        <x:v>7.1511238420185165e-9</x:v>
      </x:c>
      <x:c r="M11" s="342" t="n">
        <x:f>2.5</x:f>
        <x:v>2.5</x:v>
      </x:c>
      <x:c r="N11" s="288" t="str">
        <x:v>Conditional coverage wheel</x:v>
      </x:c>
    </x:row>
    <x:row r="12">
      <x:c r="A12" s="295" t="n">
        <x:v>8</x:v>
      </x:c>
      <x:c r="B12" s="296" t="n">
        <x:v>4</x:v>
      </x:c>
      <x:c r="C12" s="296" t="n">
        <x:v>21</x:v>
      </x:c>
      <x:c r="D12" s="296" t="n">
        <x:v>27</x:v>
      </x:c>
      <x:c r="E12" s="296" t="n">
        <x:v>35</x:v>
      </x:c>
      <x:c r="F12" s="296" t="n">
        <x:v>50</x:v>
      </x:c>
      <x:c r="G12" s="296" t="n">
        <x:v>4</x:v>
      </x:c>
      <x:c r="H12" s="296" t="n">
        <x:v>8</x:v>
      </x:c>
      <x:c r="I12" s="296" t="n">
        <x:f>SUM(B12:F12)</x:f>
        <x:v>137</x:v>
      </x:c>
      <x:c r="J12" s="296" t="n">
        <x:f>MOD(B12,2)+MOD(C12,2)+MOD(D12,2)+MOD(E12,2)+MOD(F12,2)</x:f>
        <x:v>3</x:v>
      </x:c>
      <x:c r="K12" s="296" t="n">
        <x:f>COUNTIF(B12:F12,"&gt;31")</x:f>
        <x:v>2</x:v>
      </x:c>
      <x:c r="L12" s="336" t="n">
        <x:f>1/'Executive Summary'!$B$24</x:f>
        <x:v>7.1511238420185165e-9</x:v>
      </x:c>
      <x:c r="M12" s="342" t="n">
        <x:f>2.5</x:f>
        <x:v>2.5</x:v>
      </x:c>
      <x:c r="N12" s="288" t="str">
        <x:v>Conditional coverage wheel</x:v>
      </x:c>
    </x:row>
    <x:row r="13">
      <x:c r="A13" s="295" t="n">
        <x:v>9</x:v>
      </x:c>
      <x:c r="B13" s="296" t="n">
        <x:v>4</x:v>
      </x:c>
      <x:c r="C13" s="296" t="n">
        <x:v>21</x:v>
      </x:c>
      <x:c r="D13" s="296" t="n">
        <x:v>27</x:v>
      </x:c>
      <x:c r="E13" s="296" t="n">
        <x:v>35</x:v>
      </x:c>
      <x:c r="F13" s="296" t="n">
        <x:v>50</x:v>
      </x:c>
      <x:c r="G13" s="296" t="n">
        <x:v>4</x:v>
      </x:c>
      <x:c r="H13" s="296" t="n">
        <x:v>9</x:v>
      </x:c>
      <x:c r="I13" s="296" t="n">
        <x:f>SUM(B13:F13)</x:f>
        <x:v>137</x:v>
      </x:c>
      <x:c r="J13" s="296" t="n">
        <x:f>MOD(B13,2)+MOD(C13,2)+MOD(D13,2)+MOD(E13,2)+MOD(F13,2)</x:f>
        <x:v>3</x:v>
      </x:c>
      <x:c r="K13" s="296" t="n">
        <x:f>COUNTIF(B13:F13,"&gt;31")</x:f>
        <x:v>2</x:v>
      </x:c>
      <x:c r="L13" s="336" t="n">
        <x:f>1/'Executive Summary'!$B$24</x:f>
        <x:v>7.1511238420185165e-9</x:v>
      </x:c>
      <x:c r="M13" s="342" t="n">
        <x:f>2.5</x:f>
        <x:v>2.5</x:v>
      </x:c>
      <x:c r="N13" s="288" t="str">
        <x:v>Conditional coverage wheel</x:v>
      </x:c>
    </x:row>
    <x:row r="14">
      <x:c r="A14" s="295" t="n">
        <x:v>10</x:v>
      </x:c>
      <x:c r="B14" s="296" t="n">
        <x:v>4</x:v>
      </x:c>
      <x:c r="C14" s="296" t="n">
        <x:v>21</x:v>
      </x:c>
      <x:c r="D14" s="296" t="n">
        <x:v>27</x:v>
      </x:c>
      <x:c r="E14" s="296" t="n">
        <x:v>35</x:v>
      </x:c>
      <x:c r="F14" s="296" t="n">
        <x:v>50</x:v>
      </x:c>
      <x:c r="G14" s="296" t="n">
        <x:v>5</x:v>
      </x:c>
      <x:c r="H14" s="296" t="n">
        <x:v>7</x:v>
      </x:c>
      <x:c r="I14" s="296" t="n">
        <x:f>SUM(B14:F14)</x:f>
        <x:v>137</x:v>
      </x:c>
      <x:c r="J14" s="296" t="n">
        <x:f>MOD(B14,2)+MOD(C14,2)+MOD(D14,2)+MOD(E14,2)+MOD(F14,2)</x:f>
        <x:v>3</x:v>
      </x:c>
      <x:c r="K14" s="296" t="n">
        <x:f>COUNTIF(B14:F14,"&gt;31")</x:f>
        <x:v>2</x:v>
      </x:c>
      <x:c r="L14" s="336" t="n">
        <x:f>1/'Executive Summary'!$B$24</x:f>
        <x:v>7.1511238420185165e-9</x:v>
      </x:c>
      <x:c r="M14" s="342" t="n">
        <x:f>2.5</x:f>
        <x:v>2.5</x:v>
      </x:c>
      <x:c r="N14" s="288" t="str">
        <x:v>Conditional coverage wheel</x:v>
      </x:c>
    </x:row>
    <x:row r="15">
      <x:c r="A15" s="295" t="n">
        <x:v>11</x:v>
      </x:c>
      <x:c r="B15" s="296" t="n">
        <x:v>4</x:v>
      </x:c>
      <x:c r="C15" s="296" t="n">
        <x:v>21</x:v>
      </x:c>
      <x:c r="D15" s="296" t="n">
        <x:v>27</x:v>
      </x:c>
      <x:c r="E15" s="296" t="n">
        <x:v>35</x:v>
      </x:c>
      <x:c r="F15" s="296" t="n">
        <x:v>50</x:v>
      </x:c>
      <x:c r="G15" s="296" t="n">
        <x:v>5</x:v>
      </x:c>
      <x:c r="H15" s="296" t="n">
        <x:v>8</x:v>
      </x:c>
      <x:c r="I15" s="296" t="n">
        <x:f>SUM(B15:F15)</x:f>
        <x:v>137</x:v>
      </x:c>
      <x:c r="J15" s="296" t="n">
        <x:f>MOD(B15,2)+MOD(C15,2)+MOD(D15,2)+MOD(E15,2)+MOD(F15,2)</x:f>
        <x:v>3</x:v>
      </x:c>
      <x:c r="K15" s="296" t="n">
        <x:f>COUNTIF(B15:F15,"&gt;31")</x:f>
        <x:v>2</x:v>
      </x:c>
      <x:c r="L15" s="336" t="n">
        <x:f>1/'Executive Summary'!$B$24</x:f>
        <x:v>7.1511238420185165e-9</x:v>
      </x:c>
      <x:c r="M15" s="342" t="n">
        <x:f>2.5</x:f>
        <x:v>2.5</x:v>
      </x:c>
      <x:c r="N15" s="288" t="str">
        <x:v>Conditional coverage wheel</x:v>
      </x:c>
    </x:row>
    <x:row r="16">
      <x:c r="A16" s="295" t="n">
        <x:v>12</x:v>
      </x:c>
      <x:c r="B16" s="296" t="n">
        <x:v>4</x:v>
      </x:c>
      <x:c r="C16" s="296" t="n">
        <x:v>21</x:v>
      </x:c>
      <x:c r="D16" s="296" t="n">
        <x:v>27</x:v>
      </x:c>
      <x:c r="E16" s="296" t="n">
        <x:v>35</x:v>
      </x:c>
      <x:c r="F16" s="296" t="n">
        <x:v>50</x:v>
      </x:c>
      <x:c r="G16" s="296" t="n">
        <x:v>5</x:v>
      </x:c>
      <x:c r="H16" s="296" t="n">
        <x:v>9</x:v>
      </x:c>
      <x:c r="I16" s="296" t="n">
        <x:f>SUM(B16:F16)</x:f>
        <x:v>137</x:v>
      </x:c>
      <x:c r="J16" s="296" t="n">
        <x:f>MOD(B16,2)+MOD(C16,2)+MOD(D16,2)+MOD(E16,2)+MOD(F16,2)</x:f>
        <x:v>3</x:v>
      </x:c>
      <x:c r="K16" s="296" t="n">
        <x:f>COUNTIF(B16:F16,"&gt;31")</x:f>
        <x:v>2</x:v>
      </x:c>
      <x:c r="L16" s="336" t="n">
        <x:f>1/'Executive Summary'!$B$24</x:f>
        <x:v>7.1511238420185165e-9</x:v>
      </x:c>
      <x:c r="M16" s="342" t="n">
        <x:f>2.5</x:f>
        <x:v>2.5</x:v>
      </x:c>
      <x:c r="N16" s="288" t="str">
        <x:v>Conditional coverage wheel</x:v>
      </x:c>
    </x:row>
    <x:row r="17">
      <x:c r="A17" s="295" t="n">
        <x:v>13</x:v>
      </x:c>
      <x:c r="B17" s="296" t="n">
        <x:v>4</x:v>
      </x:c>
      <x:c r="C17" s="296" t="n">
        <x:v>21</x:v>
      </x:c>
      <x:c r="D17" s="296" t="n">
        <x:v>27</x:v>
      </x:c>
      <x:c r="E17" s="296" t="n">
        <x:v>35</x:v>
      </x:c>
      <x:c r="F17" s="296" t="n">
        <x:v>50</x:v>
      </x:c>
      <x:c r="G17" s="296" t="n">
        <x:v>7</x:v>
      </x:c>
      <x:c r="H17" s="296" t="n">
        <x:v>8</x:v>
      </x:c>
      <x:c r="I17" s="296" t="n">
        <x:f>SUM(B17:F17)</x:f>
        <x:v>137</x:v>
      </x:c>
      <x:c r="J17" s="296" t="n">
        <x:f>MOD(B17,2)+MOD(C17,2)+MOD(D17,2)+MOD(E17,2)+MOD(F17,2)</x:f>
        <x:v>3</x:v>
      </x:c>
      <x:c r="K17" s="296" t="n">
        <x:f>COUNTIF(B17:F17,"&gt;31")</x:f>
        <x:v>2</x:v>
      </x:c>
      <x:c r="L17" s="336" t="n">
        <x:f>1/'Executive Summary'!$B$24</x:f>
        <x:v>7.1511238420185165e-9</x:v>
      </x:c>
      <x:c r="M17" s="342" t="n">
        <x:f>2.5</x:f>
        <x:v>2.5</x:v>
      </x:c>
      <x:c r="N17" s="288" t="str">
        <x:v>Conditional coverage wheel</x:v>
      </x:c>
    </x:row>
    <x:row r="18">
      <x:c r="A18" s="295" t="n">
        <x:v>14</x:v>
      </x:c>
      <x:c r="B18" s="296" t="n">
        <x:v>4</x:v>
      </x:c>
      <x:c r="C18" s="296" t="n">
        <x:v>21</x:v>
      </x:c>
      <x:c r="D18" s="296" t="n">
        <x:v>27</x:v>
      </x:c>
      <x:c r="E18" s="296" t="n">
        <x:v>35</x:v>
      </x:c>
      <x:c r="F18" s="296" t="n">
        <x:v>50</x:v>
      </x:c>
      <x:c r="G18" s="296" t="n">
        <x:v>7</x:v>
      </x:c>
      <x:c r="H18" s="296" t="n">
        <x:v>9</x:v>
      </x:c>
      <x:c r="I18" s="296" t="n">
        <x:f>SUM(B18:F18)</x:f>
        <x:v>137</x:v>
      </x:c>
      <x:c r="J18" s="296" t="n">
        <x:f>MOD(B18,2)+MOD(C18,2)+MOD(D18,2)+MOD(E18,2)+MOD(F18,2)</x:f>
        <x:v>3</x:v>
      </x:c>
      <x:c r="K18" s="296" t="n">
        <x:f>COUNTIF(B18:F18,"&gt;31")</x:f>
        <x:v>2</x:v>
      </x:c>
      <x:c r="L18" s="336" t="n">
        <x:f>1/'Executive Summary'!$B$24</x:f>
        <x:v>7.1511238420185165e-9</x:v>
      </x:c>
      <x:c r="M18" s="342" t="n">
        <x:f>2.5</x:f>
        <x:v>2.5</x:v>
      </x:c>
      <x:c r="N18" s="288" t="str">
        <x:v>Conditional coverage wheel</x:v>
      </x:c>
    </x:row>
    <x:row r="19">
      <x:c r="A19" s="295" t="n">
        <x:v>15</x:v>
      </x:c>
      <x:c r="B19" s="296" t="n">
        <x:v>4</x:v>
      </x:c>
      <x:c r="C19" s="296" t="n">
        <x:v>21</x:v>
      </x:c>
      <x:c r="D19" s="296" t="n">
        <x:v>27</x:v>
      </x:c>
      <x:c r="E19" s="296" t="n">
        <x:v>35</x:v>
      </x:c>
      <x:c r="F19" s="296" t="n">
        <x:v>50</x:v>
      </x:c>
      <x:c r="G19" s="296" t="n">
        <x:v>8</x:v>
      </x:c>
      <x:c r="H19" s="296" t="n">
        <x:v>9</x:v>
      </x:c>
      <x:c r="I19" s="296" t="n">
        <x:f>SUM(B19:F19)</x:f>
        <x:v>137</x:v>
      </x:c>
      <x:c r="J19" s="296" t="n">
        <x:f>MOD(B19,2)+MOD(C19,2)+MOD(D19,2)+MOD(E19,2)+MOD(F19,2)</x:f>
        <x:v>3</x:v>
      </x:c>
      <x:c r="K19" s="296" t="n">
        <x:f>COUNTIF(B19:F19,"&gt;31")</x:f>
        <x:v>2</x:v>
      </x:c>
      <x:c r="L19" s="336" t="n">
        <x:f>1/'Executive Summary'!$B$24</x:f>
        <x:v>7.1511238420185165e-9</x:v>
      </x:c>
      <x:c r="M19" s="342" t="n">
        <x:f>2.5</x:f>
        <x:v>2.5</x:v>
      </x:c>
      <x:c r="N19" s="288" t="str">
        <x:v>Conditional coverage wheel</x:v>
      </x:c>
    </x:row>
    <x:row r="20">
      <x:c r="A20" s="295" t="n">
        <x:v>16</x:v>
      </x:c>
      <x:c r="B20" s="296" t="n">
        <x:v>4</x:v>
      </x:c>
      <x:c r="C20" s="296" t="n">
        <x:v>21</x:v>
      </x:c>
      <x:c r="D20" s="296" t="n">
        <x:v>28</x:v>
      </x:c>
      <x:c r="E20" s="296" t="n">
        <x:v>37</x:v>
      </x:c>
      <x:c r="F20" s="296" t="n">
        <x:v>42</x:v>
      </x:c>
      <x:c r="G20" s="296" t="n">
        <x:v>3</x:v>
      </x:c>
      <x:c r="H20" s="296" t="n">
        <x:v>4</x:v>
      </x:c>
      <x:c r="I20" s="296" t="n">
        <x:f>SUM(B20:F20)</x:f>
        <x:v>132</x:v>
      </x:c>
      <x:c r="J20" s="296" t="n">
        <x:f>MOD(B20,2)+MOD(C20,2)+MOD(D20,2)+MOD(E20,2)+MOD(F20,2)</x:f>
        <x:v>2</x:v>
      </x:c>
      <x:c r="K20" s="296" t="n">
        <x:f>COUNTIF(B20:F20,"&gt;31")</x:f>
        <x:v>2</x:v>
      </x:c>
      <x:c r="L20" s="336" t="n">
        <x:f>1/'Executive Summary'!$B$24</x:f>
        <x:v>7.1511238420185165e-9</x:v>
      </x:c>
      <x:c r="M20" s="342" t="n">
        <x:f>2.5</x:f>
        <x:v>2.5</x:v>
      </x:c>
      <x:c r="N20" s="288" t="str">
        <x:v>Conditional coverage wheel</x:v>
      </x:c>
    </x:row>
    <x:row r="21">
      <x:c r="A21" s="295" t="n">
        <x:v>17</x:v>
      </x:c>
      <x:c r="B21" s="296" t="n">
        <x:v>4</x:v>
      </x:c>
      <x:c r="C21" s="296" t="n">
        <x:v>21</x:v>
      </x:c>
      <x:c r="D21" s="296" t="n">
        <x:v>28</x:v>
      </x:c>
      <x:c r="E21" s="296" t="n">
        <x:v>37</x:v>
      </x:c>
      <x:c r="F21" s="296" t="n">
        <x:v>42</x:v>
      </x:c>
      <x:c r="G21" s="296" t="n">
        <x:v>3</x:v>
      </x:c>
      <x:c r="H21" s="296" t="n">
        <x:v>5</x:v>
      </x:c>
      <x:c r="I21" s="296" t="n">
        <x:f>SUM(B21:F21)</x:f>
        <x:v>132</x:v>
      </x:c>
      <x:c r="J21" s="296" t="n">
        <x:f>MOD(B21,2)+MOD(C21,2)+MOD(D21,2)+MOD(E21,2)+MOD(F21,2)</x:f>
        <x:v>2</x:v>
      </x:c>
      <x:c r="K21" s="296" t="n">
        <x:f>COUNTIF(B21:F21,"&gt;31")</x:f>
        <x:v>2</x:v>
      </x:c>
      <x:c r="L21" s="336" t="n">
        <x:f>1/'Executive Summary'!$B$24</x:f>
        <x:v>7.1511238420185165e-9</x:v>
      </x:c>
      <x:c r="M21" s="342" t="n">
        <x:f>2.5</x:f>
        <x:v>2.5</x:v>
      </x:c>
      <x:c r="N21" s="288" t="str">
        <x:v>Conditional coverage wheel</x:v>
      </x:c>
    </x:row>
    <x:row r="22">
      <x:c r="A22" s="295" t="n">
        <x:v>18</x:v>
      </x:c>
      <x:c r="B22" s="296" t="n">
        <x:v>4</x:v>
      </x:c>
      <x:c r="C22" s="296" t="n">
        <x:v>21</x:v>
      </x:c>
      <x:c r="D22" s="296" t="n">
        <x:v>28</x:v>
      </x:c>
      <x:c r="E22" s="296" t="n">
        <x:v>37</x:v>
      </x:c>
      <x:c r="F22" s="296" t="n">
        <x:v>42</x:v>
      </x:c>
      <x:c r="G22" s="296" t="n">
        <x:v>3</x:v>
      </x:c>
      <x:c r="H22" s="296" t="n">
        <x:v>7</x:v>
      </x:c>
      <x:c r="I22" s="296" t="n">
        <x:f>SUM(B22:F22)</x:f>
        <x:v>132</x:v>
      </x:c>
      <x:c r="J22" s="296" t="n">
        <x:f>MOD(B22,2)+MOD(C22,2)+MOD(D22,2)+MOD(E22,2)+MOD(F22,2)</x:f>
        <x:v>2</x:v>
      </x:c>
      <x:c r="K22" s="296" t="n">
        <x:f>COUNTIF(B22:F22,"&gt;31")</x:f>
        <x:v>2</x:v>
      </x:c>
      <x:c r="L22" s="336" t="n">
        <x:f>1/'Executive Summary'!$B$24</x:f>
        <x:v>7.1511238420185165e-9</x:v>
      </x:c>
      <x:c r="M22" s="342" t="n">
        <x:f>2.5</x:f>
        <x:v>2.5</x:v>
      </x:c>
      <x:c r="N22" s="288" t="str">
        <x:v>Conditional coverage wheel</x:v>
      </x:c>
    </x:row>
    <x:row r="23">
      <x:c r="A23" s="295" t="n">
        <x:v>19</x:v>
      </x:c>
      <x:c r="B23" s="296" t="n">
        <x:v>4</x:v>
      </x:c>
      <x:c r="C23" s="296" t="n">
        <x:v>21</x:v>
      </x:c>
      <x:c r="D23" s="296" t="n">
        <x:v>28</x:v>
      </x:c>
      <x:c r="E23" s="296" t="n">
        <x:v>37</x:v>
      </x:c>
      <x:c r="F23" s="296" t="n">
        <x:v>42</x:v>
      </x:c>
      <x:c r="G23" s="296" t="n">
        <x:v>3</x:v>
      </x:c>
      <x:c r="H23" s="296" t="n">
        <x:v>8</x:v>
      </x:c>
      <x:c r="I23" s="296" t="n">
        <x:f>SUM(B23:F23)</x:f>
        <x:v>132</x:v>
      </x:c>
      <x:c r="J23" s="296" t="n">
        <x:f>MOD(B23,2)+MOD(C23,2)+MOD(D23,2)+MOD(E23,2)+MOD(F23,2)</x:f>
        <x:v>2</x:v>
      </x:c>
      <x:c r="K23" s="296" t="n">
        <x:f>COUNTIF(B23:F23,"&gt;31")</x:f>
        <x:v>2</x:v>
      </x:c>
      <x:c r="L23" s="336" t="n">
        <x:f>1/'Executive Summary'!$B$24</x:f>
        <x:v>7.1511238420185165e-9</x:v>
      </x:c>
      <x:c r="M23" s="342" t="n">
        <x:f>2.5</x:f>
        <x:v>2.5</x:v>
      </x:c>
      <x:c r="N23" s="288" t="str">
        <x:v>Conditional coverage wheel</x:v>
      </x:c>
    </x:row>
    <x:row r="24">
      <x:c r="A24" s="295" t="n">
        <x:v>20</x:v>
      </x:c>
      <x:c r="B24" s="296" t="n">
        <x:v>4</x:v>
      </x:c>
      <x:c r="C24" s="296" t="n">
        <x:v>21</x:v>
      </x:c>
      <x:c r="D24" s="296" t="n">
        <x:v>28</x:v>
      </x:c>
      <x:c r="E24" s="296" t="n">
        <x:v>37</x:v>
      </x:c>
      <x:c r="F24" s="296" t="n">
        <x:v>42</x:v>
      </x:c>
      <x:c r="G24" s="296" t="n">
        <x:v>3</x:v>
      </x:c>
      <x:c r="H24" s="296" t="n">
        <x:v>9</x:v>
      </x:c>
      <x:c r="I24" s="296" t="n">
        <x:f>SUM(B24:F24)</x:f>
        <x:v>132</x:v>
      </x:c>
      <x:c r="J24" s="296" t="n">
        <x:f>MOD(B24,2)+MOD(C24,2)+MOD(D24,2)+MOD(E24,2)+MOD(F24,2)</x:f>
        <x:v>2</x:v>
      </x:c>
      <x:c r="K24" s="296" t="n">
        <x:f>COUNTIF(B24:F24,"&gt;31")</x:f>
        <x:v>2</x:v>
      </x:c>
      <x:c r="L24" s="336" t="n">
        <x:f>1/'Executive Summary'!$B$24</x:f>
        <x:v>7.1511238420185165e-9</x:v>
      </x:c>
      <x:c r="M24" s="342" t="n">
        <x:f>2.5</x:f>
        <x:v>2.5</x:v>
      </x:c>
      <x:c r="N24" s="288" t="str">
        <x:v>Conditional coverage wheel</x:v>
      </x:c>
    </x:row>
    <x:row r="25">
      <x:c r="A25" s="295" t="n">
        <x:v>21</x:v>
      </x:c>
      <x:c r="B25" s="296" t="n">
        <x:v>4</x:v>
      </x:c>
      <x:c r="C25" s="296" t="n">
        <x:v>21</x:v>
      </x:c>
      <x:c r="D25" s="296" t="n">
        <x:v>28</x:v>
      </x:c>
      <x:c r="E25" s="296" t="n">
        <x:v>37</x:v>
      </x:c>
      <x:c r="F25" s="296" t="n">
        <x:v>42</x:v>
      </x:c>
      <x:c r="G25" s="296" t="n">
        <x:v>4</x:v>
      </x:c>
      <x:c r="H25" s="296" t="n">
        <x:v>5</x:v>
      </x:c>
      <x:c r="I25" s="296" t="n">
        <x:f>SUM(B25:F25)</x:f>
        <x:v>132</x:v>
      </x:c>
      <x:c r="J25" s="296" t="n">
        <x:f>MOD(B25,2)+MOD(C25,2)+MOD(D25,2)+MOD(E25,2)+MOD(F25,2)</x:f>
        <x:v>2</x:v>
      </x:c>
      <x:c r="K25" s="296" t="n">
        <x:f>COUNTIF(B25:F25,"&gt;31")</x:f>
        <x:v>2</x:v>
      </x:c>
      <x:c r="L25" s="336" t="n">
        <x:f>1/'Executive Summary'!$B$24</x:f>
        <x:v>7.1511238420185165e-9</x:v>
      </x:c>
      <x:c r="M25" s="342" t="n">
        <x:f>2.5</x:f>
        <x:v>2.5</x:v>
      </x:c>
      <x:c r="N25" s="288" t="str">
        <x:v>Conditional coverage wheel</x:v>
      </x:c>
    </x:row>
    <x:row r="26">
      <x:c r="A26" s="295" t="n">
        <x:v>22</x:v>
      </x:c>
      <x:c r="B26" s="296" t="n">
        <x:v>4</x:v>
      </x:c>
      <x:c r="C26" s="296" t="n">
        <x:v>21</x:v>
      </x:c>
      <x:c r="D26" s="296" t="n">
        <x:v>28</x:v>
      </x:c>
      <x:c r="E26" s="296" t="n">
        <x:v>37</x:v>
      </x:c>
      <x:c r="F26" s="296" t="n">
        <x:v>42</x:v>
      </x:c>
      <x:c r="G26" s="296" t="n">
        <x:v>4</x:v>
      </x:c>
      <x:c r="H26" s="296" t="n">
        <x:v>7</x:v>
      </x:c>
      <x:c r="I26" s="296" t="n">
        <x:f>SUM(B26:F26)</x:f>
        <x:v>132</x:v>
      </x:c>
      <x:c r="J26" s="296" t="n">
        <x:f>MOD(B26,2)+MOD(C26,2)+MOD(D26,2)+MOD(E26,2)+MOD(F26,2)</x:f>
        <x:v>2</x:v>
      </x:c>
      <x:c r="K26" s="296" t="n">
        <x:f>COUNTIF(B26:F26,"&gt;31")</x:f>
        <x:v>2</x:v>
      </x:c>
      <x:c r="L26" s="336" t="n">
        <x:f>1/'Executive Summary'!$B$24</x:f>
        <x:v>7.1511238420185165e-9</x:v>
      </x:c>
      <x:c r="M26" s="342" t="n">
        <x:f>2.5</x:f>
        <x:v>2.5</x:v>
      </x:c>
      <x:c r="N26" s="288" t="str">
        <x:v>Conditional coverage wheel</x:v>
      </x:c>
    </x:row>
    <x:row r="27">
      <x:c r="A27" s="295" t="n">
        <x:v>23</x:v>
      </x:c>
      <x:c r="B27" s="296" t="n">
        <x:v>4</x:v>
      </x:c>
      <x:c r="C27" s="296" t="n">
        <x:v>21</x:v>
      </x:c>
      <x:c r="D27" s="296" t="n">
        <x:v>28</x:v>
      </x:c>
      <x:c r="E27" s="296" t="n">
        <x:v>37</x:v>
      </x:c>
      <x:c r="F27" s="296" t="n">
        <x:v>42</x:v>
      </x:c>
      <x:c r="G27" s="296" t="n">
        <x:v>4</x:v>
      </x:c>
      <x:c r="H27" s="296" t="n">
        <x:v>8</x:v>
      </x:c>
      <x:c r="I27" s="296" t="n">
        <x:f>SUM(B27:F27)</x:f>
        <x:v>132</x:v>
      </x:c>
      <x:c r="J27" s="296" t="n">
        <x:f>MOD(B27,2)+MOD(C27,2)+MOD(D27,2)+MOD(E27,2)+MOD(F27,2)</x:f>
        <x:v>2</x:v>
      </x:c>
      <x:c r="K27" s="296" t="n">
        <x:f>COUNTIF(B27:F27,"&gt;31")</x:f>
        <x:v>2</x:v>
      </x:c>
      <x:c r="L27" s="336" t="n">
        <x:f>1/'Executive Summary'!$B$24</x:f>
        <x:v>7.1511238420185165e-9</x:v>
      </x:c>
      <x:c r="M27" s="342" t="n">
        <x:f>2.5</x:f>
        <x:v>2.5</x:v>
      </x:c>
      <x:c r="N27" s="288" t="str">
        <x:v>Conditional coverage wheel</x:v>
      </x:c>
    </x:row>
    <x:row r="28">
      <x:c r="A28" s="295" t="n">
        <x:v>24</x:v>
      </x:c>
      <x:c r="B28" s="296" t="n">
        <x:v>4</x:v>
      </x:c>
      <x:c r="C28" s="296" t="n">
        <x:v>21</x:v>
      </x:c>
      <x:c r="D28" s="296" t="n">
        <x:v>28</x:v>
      </x:c>
      <x:c r="E28" s="296" t="n">
        <x:v>37</x:v>
      </x:c>
      <x:c r="F28" s="296" t="n">
        <x:v>42</x:v>
      </x:c>
      <x:c r="G28" s="296" t="n">
        <x:v>4</x:v>
      </x:c>
      <x:c r="H28" s="296" t="n">
        <x:v>9</x:v>
      </x:c>
      <x:c r="I28" s="296" t="n">
        <x:f>SUM(B28:F28)</x:f>
        <x:v>132</x:v>
      </x:c>
      <x:c r="J28" s="296" t="n">
        <x:f>MOD(B28,2)+MOD(C28,2)+MOD(D28,2)+MOD(E28,2)+MOD(F28,2)</x:f>
        <x:v>2</x:v>
      </x:c>
      <x:c r="K28" s="296" t="n">
        <x:f>COUNTIF(B28:F28,"&gt;31")</x:f>
        <x:v>2</x:v>
      </x:c>
      <x:c r="L28" s="336" t="n">
        <x:f>1/'Executive Summary'!$B$24</x:f>
        <x:v>7.1511238420185165e-9</x:v>
      </x:c>
      <x:c r="M28" s="342" t="n">
        <x:f>2.5</x:f>
        <x:v>2.5</x:v>
      </x:c>
      <x:c r="N28" s="288" t="str">
        <x:v>Conditional coverage wheel</x:v>
      </x:c>
    </x:row>
    <x:row r="29">
      <x:c r="A29" s="295" t="n">
        <x:v>25</x:v>
      </x:c>
      <x:c r="B29" s="296" t="n">
        <x:v>4</x:v>
      </x:c>
      <x:c r="C29" s="296" t="n">
        <x:v>21</x:v>
      </x:c>
      <x:c r="D29" s="296" t="n">
        <x:v>28</x:v>
      </x:c>
      <x:c r="E29" s="296" t="n">
        <x:v>37</x:v>
      </x:c>
      <x:c r="F29" s="296" t="n">
        <x:v>42</x:v>
      </x:c>
      <x:c r="G29" s="296" t="n">
        <x:v>5</x:v>
      </x:c>
      <x:c r="H29" s="296" t="n">
        <x:v>7</x:v>
      </x:c>
      <x:c r="I29" s="296" t="n">
        <x:f>SUM(B29:F29)</x:f>
        <x:v>132</x:v>
      </x:c>
      <x:c r="J29" s="296" t="n">
        <x:f>MOD(B29,2)+MOD(C29,2)+MOD(D29,2)+MOD(E29,2)+MOD(F29,2)</x:f>
        <x:v>2</x:v>
      </x:c>
      <x:c r="K29" s="296" t="n">
        <x:f>COUNTIF(B29:F29,"&gt;31")</x:f>
        <x:v>2</x:v>
      </x:c>
      <x:c r="L29" s="336" t="n">
        <x:f>1/'Executive Summary'!$B$24</x:f>
        <x:v>7.1511238420185165e-9</x:v>
      </x:c>
      <x:c r="M29" s="342" t="n">
        <x:f>2.5</x:f>
        <x:v>2.5</x:v>
      </x:c>
      <x:c r="N29" s="288" t="str">
        <x:v>Conditional coverage wheel</x:v>
      </x:c>
    </x:row>
    <x:row r="30">
      <x:c r="A30" s="295" t="n">
        <x:v>26</x:v>
      </x:c>
      <x:c r="B30" s="296" t="n">
        <x:v>4</x:v>
      </x:c>
      <x:c r="C30" s="296" t="n">
        <x:v>21</x:v>
      </x:c>
      <x:c r="D30" s="296" t="n">
        <x:v>28</x:v>
      </x:c>
      <x:c r="E30" s="296" t="n">
        <x:v>37</x:v>
      </x:c>
      <x:c r="F30" s="296" t="n">
        <x:v>42</x:v>
      </x:c>
      <x:c r="G30" s="296" t="n">
        <x:v>5</x:v>
      </x:c>
      <x:c r="H30" s="296" t="n">
        <x:v>8</x:v>
      </x:c>
      <x:c r="I30" s="296" t="n">
        <x:f>SUM(B30:F30)</x:f>
        <x:v>132</x:v>
      </x:c>
      <x:c r="J30" s="296" t="n">
        <x:f>MOD(B30,2)+MOD(C30,2)+MOD(D30,2)+MOD(E30,2)+MOD(F30,2)</x:f>
        <x:v>2</x:v>
      </x:c>
      <x:c r="K30" s="296" t="n">
        <x:f>COUNTIF(B30:F30,"&gt;31")</x:f>
        <x:v>2</x:v>
      </x:c>
      <x:c r="L30" s="336" t="n">
        <x:f>1/'Executive Summary'!$B$24</x:f>
        <x:v>7.1511238420185165e-9</x:v>
      </x:c>
      <x:c r="M30" s="342" t="n">
        <x:f>2.5</x:f>
        <x:v>2.5</x:v>
      </x:c>
      <x:c r="N30" s="288" t="str">
        <x:v>Conditional coverage wheel</x:v>
      </x:c>
    </x:row>
    <x:row r="31">
      <x:c r="A31" s="295" t="n">
        <x:v>27</x:v>
      </x:c>
      <x:c r="B31" s="296" t="n">
        <x:v>4</x:v>
      </x:c>
      <x:c r="C31" s="296" t="n">
        <x:v>21</x:v>
      </x:c>
      <x:c r="D31" s="296" t="n">
        <x:v>28</x:v>
      </x:c>
      <x:c r="E31" s="296" t="n">
        <x:v>37</x:v>
      </x:c>
      <x:c r="F31" s="296" t="n">
        <x:v>42</x:v>
      </x:c>
      <x:c r="G31" s="296" t="n">
        <x:v>5</x:v>
      </x:c>
      <x:c r="H31" s="296" t="n">
        <x:v>9</x:v>
      </x:c>
      <x:c r="I31" s="296" t="n">
        <x:f>SUM(B31:F31)</x:f>
        <x:v>132</x:v>
      </x:c>
      <x:c r="J31" s="296" t="n">
        <x:f>MOD(B31,2)+MOD(C31,2)+MOD(D31,2)+MOD(E31,2)+MOD(F31,2)</x:f>
        <x:v>2</x:v>
      </x:c>
      <x:c r="K31" s="296" t="n">
        <x:f>COUNTIF(B31:F31,"&gt;31")</x:f>
        <x:v>2</x:v>
      </x:c>
      <x:c r="L31" s="336" t="n">
        <x:f>1/'Executive Summary'!$B$24</x:f>
        <x:v>7.1511238420185165e-9</x:v>
      </x:c>
      <x:c r="M31" s="342" t="n">
        <x:f>2.5</x:f>
        <x:v>2.5</x:v>
      </x:c>
      <x:c r="N31" s="288" t="str">
        <x:v>Conditional coverage wheel</x:v>
      </x:c>
    </x:row>
    <x:row r="32">
      <x:c r="A32" s="295" t="n">
        <x:v>28</x:v>
      </x:c>
      <x:c r="B32" s="296" t="n">
        <x:v>4</x:v>
      </x:c>
      <x:c r="C32" s="296" t="n">
        <x:v>21</x:v>
      </x:c>
      <x:c r="D32" s="296" t="n">
        <x:v>28</x:v>
      </x:c>
      <x:c r="E32" s="296" t="n">
        <x:v>37</x:v>
      </x:c>
      <x:c r="F32" s="296" t="n">
        <x:v>42</x:v>
      </x:c>
      <x:c r="G32" s="296" t="n">
        <x:v>7</x:v>
      </x:c>
      <x:c r="H32" s="296" t="n">
        <x:v>8</x:v>
      </x:c>
      <x:c r="I32" s="296" t="n">
        <x:f>SUM(B32:F32)</x:f>
        <x:v>132</x:v>
      </x:c>
      <x:c r="J32" s="296" t="n">
        <x:f>MOD(B32,2)+MOD(C32,2)+MOD(D32,2)+MOD(E32,2)+MOD(F32,2)</x:f>
        <x:v>2</x:v>
      </x:c>
      <x:c r="K32" s="296" t="n">
        <x:f>COUNTIF(B32:F32,"&gt;31")</x:f>
        <x:v>2</x:v>
      </x:c>
      <x:c r="L32" s="336" t="n">
        <x:f>1/'Executive Summary'!$B$24</x:f>
        <x:v>7.1511238420185165e-9</x:v>
      </x:c>
      <x:c r="M32" s="342" t="n">
        <x:f>2.5</x:f>
        <x:v>2.5</x:v>
      </x:c>
      <x:c r="N32" s="288" t="str">
        <x:v>Conditional coverage wheel</x:v>
      </x:c>
    </x:row>
    <x:row r="33">
      <x:c r="A33" s="295" t="n">
        <x:v>29</x:v>
      </x:c>
      <x:c r="B33" s="296" t="n">
        <x:v>4</x:v>
      </x:c>
      <x:c r="C33" s="296" t="n">
        <x:v>21</x:v>
      </x:c>
      <x:c r="D33" s="296" t="n">
        <x:v>28</x:v>
      </x:c>
      <x:c r="E33" s="296" t="n">
        <x:v>37</x:v>
      </x:c>
      <x:c r="F33" s="296" t="n">
        <x:v>42</x:v>
      </x:c>
      <x:c r="G33" s="296" t="n">
        <x:v>7</x:v>
      </x:c>
      <x:c r="H33" s="296" t="n">
        <x:v>9</x:v>
      </x:c>
      <x:c r="I33" s="296" t="n">
        <x:f>SUM(B33:F33)</x:f>
        <x:v>132</x:v>
      </x:c>
      <x:c r="J33" s="296" t="n">
        <x:f>MOD(B33,2)+MOD(C33,2)+MOD(D33,2)+MOD(E33,2)+MOD(F33,2)</x:f>
        <x:v>2</x:v>
      </x:c>
      <x:c r="K33" s="296" t="n">
        <x:f>COUNTIF(B33:F33,"&gt;31")</x:f>
        <x:v>2</x:v>
      </x:c>
      <x:c r="L33" s="336" t="n">
        <x:f>1/'Executive Summary'!$B$24</x:f>
        <x:v>7.1511238420185165e-9</x:v>
      </x:c>
      <x:c r="M33" s="342" t="n">
        <x:f>2.5</x:f>
        <x:v>2.5</x:v>
      </x:c>
      <x:c r="N33" s="288" t="str">
        <x:v>Conditional coverage wheel</x:v>
      </x:c>
    </x:row>
    <x:row r="34">
      <x:c r="A34" s="295" t="n">
        <x:v>30</x:v>
      </x:c>
      <x:c r="B34" s="296" t="n">
        <x:v>4</x:v>
      </x:c>
      <x:c r="C34" s="296" t="n">
        <x:v>21</x:v>
      </x:c>
      <x:c r="D34" s="296" t="n">
        <x:v>28</x:v>
      </x:c>
      <x:c r="E34" s="296" t="n">
        <x:v>37</x:v>
      </x:c>
      <x:c r="F34" s="296" t="n">
        <x:v>42</x:v>
      </x:c>
      <x:c r="G34" s="296" t="n">
        <x:v>8</x:v>
      </x:c>
      <x:c r="H34" s="296" t="n">
        <x:v>9</x:v>
      </x:c>
      <x:c r="I34" s="296" t="n">
        <x:f>SUM(B34:F34)</x:f>
        <x:v>132</x:v>
      </x:c>
      <x:c r="J34" s="296" t="n">
        <x:f>MOD(B34,2)+MOD(C34,2)+MOD(D34,2)+MOD(E34,2)+MOD(F34,2)</x:f>
        <x:v>2</x:v>
      </x:c>
      <x:c r="K34" s="296" t="n">
        <x:f>COUNTIF(B34:F34,"&gt;31")</x:f>
        <x:v>2</x:v>
      </x:c>
      <x:c r="L34" s="336" t="n">
        <x:f>1/'Executive Summary'!$B$24</x:f>
        <x:v>7.1511238420185165e-9</x:v>
      </x:c>
      <x:c r="M34" s="342" t="n">
        <x:f>2.5</x:f>
        <x:v>2.5</x:v>
      </x:c>
      <x:c r="N34" s="288" t="str">
        <x:v>Conditional coverage wheel</x:v>
      </x:c>
    </x:row>
    <x:row r="35">
      <x:c r="A35" s="295" t="n">
        <x:v>31</x:v>
      </x:c>
      <x:c r="B35" s="296" t="n">
        <x:v>4</x:v>
      </x:c>
      <x:c r="C35" s="296" t="n">
        <x:v>21</x:v>
      </x:c>
      <x:c r="D35" s="296" t="n">
        <x:v>36</x:v>
      </x:c>
      <x:c r="E35" s="296" t="n">
        <x:v>44</x:v>
      </x:c>
      <x:c r="F35" s="296" t="n">
        <x:v>48</x:v>
      </x:c>
      <x:c r="G35" s="296" t="n">
        <x:v>3</x:v>
      </x:c>
      <x:c r="H35" s="296" t="n">
        <x:v>4</x:v>
      </x:c>
      <x:c r="I35" s="296" t="n">
        <x:f>SUM(B35:F35)</x:f>
        <x:v>153</x:v>
      </x:c>
      <x:c r="J35" s="296" t="n">
        <x:f>MOD(B35,2)+MOD(C35,2)+MOD(D35,2)+MOD(E35,2)+MOD(F35,2)</x:f>
        <x:v>1</x:v>
      </x:c>
      <x:c r="K35" s="296" t="n">
        <x:f>COUNTIF(B35:F35,"&gt;31")</x:f>
        <x:v>3</x:v>
      </x:c>
      <x:c r="L35" s="336" t="n">
        <x:f>1/'Executive Summary'!$B$24</x:f>
        <x:v>7.1511238420185165e-9</x:v>
      </x:c>
      <x:c r="M35" s="342" t="n">
        <x:f>2.5</x:f>
        <x:v>2.5</x:v>
      </x:c>
      <x:c r="N35" s="288" t="str">
        <x:v>Conditional coverage wheel</x:v>
      </x:c>
    </x:row>
    <x:row r="36">
      <x:c r="A36" s="295" t="n">
        <x:v>32</x:v>
      </x:c>
      <x:c r="B36" s="296" t="n">
        <x:v>4</x:v>
      </x:c>
      <x:c r="C36" s="296" t="n">
        <x:v>21</x:v>
      </x:c>
      <x:c r="D36" s="296" t="n">
        <x:v>36</x:v>
      </x:c>
      <x:c r="E36" s="296" t="n">
        <x:v>44</x:v>
      </x:c>
      <x:c r="F36" s="296" t="n">
        <x:v>48</x:v>
      </x:c>
      <x:c r="G36" s="296" t="n">
        <x:v>3</x:v>
      </x:c>
      <x:c r="H36" s="296" t="n">
        <x:v>5</x:v>
      </x:c>
      <x:c r="I36" s="296" t="n">
        <x:f>SUM(B36:F36)</x:f>
        <x:v>153</x:v>
      </x:c>
      <x:c r="J36" s="296" t="n">
        <x:f>MOD(B36,2)+MOD(C36,2)+MOD(D36,2)+MOD(E36,2)+MOD(F36,2)</x:f>
        <x:v>1</x:v>
      </x:c>
      <x:c r="K36" s="296" t="n">
        <x:f>COUNTIF(B36:F36,"&gt;31")</x:f>
        <x:v>3</x:v>
      </x:c>
      <x:c r="L36" s="336" t="n">
        <x:f>1/'Executive Summary'!$B$24</x:f>
        <x:v>7.1511238420185165e-9</x:v>
      </x:c>
      <x:c r="M36" s="342" t="n">
        <x:f>2.5</x:f>
        <x:v>2.5</x:v>
      </x:c>
      <x:c r="N36" s="288" t="str">
        <x:v>Conditional coverage wheel</x:v>
      </x:c>
    </x:row>
    <x:row r="37">
      <x:c r="A37" s="295" t="n">
        <x:v>33</x:v>
      </x:c>
      <x:c r="B37" s="296" t="n">
        <x:v>4</x:v>
      </x:c>
      <x:c r="C37" s="296" t="n">
        <x:v>21</x:v>
      </x:c>
      <x:c r="D37" s="296" t="n">
        <x:v>36</x:v>
      </x:c>
      <x:c r="E37" s="296" t="n">
        <x:v>44</x:v>
      </x:c>
      <x:c r="F37" s="296" t="n">
        <x:v>48</x:v>
      </x:c>
      <x:c r="G37" s="296" t="n">
        <x:v>3</x:v>
      </x:c>
      <x:c r="H37" s="296" t="n">
        <x:v>7</x:v>
      </x:c>
      <x:c r="I37" s="296" t="n">
        <x:f>SUM(B37:F37)</x:f>
        <x:v>153</x:v>
      </x:c>
      <x:c r="J37" s="296" t="n">
        <x:f>MOD(B37,2)+MOD(C37,2)+MOD(D37,2)+MOD(E37,2)+MOD(F37,2)</x:f>
        <x:v>1</x:v>
      </x:c>
      <x:c r="K37" s="296" t="n">
        <x:f>COUNTIF(B37:F37,"&gt;31")</x:f>
        <x:v>3</x:v>
      </x:c>
      <x:c r="L37" s="336" t="n">
        <x:f>1/'Executive Summary'!$B$24</x:f>
        <x:v>7.1511238420185165e-9</x:v>
      </x:c>
      <x:c r="M37" s="342" t="n">
        <x:f>2.5</x:f>
        <x:v>2.5</x:v>
      </x:c>
      <x:c r="N37" s="288" t="str">
        <x:v>Conditional coverage wheel</x:v>
      </x:c>
    </x:row>
    <x:row r="38">
      <x:c r="A38" s="295" t="n">
        <x:v>34</x:v>
      </x:c>
      <x:c r="B38" s="296" t="n">
        <x:v>4</x:v>
      </x:c>
      <x:c r="C38" s="296" t="n">
        <x:v>21</x:v>
      </x:c>
      <x:c r="D38" s="296" t="n">
        <x:v>36</x:v>
      </x:c>
      <x:c r="E38" s="296" t="n">
        <x:v>44</x:v>
      </x:c>
      <x:c r="F38" s="296" t="n">
        <x:v>48</x:v>
      </x:c>
      <x:c r="G38" s="296" t="n">
        <x:v>3</x:v>
      </x:c>
      <x:c r="H38" s="296" t="n">
        <x:v>8</x:v>
      </x:c>
      <x:c r="I38" s="296" t="n">
        <x:f>SUM(B38:F38)</x:f>
        <x:v>153</x:v>
      </x:c>
      <x:c r="J38" s="296" t="n">
        <x:f>MOD(B38,2)+MOD(C38,2)+MOD(D38,2)+MOD(E38,2)+MOD(F38,2)</x:f>
        <x:v>1</x:v>
      </x:c>
      <x:c r="K38" s="296" t="n">
        <x:f>COUNTIF(B38:F38,"&gt;31")</x:f>
        <x:v>3</x:v>
      </x:c>
      <x:c r="L38" s="336" t="n">
        <x:f>1/'Executive Summary'!$B$24</x:f>
        <x:v>7.1511238420185165e-9</x:v>
      </x:c>
      <x:c r="M38" s="342" t="n">
        <x:f>2.5</x:f>
        <x:v>2.5</x:v>
      </x:c>
      <x:c r="N38" s="288" t="str">
        <x:v>Conditional coverage wheel</x:v>
      </x:c>
    </x:row>
    <x:row r="39">
      <x:c r="A39" s="295" t="n">
        <x:v>35</x:v>
      </x:c>
      <x:c r="B39" s="296" t="n">
        <x:v>4</x:v>
      </x:c>
      <x:c r="C39" s="296" t="n">
        <x:v>21</x:v>
      </x:c>
      <x:c r="D39" s="296" t="n">
        <x:v>36</x:v>
      </x:c>
      <x:c r="E39" s="296" t="n">
        <x:v>44</x:v>
      </x:c>
      <x:c r="F39" s="296" t="n">
        <x:v>48</x:v>
      </x:c>
      <x:c r="G39" s="296" t="n">
        <x:v>3</x:v>
      </x:c>
      <x:c r="H39" s="296" t="n">
        <x:v>9</x:v>
      </x:c>
      <x:c r="I39" s="296" t="n">
        <x:f>SUM(B39:F39)</x:f>
        <x:v>153</x:v>
      </x:c>
      <x:c r="J39" s="296" t="n">
        <x:f>MOD(B39,2)+MOD(C39,2)+MOD(D39,2)+MOD(E39,2)+MOD(F39,2)</x:f>
        <x:v>1</x:v>
      </x:c>
      <x:c r="K39" s="296" t="n">
        <x:f>COUNTIF(B39:F39,"&gt;31")</x:f>
        <x:v>3</x:v>
      </x:c>
      <x:c r="L39" s="336" t="n">
        <x:f>1/'Executive Summary'!$B$24</x:f>
        <x:v>7.1511238420185165e-9</x:v>
      </x:c>
      <x:c r="M39" s="342" t="n">
        <x:f>2.5</x:f>
        <x:v>2.5</x:v>
      </x:c>
      <x:c r="N39" s="288" t="str">
        <x:v>Conditional coverage wheel</x:v>
      </x:c>
    </x:row>
    <x:row r="40">
      <x:c r="A40" s="295" t="n">
        <x:v>36</x:v>
      </x:c>
      <x:c r="B40" s="296" t="n">
        <x:v>4</x:v>
      </x:c>
      <x:c r="C40" s="296" t="n">
        <x:v>21</x:v>
      </x:c>
      <x:c r="D40" s="296" t="n">
        <x:v>36</x:v>
      </x:c>
      <x:c r="E40" s="296" t="n">
        <x:v>44</x:v>
      </x:c>
      <x:c r="F40" s="296" t="n">
        <x:v>48</x:v>
      </x:c>
      <x:c r="G40" s="296" t="n">
        <x:v>4</x:v>
      </x:c>
      <x:c r="H40" s="296" t="n">
        <x:v>5</x:v>
      </x:c>
      <x:c r="I40" s="296" t="n">
        <x:f>SUM(B40:F40)</x:f>
        <x:v>153</x:v>
      </x:c>
      <x:c r="J40" s="296" t="n">
        <x:f>MOD(B40,2)+MOD(C40,2)+MOD(D40,2)+MOD(E40,2)+MOD(F40,2)</x:f>
        <x:v>1</x:v>
      </x:c>
      <x:c r="K40" s="296" t="n">
        <x:f>COUNTIF(B40:F40,"&gt;31")</x:f>
        <x:v>3</x:v>
      </x:c>
      <x:c r="L40" s="336" t="n">
        <x:f>1/'Executive Summary'!$B$24</x:f>
        <x:v>7.1511238420185165e-9</x:v>
      </x:c>
      <x:c r="M40" s="342" t="n">
        <x:f>2.5</x:f>
        <x:v>2.5</x:v>
      </x:c>
      <x:c r="N40" s="288" t="str">
        <x:v>Conditional coverage wheel</x:v>
      </x:c>
    </x:row>
    <x:row r="41">
      <x:c r="A41" s="295" t="n">
        <x:v>37</x:v>
      </x:c>
      <x:c r="B41" s="296" t="n">
        <x:v>4</x:v>
      </x:c>
      <x:c r="C41" s="296" t="n">
        <x:v>21</x:v>
      </x:c>
      <x:c r="D41" s="296" t="n">
        <x:v>36</x:v>
      </x:c>
      <x:c r="E41" s="296" t="n">
        <x:v>44</x:v>
      </x:c>
      <x:c r="F41" s="296" t="n">
        <x:v>48</x:v>
      </x:c>
      <x:c r="G41" s="296" t="n">
        <x:v>4</x:v>
      </x:c>
      <x:c r="H41" s="296" t="n">
        <x:v>7</x:v>
      </x:c>
      <x:c r="I41" s="296" t="n">
        <x:f>SUM(B41:F41)</x:f>
        <x:v>153</x:v>
      </x:c>
      <x:c r="J41" s="296" t="n">
        <x:f>MOD(B41,2)+MOD(C41,2)+MOD(D41,2)+MOD(E41,2)+MOD(F41,2)</x:f>
        <x:v>1</x:v>
      </x:c>
      <x:c r="K41" s="296" t="n">
        <x:f>COUNTIF(B41:F41,"&gt;31")</x:f>
        <x:v>3</x:v>
      </x:c>
      <x:c r="L41" s="336" t="n">
        <x:f>1/'Executive Summary'!$B$24</x:f>
        <x:v>7.1511238420185165e-9</x:v>
      </x:c>
      <x:c r="M41" s="342" t="n">
        <x:f>2.5</x:f>
        <x:v>2.5</x:v>
      </x:c>
      <x:c r="N41" s="288" t="str">
        <x:v>Conditional coverage wheel</x:v>
      </x:c>
    </x:row>
    <x:row r="42">
      <x:c r="A42" s="295" t="n">
        <x:v>38</x:v>
      </x:c>
      <x:c r="B42" s="296" t="n">
        <x:v>4</x:v>
      </x:c>
      <x:c r="C42" s="296" t="n">
        <x:v>21</x:v>
      </x:c>
      <x:c r="D42" s="296" t="n">
        <x:v>36</x:v>
      </x:c>
      <x:c r="E42" s="296" t="n">
        <x:v>44</x:v>
      </x:c>
      <x:c r="F42" s="296" t="n">
        <x:v>48</x:v>
      </x:c>
      <x:c r="G42" s="296" t="n">
        <x:v>4</x:v>
      </x:c>
      <x:c r="H42" s="296" t="n">
        <x:v>8</x:v>
      </x:c>
      <x:c r="I42" s="296" t="n">
        <x:f>SUM(B42:F42)</x:f>
        <x:v>153</x:v>
      </x:c>
      <x:c r="J42" s="296" t="n">
        <x:f>MOD(B42,2)+MOD(C42,2)+MOD(D42,2)+MOD(E42,2)+MOD(F42,2)</x:f>
        <x:v>1</x:v>
      </x:c>
      <x:c r="K42" s="296" t="n">
        <x:f>COUNTIF(B42:F42,"&gt;31")</x:f>
        <x:v>3</x:v>
      </x:c>
      <x:c r="L42" s="336" t="n">
        <x:f>1/'Executive Summary'!$B$24</x:f>
        <x:v>7.1511238420185165e-9</x:v>
      </x:c>
      <x:c r="M42" s="342" t="n">
        <x:f>2.5</x:f>
        <x:v>2.5</x:v>
      </x:c>
      <x:c r="N42" s="288" t="str">
        <x:v>Conditional coverage wheel</x:v>
      </x:c>
    </x:row>
    <x:row r="43">
      <x:c r="A43" s="295" t="n">
        <x:v>39</x:v>
      </x:c>
      <x:c r="B43" s="296" t="n">
        <x:v>4</x:v>
      </x:c>
      <x:c r="C43" s="296" t="n">
        <x:v>21</x:v>
      </x:c>
      <x:c r="D43" s="296" t="n">
        <x:v>36</x:v>
      </x:c>
      <x:c r="E43" s="296" t="n">
        <x:v>44</x:v>
      </x:c>
      <x:c r="F43" s="296" t="n">
        <x:v>48</x:v>
      </x:c>
      <x:c r="G43" s="296" t="n">
        <x:v>4</x:v>
      </x:c>
      <x:c r="H43" s="296" t="n">
        <x:v>9</x:v>
      </x:c>
      <x:c r="I43" s="296" t="n">
        <x:f>SUM(B43:F43)</x:f>
        <x:v>153</x:v>
      </x:c>
      <x:c r="J43" s="296" t="n">
        <x:f>MOD(B43,2)+MOD(C43,2)+MOD(D43,2)+MOD(E43,2)+MOD(F43,2)</x:f>
        <x:v>1</x:v>
      </x:c>
      <x:c r="K43" s="296" t="n">
        <x:f>COUNTIF(B43:F43,"&gt;31")</x:f>
        <x:v>3</x:v>
      </x:c>
      <x:c r="L43" s="336" t="n">
        <x:f>1/'Executive Summary'!$B$24</x:f>
        <x:v>7.1511238420185165e-9</x:v>
      </x:c>
      <x:c r="M43" s="342" t="n">
        <x:f>2.5</x:f>
        <x:v>2.5</x:v>
      </x:c>
      <x:c r="N43" s="288" t="str">
        <x:v>Conditional coverage wheel</x:v>
      </x:c>
    </x:row>
    <x:row r="44">
      <x:c r="A44" s="295" t="n">
        <x:v>40</x:v>
      </x:c>
      <x:c r="B44" s="296" t="n">
        <x:v>4</x:v>
      </x:c>
      <x:c r="C44" s="296" t="n">
        <x:v>21</x:v>
      </x:c>
      <x:c r="D44" s="296" t="n">
        <x:v>36</x:v>
      </x:c>
      <x:c r="E44" s="296" t="n">
        <x:v>44</x:v>
      </x:c>
      <x:c r="F44" s="296" t="n">
        <x:v>48</x:v>
      </x:c>
      <x:c r="G44" s="296" t="n">
        <x:v>5</x:v>
      </x:c>
      <x:c r="H44" s="296" t="n">
        <x:v>7</x:v>
      </x:c>
      <x:c r="I44" s="296" t="n">
        <x:f>SUM(B44:F44)</x:f>
        <x:v>153</x:v>
      </x:c>
      <x:c r="J44" s="296" t="n">
        <x:f>MOD(B44,2)+MOD(C44,2)+MOD(D44,2)+MOD(E44,2)+MOD(F44,2)</x:f>
        <x:v>1</x:v>
      </x:c>
      <x:c r="K44" s="296" t="n">
        <x:f>COUNTIF(B44:F44,"&gt;31")</x:f>
        <x:v>3</x:v>
      </x:c>
      <x:c r="L44" s="336" t="n">
        <x:f>1/'Executive Summary'!$B$24</x:f>
        <x:v>7.1511238420185165e-9</x:v>
      </x:c>
      <x:c r="M44" s="342" t="n">
        <x:f>2.5</x:f>
        <x:v>2.5</x:v>
      </x:c>
      <x:c r="N44" s="288" t="str">
        <x:v>Conditional coverage wheel</x:v>
      </x:c>
    </x:row>
    <x:row r="45">
      <x:c r="A45" s="295" t="n">
        <x:v>41</x:v>
      </x:c>
      <x:c r="B45" s="296" t="n">
        <x:v>4</x:v>
      </x:c>
      <x:c r="C45" s="296" t="n">
        <x:v>21</x:v>
      </x:c>
      <x:c r="D45" s="296" t="n">
        <x:v>36</x:v>
      </x:c>
      <x:c r="E45" s="296" t="n">
        <x:v>44</x:v>
      </x:c>
      <x:c r="F45" s="296" t="n">
        <x:v>48</x:v>
      </x:c>
      <x:c r="G45" s="296" t="n">
        <x:v>5</x:v>
      </x:c>
      <x:c r="H45" s="296" t="n">
        <x:v>8</x:v>
      </x:c>
      <x:c r="I45" s="296" t="n">
        <x:f>SUM(B45:F45)</x:f>
        <x:v>153</x:v>
      </x:c>
      <x:c r="J45" s="296" t="n">
        <x:f>MOD(B45,2)+MOD(C45,2)+MOD(D45,2)+MOD(E45,2)+MOD(F45,2)</x:f>
        <x:v>1</x:v>
      </x:c>
      <x:c r="K45" s="296" t="n">
        <x:f>COUNTIF(B45:F45,"&gt;31")</x:f>
        <x:v>3</x:v>
      </x:c>
      <x:c r="L45" s="336" t="n">
        <x:f>1/'Executive Summary'!$B$24</x:f>
        <x:v>7.1511238420185165e-9</x:v>
      </x:c>
      <x:c r="M45" s="342" t="n">
        <x:f>2.5</x:f>
        <x:v>2.5</x:v>
      </x:c>
      <x:c r="N45" s="288" t="str">
        <x:v>Conditional coverage wheel</x:v>
      </x:c>
    </x:row>
    <x:row r="46">
      <x:c r="A46" s="295" t="n">
        <x:v>42</x:v>
      </x:c>
      <x:c r="B46" s="296" t="n">
        <x:v>4</x:v>
      </x:c>
      <x:c r="C46" s="296" t="n">
        <x:v>21</x:v>
      </x:c>
      <x:c r="D46" s="296" t="n">
        <x:v>36</x:v>
      </x:c>
      <x:c r="E46" s="296" t="n">
        <x:v>44</x:v>
      </x:c>
      <x:c r="F46" s="296" t="n">
        <x:v>48</x:v>
      </x:c>
      <x:c r="G46" s="296" t="n">
        <x:v>5</x:v>
      </x:c>
      <x:c r="H46" s="296" t="n">
        <x:v>9</x:v>
      </x:c>
      <x:c r="I46" s="296" t="n">
        <x:f>SUM(B46:F46)</x:f>
        <x:v>153</x:v>
      </x:c>
      <x:c r="J46" s="296" t="n">
        <x:f>MOD(B46,2)+MOD(C46,2)+MOD(D46,2)+MOD(E46,2)+MOD(F46,2)</x:f>
        <x:v>1</x:v>
      </x:c>
      <x:c r="K46" s="296" t="n">
        <x:f>COUNTIF(B46:F46,"&gt;31")</x:f>
        <x:v>3</x:v>
      </x:c>
      <x:c r="L46" s="336" t="n">
        <x:f>1/'Executive Summary'!$B$24</x:f>
        <x:v>7.1511238420185165e-9</x:v>
      </x:c>
      <x:c r="M46" s="342" t="n">
        <x:f>2.5</x:f>
        <x:v>2.5</x:v>
      </x:c>
      <x:c r="N46" s="288" t="str">
        <x:v>Conditional coverage wheel</x:v>
      </x:c>
    </x:row>
    <x:row r="47">
      <x:c r="A47" s="295" t="n">
        <x:v>43</x:v>
      </x:c>
      <x:c r="B47" s="296" t="n">
        <x:v>4</x:v>
      </x:c>
      <x:c r="C47" s="296" t="n">
        <x:v>21</x:v>
      </x:c>
      <x:c r="D47" s="296" t="n">
        <x:v>36</x:v>
      </x:c>
      <x:c r="E47" s="296" t="n">
        <x:v>44</x:v>
      </x:c>
      <x:c r="F47" s="296" t="n">
        <x:v>48</x:v>
      </x:c>
      <x:c r="G47" s="296" t="n">
        <x:v>7</x:v>
      </x:c>
      <x:c r="H47" s="296" t="n">
        <x:v>8</x:v>
      </x:c>
      <x:c r="I47" s="296" t="n">
        <x:f>SUM(B47:F47)</x:f>
        <x:v>153</x:v>
      </x:c>
      <x:c r="J47" s="296" t="n">
        <x:f>MOD(B47,2)+MOD(C47,2)+MOD(D47,2)+MOD(E47,2)+MOD(F47,2)</x:f>
        <x:v>1</x:v>
      </x:c>
      <x:c r="K47" s="296" t="n">
        <x:f>COUNTIF(B47:F47,"&gt;31")</x:f>
        <x:v>3</x:v>
      </x:c>
      <x:c r="L47" s="336" t="n">
        <x:f>1/'Executive Summary'!$B$24</x:f>
        <x:v>7.1511238420185165e-9</x:v>
      </x:c>
      <x:c r="M47" s="342" t="n">
        <x:f>2.5</x:f>
        <x:v>2.5</x:v>
      </x:c>
      <x:c r="N47" s="288" t="str">
        <x:v>Conditional coverage wheel</x:v>
      </x:c>
    </x:row>
    <x:row r="48">
      <x:c r="A48" s="295" t="n">
        <x:v>44</x:v>
      </x:c>
      <x:c r="B48" s="296" t="n">
        <x:v>4</x:v>
      </x:c>
      <x:c r="C48" s="296" t="n">
        <x:v>21</x:v>
      </x:c>
      <x:c r="D48" s="296" t="n">
        <x:v>36</x:v>
      </x:c>
      <x:c r="E48" s="296" t="n">
        <x:v>44</x:v>
      </x:c>
      <x:c r="F48" s="296" t="n">
        <x:v>48</x:v>
      </x:c>
      <x:c r="G48" s="296" t="n">
        <x:v>7</x:v>
      </x:c>
      <x:c r="H48" s="296" t="n">
        <x:v>9</x:v>
      </x:c>
      <x:c r="I48" s="296" t="n">
        <x:f>SUM(B48:F48)</x:f>
        <x:v>153</x:v>
      </x:c>
      <x:c r="J48" s="296" t="n">
        <x:f>MOD(B48,2)+MOD(C48,2)+MOD(D48,2)+MOD(E48,2)+MOD(F48,2)</x:f>
        <x:v>1</x:v>
      </x:c>
      <x:c r="K48" s="296" t="n">
        <x:f>COUNTIF(B48:F48,"&gt;31")</x:f>
        <x:v>3</x:v>
      </x:c>
      <x:c r="L48" s="336" t="n">
        <x:f>1/'Executive Summary'!$B$24</x:f>
        <x:v>7.1511238420185165e-9</x:v>
      </x:c>
      <x:c r="M48" s="342" t="n">
        <x:f>2.5</x:f>
        <x:v>2.5</x:v>
      </x:c>
      <x:c r="N48" s="288" t="str">
        <x:v>Conditional coverage wheel</x:v>
      </x:c>
    </x:row>
    <x:row r="49">
      <x:c r="A49" s="295" t="n">
        <x:v>45</x:v>
      </x:c>
      <x:c r="B49" s="296" t="n">
        <x:v>4</x:v>
      </x:c>
      <x:c r="C49" s="296" t="n">
        <x:v>21</x:v>
      </x:c>
      <x:c r="D49" s="296" t="n">
        <x:v>36</x:v>
      </x:c>
      <x:c r="E49" s="296" t="n">
        <x:v>44</x:v>
      </x:c>
      <x:c r="F49" s="296" t="n">
        <x:v>48</x:v>
      </x:c>
      <x:c r="G49" s="296" t="n">
        <x:v>8</x:v>
      </x:c>
      <x:c r="H49" s="296" t="n">
        <x:v>9</x:v>
      </x:c>
      <x:c r="I49" s="296" t="n">
        <x:f>SUM(B49:F49)</x:f>
        <x:v>153</x:v>
      </x:c>
      <x:c r="J49" s="296" t="n">
        <x:f>MOD(B49,2)+MOD(C49,2)+MOD(D49,2)+MOD(E49,2)+MOD(F49,2)</x:f>
        <x:v>1</x:v>
      </x:c>
      <x:c r="K49" s="296" t="n">
        <x:f>COUNTIF(B49:F49,"&gt;31")</x:f>
        <x:v>3</x:v>
      </x:c>
      <x:c r="L49" s="336" t="n">
        <x:f>1/'Executive Summary'!$B$24</x:f>
        <x:v>7.1511238420185165e-9</x:v>
      </x:c>
      <x:c r="M49" s="342" t="n">
        <x:f>2.5</x:f>
        <x:v>2.5</x:v>
      </x:c>
      <x:c r="N49" s="288" t="str">
        <x:v>Conditional coverage wheel</x:v>
      </x:c>
    </x:row>
    <x:row r="50">
      <x:c r="A50" s="295" t="n">
        <x:v>46</x:v>
      </x:c>
      <x:c r="B50" s="296" t="n">
        <x:v>4</x:v>
      </x:c>
      <x:c r="C50" s="296" t="n">
        <x:v>25</x:v>
      </x:c>
      <x:c r="D50" s="296" t="n">
        <x:v>37</x:v>
      </x:c>
      <x:c r="E50" s="296" t="n">
        <x:v>44</x:v>
      </x:c>
      <x:c r="F50" s="296" t="n">
        <x:v>48</x:v>
      </x:c>
      <x:c r="G50" s="296" t="n">
        <x:v>3</x:v>
      </x:c>
      <x:c r="H50" s="296" t="n">
        <x:v>4</x:v>
      </x:c>
      <x:c r="I50" s="296" t="n">
        <x:f>SUM(B50:F50)</x:f>
        <x:v>158</x:v>
      </x:c>
      <x:c r="J50" s="296" t="n">
        <x:f>MOD(B50,2)+MOD(C50,2)+MOD(D50,2)+MOD(E50,2)+MOD(F50,2)</x:f>
        <x:v>2</x:v>
      </x:c>
      <x:c r="K50" s="296" t="n">
        <x:f>COUNTIF(B50:F50,"&gt;31")</x:f>
        <x:v>3</x:v>
      </x:c>
      <x:c r="L50" s="336" t="n">
        <x:f>1/'Executive Summary'!$B$24</x:f>
        <x:v>7.1511238420185165e-9</x:v>
      </x:c>
      <x:c r="M50" s="342" t="n">
        <x:f>2.5</x:f>
        <x:v>2.5</x:v>
      </x:c>
      <x:c r="N50" s="288" t="str">
        <x:v>Conditional coverage wheel</x:v>
      </x:c>
    </x:row>
    <x:row r="51">
      <x:c r="A51" s="295" t="n">
        <x:v>47</x:v>
      </x:c>
      <x:c r="B51" s="296" t="n">
        <x:v>4</x:v>
      </x:c>
      <x:c r="C51" s="296" t="n">
        <x:v>25</x:v>
      </x:c>
      <x:c r="D51" s="296" t="n">
        <x:v>37</x:v>
      </x:c>
      <x:c r="E51" s="296" t="n">
        <x:v>44</x:v>
      </x:c>
      <x:c r="F51" s="296" t="n">
        <x:v>48</x:v>
      </x:c>
      <x:c r="G51" s="296" t="n">
        <x:v>3</x:v>
      </x:c>
      <x:c r="H51" s="296" t="n">
        <x:v>5</x:v>
      </x:c>
      <x:c r="I51" s="296" t="n">
        <x:f>SUM(B51:F51)</x:f>
        <x:v>158</x:v>
      </x:c>
      <x:c r="J51" s="296" t="n">
        <x:f>MOD(B51,2)+MOD(C51,2)+MOD(D51,2)+MOD(E51,2)+MOD(F51,2)</x:f>
        <x:v>2</x:v>
      </x:c>
      <x:c r="K51" s="296" t="n">
        <x:f>COUNTIF(B51:F51,"&gt;31")</x:f>
        <x:v>3</x:v>
      </x:c>
      <x:c r="L51" s="336" t="n">
        <x:f>1/'Executive Summary'!$B$24</x:f>
        <x:v>7.1511238420185165e-9</x:v>
      </x:c>
      <x:c r="M51" s="342" t="n">
        <x:f>2.5</x:f>
        <x:v>2.5</x:v>
      </x:c>
      <x:c r="N51" s="288" t="str">
        <x:v>Conditional coverage wheel</x:v>
      </x:c>
    </x:row>
    <x:row r="52">
      <x:c r="A52" s="295" t="n">
        <x:v>48</x:v>
      </x:c>
      <x:c r="B52" s="296" t="n">
        <x:v>4</x:v>
      </x:c>
      <x:c r="C52" s="296" t="n">
        <x:v>25</x:v>
      </x:c>
      <x:c r="D52" s="296" t="n">
        <x:v>37</x:v>
      </x:c>
      <x:c r="E52" s="296" t="n">
        <x:v>44</x:v>
      </x:c>
      <x:c r="F52" s="296" t="n">
        <x:v>48</x:v>
      </x:c>
      <x:c r="G52" s="296" t="n">
        <x:v>3</x:v>
      </x:c>
      <x:c r="H52" s="296" t="n">
        <x:v>7</x:v>
      </x:c>
      <x:c r="I52" s="296" t="n">
        <x:f>SUM(B52:F52)</x:f>
        <x:v>158</x:v>
      </x:c>
      <x:c r="J52" s="296" t="n">
        <x:f>MOD(B52,2)+MOD(C52,2)+MOD(D52,2)+MOD(E52,2)+MOD(F52,2)</x:f>
        <x:v>2</x:v>
      </x:c>
      <x:c r="K52" s="296" t="n">
        <x:f>COUNTIF(B52:F52,"&gt;31")</x:f>
        <x:v>3</x:v>
      </x:c>
      <x:c r="L52" s="336" t="n">
        <x:f>1/'Executive Summary'!$B$24</x:f>
        <x:v>7.1511238420185165e-9</x:v>
      </x:c>
      <x:c r="M52" s="342" t="n">
        <x:f>2.5</x:f>
        <x:v>2.5</x:v>
      </x:c>
      <x:c r="N52" s="288" t="str">
        <x:v>Conditional coverage wheel</x:v>
      </x:c>
    </x:row>
    <x:row r="53">
      <x:c r="A53" s="295" t="n">
        <x:v>49</x:v>
      </x:c>
      <x:c r="B53" s="296" t="n">
        <x:v>4</x:v>
      </x:c>
      <x:c r="C53" s="296" t="n">
        <x:v>25</x:v>
      </x:c>
      <x:c r="D53" s="296" t="n">
        <x:v>37</x:v>
      </x:c>
      <x:c r="E53" s="296" t="n">
        <x:v>44</x:v>
      </x:c>
      <x:c r="F53" s="296" t="n">
        <x:v>48</x:v>
      </x:c>
      <x:c r="G53" s="296" t="n">
        <x:v>3</x:v>
      </x:c>
      <x:c r="H53" s="296" t="n">
        <x:v>8</x:v>
      </x:c>
      <x:c r="I53" s="296" t="n">
        <x:f>SUM(B53:F53)</x:f>
        <x:v>158</x:v>
      </x:c>
      <x:c r="J53" s="296" t="n">
        <x:f>MOD(B53,2)+MOD(C53,2)+MOD(D53,2)+MOD(E53,2)+MOD(F53,2)</x:f>
        <x:v>2</x:v>
      </x:c>
      <x:c r="K53" s="296" t="n">
        <x:f>COUNTIF(B53:F53,"&gt;31")</x:f>
        <x:v>3</x:v>
      </x:c>
      <x:c r="L53" s="336" t="n">
        <x:f>1/'Executive Summary'!$B$24</x:f>
        <x:v>7.1511238420185165e-9</x:v>
      </x:c>
      <x:c r="M53" s="342" t="n">
        <x:f>2.5</x:f>
        <x:v>2.5</x:v>
      </x:c>
      <x:c r="N53" s="288" t="str">
        <x:v>Conditional coverage wheel</x:v>
      </x:c>
    </x:row>
    <x:row r="54">
      <x:c r="A54" s="295" t="n">
        <x:v>50</x:v>
      </x:c>
      <x:c r="B54" s="296" t="n">
        <x:v>4</x:v>
      </x:c>
      <x:c r="C54" s="296" t="n">
        <x:v>25</x:v>
      </x:c>
      <x:c r="D54" s="296" t="n">
        <x:v>37</x:v>
      </x:c>
      <x:c r="E54" s="296" t="n">
        <x:v>44</x:v>
      </x:c>
      <x:c r="F54" s="296" t="n">
        <x:v>48</x:v>
      </x:c>
      <x:c r="G54" s="296" t="n">
        <x:v>3</x:v>
      </x:c>
      <x:c r="H54" s="296" t="n">
        <x:v>9</x:v>
      </x:c>
      <x:c r="I54" s="296" t="n">
        <x:f>SUM(B54:F54)</x:f>
        <x:v>158</x:v>
      </x:c>
      <x:c r="J54" s="296" t="n">
        <x:f>MOD(B54,2)+MOD(C54,2)+MOD(D54,2)+MOD(E54,2)+MOD(F54,2)</x:f>
        <x:v>2</x:v>
      </x:c>
      <x:c r="K54" s="296" t="n">
        <x:f>COUNTIF(B54:F54,"&gt;31")</x:f>
        <x:v>3</x:v>
      </x:c>
      <x:c r="L54" s="336" t="n">
        <x:f>1/'Executive Summary'!$B$24</x:f>
        <x:v>7.1511238420185165e-9</x:v>
      </x:c>
      <x:c r="M54" s="342" t="n">
        <x:f>2.5</x:f>
        <x:v>2.5</x:v>
      </x:c>
      <x:c r="N54" s="288" t="str">
        <x:v>Conditional coverage wheel</x:v>
      </x:c>
    </x:row>
    <x:row r="55">
      <x:c r="A55" s="295" t="n">
        <x:v>51</x:v>
      </x:c>
      <x:c r="B55" s="296" t="n">
        <x:v>4</x:v>
      </x:c>
      <x:c r="C55" s="296" t="n">
        <x:v>25</x:v>
      </x:c>
      <x:c r="D55" s="296" t="n">
        <x:v>37</x:v>
      </x:c>
      <x:c r="E55" s="296" t="n">
        <x:v>44</x:v>
      </x:c>
      <x:c r="F55" s="296" t="n">
        <x:v>48</x:v>
      </x:c>
      <x:c r="G55" s="296" t="n">
        <x:v>4</x:v>
      </x:c>
      <x:c r="H55" s="296" t="n">
        <x:v>5</x:v>
      </x:c>
      <x:c r="I55" s="296" t="n">
        <x:f>SUM(B55:F55)</x:f>
        <x:v>158</x:v>
      </x:c>
      <x:c r="J55" s="296" t="n">
        <x:f>MOD(B55,2)+MOD(C55,2)+MOD(D55,2)+MOD(E55,2)+MOD(F55,2)</x:f>
        <x:v>2</x:v>
      </x:c>
      <x:c r="K55" s="296" t="n">
        <x:f>COUNTIF(B55:F55,"&gt;31")</x:f>
        <x:v>3</x:v>
      </x:c>
      <x:c r="L55" s="336" t="n">
        <x:f>1/'Executive Summary'!$B$24</x:f>
        <x:v>7.1511238420185165e-9</x:v>
      </x:c>
      <x:c r="M55" s="342" t="n">
        <x:f>2.5</x:f>
        <x:v>2.5</x:v>
      </x:c>
      <x:c r="N55" s="288" t="str">
        <x:v>Conditional coverage wheel</x:v>
      </x:c>
    </x:row>
    <x:row r="56">
      <x:c r="A56" s="295" t="n">
        <x:v>52</x:v>
      </x:c>
      <x:c r="B56" s="296" t="n">
        <x:v>4</x:v>
      </x:c>
      <x:c r="C56" s="296" t="n">
        <x:v>25</x:v>
      </x:c>
      <x:c r="D56" s="296" t="n">
        <x:v>37</x:v>
      </x:c>
      <x:c r="E56" s="296" t="n">
        <x:v>44</x:v>
      </x:c>
      <x:c r="F56" s="296" t="n">
        <x:v>48</x:v>
      </x:c>
      <x:c r="G56" s="296" t="n">
        <x:v>4</x:v>
      </x:c>
      <x:c r="H56" s="296" t="n">
        <x:v>7</x:v>
      </x:c>
      <x:c r="I56" s="296" t="n">
        <x:f>SUM(B56:F56)</x:f>
        <x:v>158</x:v>
      </x:c>
      <x:c r="J56" s="296" t="n">
        <x:f>MOD(B56,2)+MOD(C56,2)+MOD(D56,2)+MOD(E56,2)+MOD(F56,2)</x:f>
        <x:v>2</x:v>
      </x:c>
      <x:c r="K56" s="296" t="n">
        <x:f>COUNTIF(B56:F56,"&gt;31")</x:f>
        <x:v>3</x:v>
      </x:c>
      <x:c r="L56" s="336" t="n">
        <x:f>1/'Executive Summary'!$B$24</x:f>
        <x:v>7.1511238420185165e-9</x:v>
      </x:c>
      <x:c r="M56" s="342" t="n">
        <x:f>2.5</x:f>
        <x:v>2.5</x:v>
      </x:c>
      <x:c r="N56" s="288" t="str">
        <x:v>Conditional coverage wheel</x:v>
      </x:c>
    </x:row>
    <x:row r="57">
      <x:c r="A57" s="295" t="n">
        <x:v>53</x:v>
      </x:c>
      <x:c r="B57" s="296" t="n">
        <x:v>4</x:v>
      </x:c>
      <x:c r="C57" s="296" t="n">
        <x:v>25</x:v>
      </x:c>
      <x:c r="D57" s="296" t="n">
        <x:v>37</x:v>
      </x:c>
      <x:c r="E57" s="296" t="n">
        <x:v>44</x:v>
      </x:c>
      <x:c r="F57" s="296" t="n">
        <x:v>48</x:v>
      </x:c>
      <x:c r="G57" s="296" t="n">
        <x:v>4</x:v>
      </x:c>
      <x:c r="H57" s="296" t="n">
        <x:v>8</x:v>
      </x:c>
      <x:c r="I57" s="296" t="n">
        <x:f>SUM(B57:F57)</x:f>
        <x:v>158</x:v>
      </x:c>
      <x:c r="J57" s="296" t="n">
        <x:f>MOD(B57,2)+MOD(C57,2)+MOD(D57,2)+MOD(E57,2)+MOD(F57,2)</x:f>
        <x:v>2</x:v>
      </x:c>
      <x:c r="K57" s="296" t="n">
        <x:f>COUNTIF(B57:F57,"&gt;31")</x:f>
        <x:v>3</x:v>
      </x:c>
      <x:c r="L57" s="336" t="n">
        <x:f>1/'Executive Summary'!$B$24</x:f>
        <x:v>7.1511238420185165e-9</x:v>
      </x:c>
      <x:c r="M57" s="342" t="n">
        <x:f>2.5</x:f>
        <x:v>2.5</x:v>
      </x:c>
      <x:c r="N57" s="288" t="str">
        <x:v>Conditional coverage wheel</x:v>
      </x:c>
    </x:row>
    <x:row r="58">
      <x:c r="A58" s="295" t="n">
        <x:v>54</x:v>
      </x:c>
      <x:c r="B58" s="296" t="n">
        <x:v>4</x:v>
      </x:c>
      <x:c r="C58" s="296" t="n">
        <x:v>25</x:v>
      </x:c>
      <x:c r="D58" s="296" t="n">
        <x:v>37</x:v>
      </x:c>
      <x:c r="E58" s="296" t="n">
        <x:v>44</x:v>
      </x:c>
      <x:c r="F58" s="296" t="n">
        <x:v>48</x:v>
      </x:c>
      <x:c r="G58" s="296" t="n">
        <x:v>4</x:v>
      </x:c>
      <x:c r="H58" s="296" t="n">
        <x:v>9</x:v>
      </x:c>
      <x:c r="I58" s="296" t="n">
        <x:f>SUM(B58:F58)</x:f>
        <x:v>158</x:v>
      </x:c>
      <x:c r="J58" s="296" t="n">
        <x:f>MOD(B58,2)+MOD(C58,2)+MOD(D58,2)+MOD(E58,2)+MOD(F58,2)</x:f>
        <x:v>2</x:v>
      </x:c>
      <x:c r="K58" s="296" t="n">
        <x:f>COUNTIF(B58:F58,"&gt;31")</x:f>
        <x:v>3</x:v>
      </x:c>
      <x:c r="L58" s="336" t="n">
        <x:f>1/'Executive Summary'!$B$24</x:f>
        <x:v>7.1511238420185165e-9</x:v>
      </x:c>
      <x:c r="M58" s="342" t="n">
        <x:f>2.5</x:f>
        <x:v>2.5</x:v>
      </x:c>
      <x:c r="N58" s="288" t="str">
        <x:v>Conditional coverage wheel</x:v>
      </x:c>
    </x:row>
    <x:row r="59">
      <x:c r="A59" s="295" t="n">
        <x:v>55</x:v>
      </x:c>
      <x:c r="B59" s="296" t="n">
        <x:v>4</x:v>
      </x:c>
      <x:c r="C59" s="296" t="n">
        <x:v>25</x:v>
      </x:c>
      <x:c r="D59" s="296" t="n">
        <x:v>37</x:v>
      </x:c>
      <x:c r="E59" s="296" t="n">
        <x:v>44</x:v>
      </x:c>
      <x:c r="F59" s="296" t="n">
        <x:v>48</x:v>
      </x:c>
      <x:c r="G59" s="296" t="n">
        <x:v>5</x:v>
      </x:c>
      <x:c r="H59" s="296" t="n">
        <x:v>7</x:v>
      </x:c>
      <x:c r="I59" s="296" t="n">
        <x:f>SUM(B59:F59)</x:f>
        <x:v>158</x:v>
      </x:c>
      <x:c r="J59" s="296" t="n">
        <x:f>MOD(B59,2)+MOD(C59,2)+MOD(D59,2)+MOD(E59,2)+MOD(F59,2)</x:f>
        <x:v>2</x:v>
      </x:c>
      <x:c r="K59" s="296" t="n">
        <x:f>COUNTIF(B59:F59,"&gt;31")</x:f>
        <x:v>3</x:v>
      </x:c>
      <x:c r="L59" s="336" t="n">
        <x:f>1/'Executive Summary'!$B$24</x:f>
        <x:v>7.1511238420185165e-9</x:v>
      </x:c>
      <x:c r="M59" s="342" t="n">
        <x:f>2.5</x:f>
        <x:v>2.5</x:v>
      </x:c>
      <x:c r="N59" s="288" t="str">
        <x:v>Conditional coverage wheel</x:v>
      </x:c>
    </x:row>
    <x:row r="60">
      <x:c r="A60" s="295" t="n">
        <x:v>56</x:v>
      </x:c>
      <x:c r="B60" s="296" t="n">
        <x:v>4</x:v>
      </x:c>
      <x:c r="C60" s="296" t="n">
        <x:v>25</x:v>
      </x:c>
      <x:c r="D60" s="296" t="n">
        <x:v>37</x:v>
      </x:c>
      <x:c r="E60" s="296" t="n">
        <x:v>44</x:v>
      </x:c>
      <x:c r="F60" s="296" t="n">
        <x:v>48</x:v>
      </x:c>
      <x:c r="G60" s="296" t="n">
        <x:v>5</x:v>
      </x:c>
      <x:c r="H60" s="296" t="n">
        <x:v>8</x:v>
      </x:c>
      <x:c r="I60" s="296" t="n">
        <x:f>SUM(B60:F60)</x:f>
        <x:v>158</x:v>
      </x:c>
      <x:c r="J60" s="296" t="n">
        <x:f>MOD(B60,2)+MOD(C60,2)+MOD(D60,2)+MOD(E60,2)+MOD(F60,2)</x:f>
        <x:v>2</x:v>
      </x:c>
      <x:c r="K60" s="296" t="n">
        <x:f>COUNTIF(B60:F60,"&gt;31")</x:f>
        <x:v>3</x:v>
      </x:c>
      <x:c r="L60" s="336" t="n">
        <x:f>1/'Executive Summary'!$B$24</x:f>
        <x:v>7.1511238420185165e-9</x:v>
      </x:c>
      <x:c r="M60" s="342" t="n">
        <x:f>2.5</x:f>
        <x:v>2.5</x:v>
      </x:c>
      <x:c r="N60" s="288" t="str">
        <x:v>Conditional coverage wheel</x:v>
      </x:c>
    </x:row>
    <x:row r="61">
      <x:c r="A61" s="295" t="n">
        <x:v>57</x:v>
      </x:c>
      <x:c r="B61" s="296" t="n">
        <x:v>4</x:v>
      </x:c>
      <x:c r="C61" s="296" t="n">
        <x:v>25</x:v>
      </x:c>
      <x:c r="D61" s="296" t="n">
        <x:v>37</x:v>
      </x:c>
      <x:c r="E61" s="296" t="n">
        <x:v>44</x:v>
      </x:c>
      <x:c r="F61" s="296" t="n">
        <x:v>48</x:v>
      </x:c>
      <x:c r="G61" s="296" t="n">
        <x:v>5</x:v>
      </x:c>
      <x:c r="H61" s="296" t="n">
        <x:v>9</x:v>
      </x:c>
      <x:c r="I61" s="296" t="n">
        <x:f>SUM(B61:F61)</x:f>
        <x:v>158</x:v>
      </x:c>
      <x:c r="J61" s="296" t="n">
        <x:f>MOD(B61,2)+MOD(C61,2)+MOD(D61,2)+MOD(E61,2)+MOD(F61,2)</x:f>
        <x:v>2</x:v>
      </x:c>
      <x:c r="K61" s="296" t="n">
        <x:f>COUNTIF(B61:F61,"&gt;31")</x:f>
        <x:v>3</x:v>
      </x:c>
      <x:c r="L61" s="336" t="n">
        <x:f>1/'Executive Summary'!$B$24</x:f>
        <x:v>7.1511238420185165e-9</x:v>
      </x:c>
      <x:c r="M61" s="342" t="n">
        <x:f>2.5</x:f>
        <x:v>2.5</x:v>
      </x:c>
      <x:c r="N61" s="288" t="str">
        <x:v>Conditional coverage wheel</x:v>
      </x:c>
    </x:row>
    <x:row r="62">
      <x:c r="A62" s="295" t="n">
        <x:v>58</x:v>
      </x:c>
      <x:c r="B62" s="296" t="n">
        <x:v>4</x:v>
      </x:c>
      <x:c r="C62" s="296" t="n">
        <x:v>25</x:v>
      </x:c>
      <x:c r="D62" s="296" t="n">
        <x:v>37</x:v>
      </x:c>
      <x:c r="E62" s="296" t="n">
        <x:v>44</x:v>
      </x:c>
      <x:c r="F62" s="296" t="n">
        <x:v>48</x:v>
      </x:c>
      <x:c r="G62" s="296" t="n">
        <x:v>7</x:v>
      </x:c>
      <x:c r="H62" s="296" t="n">
        <x:v>8</x:v>
      </x:c>
      <x:c r="I62" s="296" t="n">
        <x:f>SUM(B62:F62)</x:f>
        <x:v>158</x:v>
      </x:c>
      <x:c r="J62" s="296" t="n">
        <x:f>MOD(B62,2)+MOD(C62,2)+MOD(D62,2)+MOD(E62,2)+MOD(F62,2)</x:f>
        <x:v>2</x:v>
      </x:c>
      <x:c r="K62" s="296" t="n">
        <x:f>COUNTIF(B62:F62,"&gt;31")</x:f>
        <x:v>3</x:v>
      </x:c>
      <x:c r="L62" s="336" t="n">
        <x:f>1/'Executive Summary'!$B$24</x:f>
        <x:v>7.1511238420185165e-9</x:v>
      </x:c>
      <x:c r="M62" s="342" t="n">
        <x:f>2.5</x:f>
        <x:v>2.5</x:v>
      </x:c>
      <x:c r="N62" s="288" t="str">
        <x:v>Conditional coverage wheel</x:v>
      </x:c>
    </x:row>
    <x:row r="63">
      <x:c r="A63" s="295" t="n">
        <x:v>59</x:v>
      </x:c>
      <x:c r="B63" s="296" t="n">
        <x:v>4</x:v>
      </x:c>
      <x:c r="C63" s="296" t="n">
        <x:v>25</x:v>
      </x:c>
      <x:c r="D63" s="296" t="n">
        <x:v>37</x:v>
      </x:c>
      <x:c r="E63" s="296" t="n">
        <x:v>44</x:v>
      </x:c>
      <x:c r="F63" s="296" t="n">
        <x:v>48</x:v>
      </x:c>
      <x:c r="G63" s="296" t="n">
        <x:v>7</x:v>
      </x:c>
      <x:c r="H63" s="296" t="n">
        <x:v>9</x:v>
      </x:c>
      <x:c r="I63" s="296" t="n">
        <x:f>SUM(B63:F63)</x:f>
        <x:v>158</x:v>
      </x:c>
      <x:c r="J63" s="296" t="n">
        <x:f>MOD(B63,2)+MOD(C63,2)+MOD(D63,2)+MOD(E63,2)+MOD(F63,2)</x:f>
        <x:v>2</x:v>
      </x:c>
      <x:c r="K63" s="296" t="n">
        <x:f>COUNTIF(B63:F63,"&gt;31")</x:f>
        <x:v>3</x:v>
      </x:c>
      <x:c r="L63" s="336" t="n">
        <x:f>1/'Executive Summary'!$B$24</x:f>
        <x:v>7.1511238420185165e-9</x:v>
      </x:c>
      <x:c r="M63" s="342" t="n">
        <x:f>2.5</x:f>
        <x:v>2.5</x:v>
      </x:c>
      <x:c r="N63" s="288" t="str">
        <x:v>Conditional coverage wheel</x:v>
      </x:c>
    </x:row>
    <x:row r="64">
      <x:c r="A64" s="295" t="n">
        <x:v>60</x:v>
      </x:c>
      <x:c r="B64" s="296" t="n">
        <x:v>4</x:v>
      </x:c>
      <x:c r="C64" s="296" t="n">
        <x:v>25</x:v>
      </x:c>
      <x:c r="D64" s="296" t="n">
        <x:v>37</x:v>
      </x:c>
      <x:c r="E64" s="296" t="n">
        <x:v>44</x:v>
      </x:c>
      <x:c r="F64" s="296" t="n">
        <x:v>48</x:v>
      </x:c>
      <x:c r="G64" s="296" t="n">
        <x:v>8</x:v>
      </x:c>
      <x:c r="H64" s="296" t="n">
        <x:v>9</x:v>
      </x:c>
      <x:c r="I64" s="296" t="n">
        <x:f>SUM(B64:F64)</x:f>
        <x:v>158</x:v>
      </x:c>
      <x:c r="J64" s="296" t="n">
        <x:f>MOD(B64,2)+MOD(C64,2)+MOD(D64,2)+MOD(E64,2)+MOD(F64,2)</x:f>
        <x:v>2</x:v>
      </x:c>
      <x:c r="K64" s="296" t="n">
        <x:f>COUNTIF(B64:F64,"&gt;31")</x:f>
        <x:v>3</x:v>
      </x:c>
      <x:c r="L64" s="336" t="n">
        <x:f>1/'Executive Summary'!$B$24</x:f>
        <x:v>7.1511238420185165e-9</x:v>
      </x:c>
      <x:c r="M64" s="342" t="n">
        <x:f>2.5</x:f>
        <x:v>2.5</x:v>
      </x:c>
      <x:c r="N64" s="288" t="str">
        <x:v>Conditional coverage wheel</x:v>
      </x:c>
    </x:row>
    <x:row r="65">
      <x:c r="A65" s="295" t="n">
        <x:v>61</x:v>
      </x:c>
      <x:c r="B65" s="296" t="n">
        <x:v>21</x:v>
      </x:c>
      <x:c r="C65" s="296" t="n">
        <x:v>25</x:v>
      </x:c>
      <x:c r="D65" s="296" t="n">
        <x:v>28</x:v>
      </x:c>
      <x:c r="E65" s="296" t="n">
        <x:v>35</x:v>
      </x:c>
      <x:c r="F65" s="296" t="n">
        <x:v>50</x:v>
      </x:c>
      <x:c r="G65" s="296" t="n">
        <x:v>3</x:v>
      </x:c>
      <x:c r="H65" s="296" t="n">
        <x:v>4</x:v>
      </x:c>
      <x:c r="I65" s="296" t="n">
        <x:f>SUM(B65:F65)</x:f>
        <x:v>159</x:v>
      </x:c>
      <x:c r="J65" s="296" t="n">
        <x:f>MOD(B65,2)+MOD(C65,2)+MOD(D65,2)+MOD(E65,2)+MOD(F65,2)</x:f>
        <x:v>3</x:v>
      </x:c>
      <x:c r="K65" s="296" t="n">
        <x:f>COUNTIF(B65:F65,"&gt;31")</x:f>
        <x:v>2</x:v>
      </x:c>
      <x:c r="L65" s="336" t="n">
        <x:f>1/'Executive Summary'!$B$24</x:f>
        <x:v>7.1511238420185165e-9</x:v>
      </x:c>
      <x:c r="M65" s="342" t="n">
        <x:f>2.5</x:f>
        <x:v>2.5</x:v>
      </x:c>
      <x:c r="N65" s="288" t="str">
        <x:v>Conditional coverage wheel</x:v>
      </x:c>
    </x:row>
    <x:row r="66">
      <x:c r="A66" s="295" t="n">
        <x:v>62</x:v>
      </x:c>
      <x:c r="B66" s="296" t="n">
        <x:v>21</x:v>
      </x:c>
      <x:c r="C66" s="296" t="n">
        <x:v>25</x:v>
      </x:c>
      <x:c r="D66" s="296" t="n">
        <x:v>28</x:v>
      </x:c>
      <x:c r="E66" s="296" t="n">
        <x:v>35</x:v>
      </x:c>
      <x:c r="F66" s="296" t="n">
        <x:v>50</x:v>
      </x:c>
      <x:c r="G66" s="296" t="n">
        <x:v>3</x:v>
      </x:c>
      <x:c r="H66" s="296" t="n">
        <x:v>5</x:v>
      </x:c>
      <x:c r="I66" s="296" t="n">
        <x:f>SUM(B66:F66)</x:f>
        <x:v>159</x:v>
      </x:c>
      <x:c r="J66" s="296" t="n">
        <x:f>MOD(B66,2)+MOD(C66,2)+MOD(D66,2)+MOD(E66,2)+MOD(F66,2)</x:f>
        <x:v>3</x:v>
      </x:c>
      <x:c r="K66" s="296" t="n">
        <x:f>COUNTIF(B66:F66,"&gt;31")</x:f>
        <x:v>2</x:v>
      </x:c>
      <x:c r="L66" s="336" t="n">
        <x:f>1/'Executive Summary'!$B$24</x:f>
        <x:v>7.1511238420185165e-9</x:v>
      </x:c>
      <x:c r="M66" s="342" t="n">
        <x:f>2.5</x:f>
        <x:v>2.5</x:v>
      </x:c>
      <x:c r="N66" s="288" t="str">
        <x:v>Conditional coverage wheel</x:v>
      </x:c>
    </x:row>
    <x:row r="67">
      <x:c r="A67" s="295" t="n">
        <x:v>63</x:v>
      </x:c>
      <x:c r="B67" s="296" t="n">
        <x:v>21</x:v>
      </x:c>
      <x:c r="C67" s="296" t="n">
        <x:v>25</x:v>
      </x:c>
      <x:c r="D67" s="296" t="n">
        <x:v>28</x:v>
      </x:c>
      <x:c r="E67" s="296" t="n">
        <x:v>35</x:v>
      </x:c>
      <x:c r="F67" s="296" t="n">
        <x:v>50</x:v>
      </x:c>
      <x:c r="G67" s="296" t="n">
        <x:v>3</x:v>
      </x:c>
      <x:c r="H67" s="296" t="n">
        <x:v>7</x:v>
      </x:c>
      <x:c r="I67" s="296" t="n">
        <x:f>SUM(B67:F67)</x:f>
        <x:v>159</x:v>
      </x:c>
      <x:c r="J67" s="296" t="n">
        <x:f>MOD(B67,2)+MOD(C67,2)+MOD(D67,2)+MOD(E67,2)+MOD(F67,2)</x:f>
        <x:v>3</x:v>
      </x:c>
      <x:c r="K67" s="296" t="n">
        <x:f>COUNTIF(B67:F67,"&gt;31")</x:f>
        <x:v>2</x:v>
      </x:c>
      <x:c r="L67" s="336" t="n">
        <x:f>1/'Executive Summary'!$B$24</x:f>
        <x:v>7.1511238420185165e-9</x:v>
      </x:c>
      <x:c r="M67" s="342" t="n">
        <x:f>2.5</x:f>
        <x:v>2.5</x:v>
      </x:c>
      <x:c r="N67" s="288" t="str">
        <x:v>Conditional coverage wheel</x:v>
      </x:c>
    </x:row>
    <x:row r="68">
      <x:c r="A68" s="295" t="n">
        <x:v>64</x:v>
      </x:c>
      <x:c r="B68" s="296" t="n">
        <x:v>21</x:v>
      </x:c>
      <x:c r="C68" s="296" t="n">
        <x:v>25</x:v>
      </x:c>
      <x:c r="D68" s="296" t="n">
        <x:v>28</x:v>
      </x:c>
      <x:c r="E68" s="296" t="n">
        <x:v>35</x:v>
      </x:c>
      <x:c r="F68" s="296" t="n">
        <x:v>50</x:v>
      </x:c>
      <x:c r="G68" s="296" t="n">
        <x:v>3</x:v>
      </x:c>
      <x:c r="H68" s="296" t="n">
        <x:v>8</x:v>
      </x:c>
      <x:c r="I68" s="296" t="n">
        <x:f>SUM(B68:F68)</x:f>
        <x:v>159</x:v>
      </x:c>
      <x:c r="J68" s="296" t="n">
        <x:f>MOD(B68,2)+MOD(C68,2)+MOD(D68,2)+MOD(E68,2)+MOD(F68,2)</x:f>
        <x:v>3</x:v>
      </x:c>
      <x:c r="K68" s="296" t="n">
        <x:f>COUNTIF(B68:F68,"&gt;31")</x:f>
        <x:v>2</x:v>
      </x:c>
      <x:c r="L68" s="336" t="n">
        <x:f>1/'Executive Summary'!$B$24</x:f>
        <x:v>7.1511238420185165e-9</x:v>
      </x:c>
      <x:c r="M68" s="342" t="n">
        <x:f>2.5</x:f>
        <x:v>2.5</x:v>
      </x:c>
      <x:c r="N68" s="288" t="str">
        <x:v>Conditional coverage wheel</x:v>
      </x:c>
    </x:row>
    <x:row r="69">
      <x:c r="A69" s="295" t="n">
        <x:v>65</x:v>
      </x:c>
      <x:c r="B69" s="296" t="n">
        <x:v>21</x:v>
      </x:c>
      <x:c r="C69" s="296" t="n">
        <x:v>25</x:v>
      </x:c>
      <x:c r="D69" s="296" t="n">
        <x:v>28</x:v>
      </x:c>
      <x:c r="E69" s="296" t="n">
        <x:v>35</x:v>
      </x:c>
      <x:c r="F69" s="296" t="n">
        <x:v>50</x:v>
      </x:c>
      <x:c r="G69" s="296" t="n">
        <x:v>3</x:v>
      </x:c>
      <x:c r="H69" s="296" t="n">
        <x:v>9</x:v>
      </x:c>
      <x:c r="I69" s="296" t="n">
        <x:f>SUM(B69:F69)</x:f>
        <x:v>159</x:v>
      </x:c>
      <x:c r="J69" s="296" t="n">
        <x:f>MOD(B69,2)+MOD(C69,2)+MOD(D69,2)+MOD(E69,2)+MOD(F69,2)</x:f>
        <x:v>3</x:v>
      </x:c>
      <x:c r="K69" s="296" t="n">
        <x:f>COUNTIF(B69:F69,"&gt;31")</x:f>
        <x:v>2</x:v>
      </x:c>
      <x:c r="L69" s="336" t="n">
        <x:f>1/'Executive Summary'!$B$24</x:f>
        <x:v>7.1511238420185165e-9</x:v>
      </x:c>
      <x:c r="M69" s="342" t="n">
        <x:f>2.5</x:f>
        <x:v>2.5</x:v>
      </x:c>
      <x:c r="N69" s="288" t="str">
        <x:v>Conditional coverage wheel</x:v>
      </x:c>
    </x:row>
    <x:row r="70">
      <x:c r="A70" s="295" t="n">
        <x:v>66</x:v>
      </x:c>
      <x:c r="B70" s="296" t="n">
        <x:v>21</x:v>
      </x:c>
      <x:c r="C70" s="296" t="n">
        <x:v>25</x:v>
      </x:c>
      <x:c r="D70" s="296" t="n">
        <x:v>28</x:v>
      </x:c>
      <x:c r="E70" s="296" t="n">
        <x:v>35</x:v>
      </x:c>
      <x:c r="F70" s="296" t="n">
        <x:v>50</x:v>
      </x:c>
      <x:c r="G70" s="296" t="n">
        <x:v>4</x:v>
      </x:c>
      <x:c r="H70" s="296" t="n">
        <x:v>5</x:v>
      </x:c>
      <x:c r="I70" s="296" t="n">
        <x:f>SUM(B70:F70)</x:f>
        <x:v>159</x:v>
      </x:c>
      <x:c r="J70" s="296" t="n">
        <x:f>MOD(B70,2)+MOD(C70,2)+MOD(D70,2)+MOD(E70,2)+MOD(F70,2)</x:f>
        <x:v>3</x:v>
      </x:c>
      <x:c r="K70" s="296" t="n">
        <x:f>COUNTIF(B70:F70,"&gt;31")</x:f>
        <x:v>2</x:v>
      </x:c>
      <x:c r="L70" s="336" t="n">
        <x:f>1/'Executive Summary'!$B$24</x:f>
        <x:v>7.1511238420185165e-9</x:v>
      </x:c>
      <x:c r="M70" s="342" t="n">
        <x:f>2.5</x:f>
        <x:v>2.5</x:v>
      </x:c>
      <x:c r="N70" s="288" t="str">
        <x:v>Conditional coverage wheel</x:v>
      </x:c>
    </x:row>
    <x:row r="71">
      <x:c r="A71" s="295" t="n">
        <x:v>67</x:v>
      </x:c>
      <x:c r="B71" s="296" t="n">
        <x:v>21</x:v>
      </x:c>
      <x:c r="C71" s="296" t="n">
        <x:v>25</x:v>
      </x:c>
      <x:c r="D71" s="296" t="n">
        <x:v>28</x:v>
      </x:c>
      <x:c r="E71" s="296" t="n">
        <x:v>35</x:v>
      </x:c>
      <x:c r="F71" s="296" t="n">
        <x:v>50</x:v>
      </x:c>
      <x:c r="G71" s="296" t="n">
        <x:v>4</x:v>
      </x:c>
      <x:c r="H71" s="296" t="n">
        <x:v>7</x:v>
      </x:c>
      <x:c r="I71" s="296" t="n">
        <x:f>SUM(B71:F71)</x:f>
        <x:v>159</x:v>
      </x:c>
      <x:c r="J71" s="296" t="n">
        <x:f>MOD(B71,2)+MOD(C71,2)+MOD(D71,2)+MOD(E71,2)+MOD(F71,2)</x:f>
        <x:v>3</x:v>
      </x:c>
      <x:c r="K71" s="296" t="n">
        <x:f>COUNTIF(B71:F71,"&gt;31")</x:f>
        <x:v>2</x:v>
      </x:c>
      <x:c r="L71" s="336" t="n">
        <x:f>1/'Executive Summary'!$B$24</x:f>
        <x:v>7.1511238420185165e-9</x:v>
      </x:c>
      <x:c r="M71" s="342" t="n">
        <x:f>2.5</x:f>
        <x:v>2.5</x:v>
      </x:c>
      <x:c r="N71" s="288" t="str">
        <x:v>Conditional coverage wheel</x:v>
      </x:c>
    </x:row>
    <x:row r="72">
      <x:c r="A72" s="295" t="n">
        <x:v>68</x:v>
      </x:c>
      <x:c r="B72" s="296" t="n">
        <x:v>21</x:v>
      </x:c>
      <x:c r="C72" s="296" t="n">
        <x:v>25</x:v>
      </x:c>
      <x:c r="D72" s="296" t="n">
        <x:v>28</x:v>
      </x:c>
      <x:c r="E72" s="296" t="n">
        <x:v>35</x:v>
      </x:c>
      <x:c r="F72" s="296" t="n">
        <x:v>50</x:v>
      </x:c>
      <x:c r="G72" s="296" t="n">
        <x:v>4</x:v>
      </x:c>
      <x:c r="H72" s="296" t="n">
        <x:v>8</x:v>
      </x:c>
      <x:c r="I72" s="296" t="n">
        <x:f>SUM(B72:F72)</x:f>
        <x:v>159</x:v>
      </x:c>
      <x:c r="J72" s="296" t="n">
        <x:f>MOD(B72,2)+MOD(C72,2)+MOD(D72,2)+MOD(E72,2)+MOD(F72,2)</x:f>
        <x:v>3</x:v>
      </x:c>
      <x:c r="K72" s="296" t="n">
        <x:f>COUNTIF(B72:F72,"&gt;31")</x:f>
        <x:v>2</x:v>
      </x:c>
      <x:c r="L72" s="336" t="n">
        <x:f>1/'Executive Summary'!$B$24</x:f>
        <x:v>7.1511238420185165e-9</x:v>
      </x:c>
      <x:c r="M72" s="342" t="n">
        <x:f>2.5</x:f>
        <x:v>2.5</x:v>
      </x:c>
      <x:c r="N72" s="288" t="str">
        <x:v>Conditional coverage wheel</x:v>
      </x:c>
    </x:row>
    <x:row r="73">
      <x:c r="A73" s="295" t="n">
        <x:v>69</x:v>
      </x:c>
      <x:c r="B73" s="296" t="n">
        <x:v>21</x:v>
      </x:c>
      <x:c r="C73" s="296" t="n">
        <x:v>25</x:v>
      </x:c>
      <x:c r="D73" s="296" t="n">
        <x:v>28</x:v>
      </x:c>
      <x:c r="E73" s="296" t="n">
        <x:v>35</x:v>
      </x:c>
      <x:c r="F73" s="296" t="n">
        <x:v>50</x:v>
      </x:c>
      <x:c r="G73" s="296" t="n">
        <x:v>4</x:v>
      </x:c>
      <x:c r="H73" s="296" t="n">
        <x:v>9</x:v>
      </x:c>
      <x:c r="I73" s="296" t="n">
        <x:f>SUM(B73:F73)</x:f>
        <x:v>159</x:v>
      </x:c>
      <x:c r="J73" s="296" t="n">
        <x:f>MOD(B73,2)+MOD(C73,2)+MOD(D73,2)+MOD(E73,2)+MOD(F73,2)</x:f>
        <x:v>3</x:v>
      </x:c>
      <x:c r="K73" s="296" t="n">
        <x:f>COUNTIF(B73:F73,"&gt;31")</x:f>
        <x:v>2</x:v>
      </x:c>
      <x:c r="L73" s="336" t="n">
        <x:f>1/'Executive Summary'!$B$24</x:f>
        <x:v>7.1511238420185165e-9</x:v>
      </x:c>
      <x:c r="M73" s="342" t="n">
        <x:f>2.5</x:f>
        <x:v>2.5</x:v>
      </x:c>
      <x:c r="N73" s="288" t="str">
        <x:v>Conditional coverage wheel</x:v>
      </x:c>
    </x:row>
    <x:row r="74">
      <x:c r="A74" s="295" t="n">
        <x:v>70</x:v>
      </x:c>
      <x:c r="B74" s="296" t="n">
        <x:v>21</x:v>
      </x:c>
      <x:c r="C74" s="296" t="n">
        <x:v>25</x:v>
      </x:c>
      <x:c r="D74" s="296" t="n">
        <x:v>28</x:v>
      </x:c>
      <x:c r="E74" s="296" t="n">
        <x:v>35</x:v>
      </x:c>
      <x:c r="F74" s="296" t="n">
        <x:v>50</x:v>
      </x:c>
      <x:c r="G74" s="296" t="n">
        <x:v>5</x:v>
      </x:c>
      <x:c r="H74" s="296" t="n">
        <x:v>7</x:v>
      </x:c>
      <x:c r="I74" s="296" t="n">
        <x:f>SUM(B74:F74)</x:f>
        <x:v>159</x:v>
      </x:c>
      <x:c r="J74" s="296" t="n">
        <x:f>MOD(B74,2)+MOD(C74,2)+MOD(D74,2)+MOD(E74,2)+MOD(F74,2)</x:f>
        <x:v>3</x:v>
      </x:c>
      <x:c r="K74" s="296" t="n">
        <x:f>COUNTIF(B74:F74,"&gt;31")</x:f>
        <x:v>2</x:v>
      </x:c>
      <x:c r="L74" s="336" t="n">
        <x:f>1/'Executive Summary'!$B$24</x:f>
        <x:v>7.1511238420185165e-9</x:v>
      </x:c>
      <x:c r="M74" s="342" t="n">
        <x:f>2.5</x:f>
        <x:v>2.5</x:v>
      </x:c>
      <x:c r="N74" s="288" t="str">
        <x:v>Conditional coverage wheel</x:v>
      </x:c>
    </x:row>
    <x:row r="75">
      <x:c r="A75" s="295" t="n">
        <x:v>71</x:v>
      </x:c>
      <x:c r="B75" s="296" t="n">
        <x:v>21</x:v>
      </x:c>
      <x:c r="C75" s="296" t="n">
        <x:v>25</x:v>
      </x:c>
      <x:c r="D75" s="296" t="n">
        <x:v>28</x:v>
      </x:c>
      <x:c r="E75" s="296" t="n">
        <x:v>35</x:v>
      </x:c>
      <x:c r="F75" s="296" t="n">
        <x:v>50</x:v>
      </x:c>
      <x:c r="G75" s="296" t="n">
        <x:v>5</x:v>
      </x:c>
      <x:c r="H75" s="296" t="n">
        <x:v>8</x:v>
      </x:c>
      <x:c r="I75" s="296" t="n">
        <x:f>SUM(B75:F75)</x:f>
        <x:v>159</x:v>
      </x:c>
      <x:c r="J75" s="296" t="n">
        <x:f>MOD(B75,2)+MOD(C75,2)+MOD(D75,2)+MOD(E75,2)+MOD(F75,2)</x:f>
        <x:v>3</x:v>
      </x:c>
      <x:c r="K75" s="296" t="n">
        <x:f>COUNTIF(B75:F75,"&gt;31")</x:f>
        <x:v>2</x:v>
      </x:c>
      <x:c r="L75" s="336" t="n">
        <x:f>1/'Executive Summary'!$B$24</x:f>
        <x:v>7.1511238420185165e-9</x:v>
      </x:c>
      <x:c r="M75" s="342" t="n">
        <x:f>2.5</x:f>
        <x:v>2.5</x:v>
      </x:c>
      <x:c r="N75" s="288" t="str">
        <x:v>Conditional coverage wheel</x:v>
      </x:c>
    </x:row>
    <x:row r="76">
      <x:c r="A76" s="295" t="n">
        <x:v>72</x:v>
      </x:c>
      <x:c r="B76" s="296" t="n">
        <x:v>21</x:v>
      </x:c>
      <x:c r="C76" s="296" t="n">
        <x:v>25</x:v>
      </x:c>
      <x:c r="D76" s="296" t="n">
        <x:v>28</x:v>
      </x:c>
      <x:c r="E76" s="296" t="n">
        <x:v>35</x:v>
      </x:c>
      <x:c r="F76" s="296" t="n">
        <x:v>50</x:v>
      </x:c>
      <x:c r="G76" s="296" t="n">
        <x:v>5</x:v>
      </x:c>
      <x:c r="H76" s="296" t="n">
        <x:v>9</x:v>
      </x:c>
      <x:c r="I76" s="296" t="n">
        <x:f>SUM(B76:F76)</x:f>
        <x:v>159</x:v>
      </x:c>
      <x:c r="J76" s="296" t="n">
        <x:f>MOD(B76,2)+MOD(C76,2)+MOD(D76,2)+MOD(E76,2)+MOD(F76,2)</x:f>
        <x:v>3</x:v>
      </x:c>
      <x:c r="K76" s="296" t="n">
        <x:f>COUNTIF(B76:F76,"&gt;31")</x:f>
        <x:v>2</x:v>
      </x:c>
      <x:c r="L76" s="336" t="n">
        <x:f>1/'Executive Summary'!$B$24</x:f>
        <x:v>7.1511238420185165e-9</x:v>
      </x:c>
      <x:c r="M76" s="342" t="n">
        <x:f>2.5</x:f>
        <x:v>2.5</x:v>
      </x:c>
      <x:c r="N76" s="288" t="str">
        <x:v>Conditional coverage wheel</x:v>
      </x:c>
    </x:row>
    <x:row r="77">
      <x:c r="A77" s="295" t="n">
        <x:v>73</x:v>
      </x:c>
      <x:c r="B77" s="296" t="n">
        <x:v>21</x:v>
      </x:c>
      <x:c r="C77" s="296" t="n">
        <x:v>25</x:v>
      </x:c>
      <x:c r="D77" s="296" t="n">
        <x:v>28</x:v>
      </x:c>
      <x:c r="E77" s="296" t="n">
        <x:v>35</x:v>
      </x:c>
      <x:c r="F77" s="296" t="n">
        <x:v>50</x:v>
      </x:c>
      <x:c r="G77" s="296" t="n">
        <x:v>7</x:v>
      </x:c>
      <x:c r="H77" s="296" t="n">
        <x:v>8</x:v>
      </x:c>
      <x:c r="I77" s="296" t="n">
        <x:f>SUM(B77:F77)</x:f>
        <x:v>159</x:v>
      </x:c>
      <x:c r="J77" s="296" t="n">
        <x:f>MOD(B77,2)+MOD(C77,2)+MOD(D77,2)+MOD(E77,2)+MOD(F77,2)</x:f>
        <x:v>3</x:v>
      </x:c>
      <x:c r="K77" s="296" t="n">
        <x:f>COUNTIF(B77:F77,"&gt;31")</x:f>
        <x:v>2</x:v>
      </x:c>
      <x:c r="L77" s="336" t="n">
        <x:f>1/'Executive Summary'!$B$24</x:f>
        <x:v>7.1511238420185165e-9</x:v>
      </x:c>
      <x:c r="M77" s="342" t="n">
        <x:f>2.5</x:f>
        <x:v>2.5</x:v>
      </x:c>
      <x:c r="N77" s="288" t="str">
        <x:v>Conditional coverage wheel</x:v>
      </x:c>
    </x:row>
    <x:row r="78">
      <x:c r="A78" s="295" t="n">
        <x:v>74</x:v>
      </x:c>
      <x:c r="B78" s="296" t="n">
        <x:v>21</x:v>
      </x:c>
      <x:c r="C78" s="296" t="n">
        <x:v>25</x:v>
      </x:c>
      <x:c r="D78" s="296" t="n">
        <x:v>28</x:v>
      </x:c>
      <x:c r="E78" s="296" t="n">
        <x:v>35</x:v>
      </x:c>
      <x:c r="F78" s="296" t="n">
        <x:v>50</x:v>
      </x:c>
      <x:c r="G78" s="296" t="n">
        <x:v>7</x:v>
      </x:c>
      <x:c r="H78" s="296" t="n">
        <x:v>9</x:v>
      </x:c>
      <x:c r="I78" s="296" t="n">
        <x:f>SUM(B78:F78)</x:f>
        <x:v>159</x:v>
      </x:c>
      <x:c r="J78" s="296" t="n">
        <x:f>MOD(B78,2)+MOD(C78,2)+MOD(D78,2)+MOD(E78,2)+MOD(F78,2)</x:f>
        <x:v>3</x:v>
      </x:c>
      <x:c r="K78" s="296" t="n">
        <x:f>COUNTIF(B78:F78,"&gt;31")</x:f>
        <x:v>2</x:v>
      </x:c>
      <x:c r="L78" s="336" t="n">
        <x:f>1/'Executive Summary'!$B$24</x:f>
        <x:v>7.1511238420185165e-9</x:v>
      </x:c>
      <x:c r="M78" s="342" t="n">
        <x:f>2.5</x:f>
        <x:v>2.5</x:v>
      </x:c>
      <x:c r="N78" s="288" t="str">
        <x:v>Conditional coverage wheel</x:v>
      </x:c>
    </x:row>
    <x:row r="79">
      <x:c r="A79" s="295" t="n">
        <x:v>75</x:v>
      </x:c>
      <x:c r="B79" s="296" t="n">
        <x:v>21</x:v>
      </x:c>
      <x:c r="C79" s="296" t="n">
        <x:v>25</x:v>
      </x:c>
      <x:c r="D79" s="296" t="n">
        <x:v>28</x:v>
      </x:c>
      <x:c r="E79" s="296" t="n">
        <x:v>35</x:v>
      </x:c>
      <x:c r="F79" s="296" t="n">
        <x:v>50</x:v>
      </x:c>
      <x:c r="G79" s="296" t="n">
        <x:v>8</x:v>
      </x:c>
      <x:c r="H79" s="296" t="n">
        <x:v>9</x:v>
      </x:c>
      <x:c r="I79" s="296" t="n">
        <x:f>SUM(B79:F79)</x:f>
        <x:v>159</x:v>
      </x:c>
      <x:c r="J79" s="296" t="n">
        <x:f>MOD(B79,2)+MOD(C79,2)+MOD(D79,2)+MOD(E79,2)+MOD(F79,2)</x:f>
        <x:v>3</x:v>
      </x:c>
      <x:c r="K79" s="296" t="n">
        <x:f>COUNTIF(B79:F79,"&gt;31")</x:f>
        <x:v>2</x:v>
      </x:c>
      <x:c r="L79" s="336" t="n">
        <x:f>1/'Executive Summary'!$B$24</x:f>
        <x:v>7.1511238420185165e-9</x:v>
      </x:c>
      <x:c r="M79" s="342" t="n">
        <x:f>2.5</x:f>
        <x:v>2.5</x:v>
      </x:c>
      <x:c r="N79" s="288" t="str">
        <x:v>Conditional coverage wheel</x:v>
      </x:c>
    </x:row>
    <x:row r="80">
      <x:c r="A80" s="295" t="n">
        <x:v>76</x:v>
      </x:c>
      <x:c r="B80" s="296" t="n">
        <x:v>25</x:v>
      </x:c>
      <x:c r="C80" s="296" t="n">
        <x:v>27</x:v>
      </x:c>
      <x:c r="D80" s="296" t="n">
        <x:v>28</x:v>
      </x:c>
      <x:c r="E80" s="296" t="n">
        <x:v>36</x:v>
      </x:c>
      <x:c r="F80" s="296" t="n">
        <x:v>42</x:v>
      </x:c>
      <x:c r="G80" s="296" t="n">
        <x:v>3</x:v>
      </x:c>
      <x:c r="H80" s="296" t="n">
        <x:v>4</x:v>
      </x:c>
      <x:c r="I80" s="296" t="n">
        <x:f>SUM(B80:F80)</x:f>
        <x:v>158</x:v>
      </x:c>
      <x:c r="J80" s="296" t="n">
        <x:f>MOD(B80,2)+MOD(C80,2)+MOD(D80,2)+MOD(E80,2)+MOD(F80,2)</x:f>
        <x:v>2</x:v>
      </x:c>
      <x:c r="K80" s="296" t="n">
        <x:f>COUNTIF(B80:F80,"&gt;31")</x:f>
        <x:v>2</x:v>
      </x:c>
      <x:c r="L80" s="336" t="n">
        <x:f>1/'Executive Summary'!$B$24</x:f>
        <x:v>7.1511238420185165e-9</x:v>
      </x:c>
      <x:c r="M80" s="342" t="n">
        <x:f>2.5</x:f>
        <x:v>2.5</x:v>
      </x:c>
      <x:c r="N80" s="288" t="str">
        <x:v>Conditional coverage wheel</x:v>
      </x:c>
    </x:row>
    <x:row r="81">
      <x:c r="A81" s="295" t="n">
        <x:v>77</x:v>
      </x:c>
      <x:c r="B81" s="296" t="n">
        <x:v>25</x:v>
      </x:c>
      <x:c r="C81" s="296" t="n">
        <x:v>27</x:v>
      </x:c>
      <x:c r="D81" s="296" t="n">
        <x:v>28</x:v>
      </x:c>
      <x:c r="E81" s="296" t="n">
        <x:v>36</x:v>
      </x:c>
      <x:c r="F81" s="296" t="n">
        <x:v>42</x:v>
      </x:c>
      <x:c r="G81" s="296" t="n">
        <x:v>3</x:v>
      </x:c>
      <x:c r="H81" s="296" t="n">
        <x:v>5</x:v>
      </x:c>
      <x:c r="I81" s="296" t="n">
        <x:f>SUM(B81:F81)</x:f>
        <x:v>158</x:v>
      </x:c>
      <x:c r="J81" s="296" t="n">
        <x:f>MOD(B81,2)+MOD(C81,2)+MOD(D81,2)+MOD(E81,2)+MOD(F81,2)</x:f>
        <x:v>2</x:v>
      </x:c>
      <x:c r="K81" s="296" t="n">
        <x:f>COUNTIF(B81:F81,"&gt;31")</x:f>
        <x:v>2</x:v>
      </x:c>
      <x:c r="L81" s="336" t="n">
        <x:f>1/'Executive Summary'!$B$24</x:f>
        <x:v>7.1511238420185165e-9</x:v>
      </x:c>
      <x:c r="M81" s="342" t="n">
        <x:f>2.5</x:f>
        <x:v>2.5</x:v>
      </x:c>
      <x:c r="N81" s="288" t="str">
        <x:v>Conditional coverage wheel</x:v>
      </x:c>
    </x:row>
    <x:row r="82">
      <x:c r="A82" s="295" t="n">
        <x:v>78</x:v>
      </x:c>
      <x:c r="B82" s="296" t="n">
        <x:v>25</x:v>
      </x:c>
      <x:c r="C82" s="296" t="n">
        <x:v>27</x:v>
      </x:c>
      <x:c r="D82" s="296" t="n">
        <x:v>28</x:v>
      </x:c>
      <x:c r="E82" s="296" t="n">
        <x:v>36</x:v>
      </x:c>
      <x:c r="F82" s="296" t="n">
        <x:v>42</x:v>
      </x:c>
      <x:c r="G82" s="296" t="n">
        <x:v>3</x:v>
      </x:c>
      <x:c r="H82" s="296" t="n">
        <x:v>7</x:v>
      </x:c>
      <x:c r="I82" s="296" t="n">
        <x:f>SUM(B82:F82)</x:f>
        <x:v>158</x:v>
      </x:c>
      <x:c r="J82" s="296" t="n">
        <x:f>MOD(B82,2)+MOD(C82,2)+MOD(D82,2)+MOD(E82,2)+MOD(F82,2)</x:f>
        <x:v>2</x:v>
      </x:c>
      <x:c r="K82" s="296" t="n">
        <x:f>COUNTIF(B82:F82,"&gt;31")</x:f>
        <x:v>2</x:v>
      </x:c>
      <x:c r="L82" s="336" t="n">
        <x:f>1/'Executive Summary'!$B$24</x:f>
        <x:v>7.1511238420185165e-9</x:v>
      </x:c>
      <x:c r="M82" s="342" t="n">
        <x:f>2.5</x:f>
        <x:v>2.5</x:v>
      </x:c>
      <x:c r="N82" s="288" t="str">
        <x:v>Conditional coverage wheel</x:v>
      </x:c>
    </x:row>
    <x:row r="83">
      <x:c r="A83" s="295" t="n">
        <x:v>79</x:v>
      </x:c>
      <x:c r="B83" s="296" t="n">
        <x:v>25</x:v>
      </x:c>
      <x:c r="C83" s="296" t="n">
        <x:v>27</x:v>
      </x:c>
      <x:c r="D83" s="296" t="n">
        <x:v>28</x:v>
      </x:c>
      <x:c r="E83" s="296" t="n">
        <x:v>36</x:v>
      </x:c>
      <x:c r="F83" s="296" t="n">
        <x:v>42</x:v>
      </x:c>
      <x:c r="G83" s="296" t="n">
        <x:v>3</x:v>
      </x:c>
      <x:c r="H83" s="296" t="n">
        <x:v>8</x:v>
      </x:c>
      <x:c r="I83" s="296" t="n">
        <x:f>SUM(B83:F83)</x:f>
        <x:v>158</x:v>
      </x:c>
      <x:c r="J83" s="296" t="n">
        <x:f>MOD(B83,2)+MOD(C83,2)+MOD(D83,2)+MOD(E83,2)+MOD(F83,2)</x:f>
        <x:v>2</x:v>
      </x:c>
      <x:c r="K83" s="296" t="n">
        <x:f>COUNTIF(B83:F83,"&gt;31")</x:f>
        <x:v>2</x:v>
      </x:c>
      <x:c r="L83" s="336" t="n">
        <x:f>1/'Executive Summary'!$B$24</x:f>
        <x:v>7.1511238420185165e-9</x:v>
      </x:c>
      <x:c r="M83" s="342" t="n">
        <x:f>2.5</x:f>
        <x:v>2.5</x:v>
      </x:c>
      <x:c r="N83" s="288" t="str">
        <x:v>Conditional coverage wheel</x:v>
      </x:c>
    </x:row>
    <x:row r="84">
      <x:c r="A84" s="295" t="n">
        <x:v>80</x:v>
      </x:c>
      <x:c r="B84" s="296" t="n">
        <x:v>25</x:v>
      </x:c>
      <x:c r="C84" s="296" t="n">
        <x:v>27</x:v>
      </x:c>
      <x:c r="D84" s="296" t="n">
        <x:v>28</x:v>
      </x:c>
      <x:c r="E84" s="296" t="n">
        <x:v>36</x:v>
      </x:c>
      <x:c r="F84" s="296" t="n">
        <x:v>42</x:v>
      </x:c>
      <x:c r="G84" s="296" t="n">
        <x:v>3</x:v>
      </x:c>
      <x:c r="H84" s="296" t="n">
        <x:v>9</x:v>
      </x:c>
      <x:c r="I84" s="296" t="n">
        <x:f>SUM(B84:F84)</x:f>
        <x:v>158</x:v>
      </x:c>
      <x:c r="J84" s="296" t="n">
        <x:f>MOD(B84,2)+MOD(C84,2)+MOD(D84,2)+MOD(E84,2)+MOD(F84,2)</x:f>
        <x:v>2</x:v>
      </x:c>
      <x:c r="K84" s="296" t="n">
        <x:f>COUNTIF(B84:F84,"&gt;31")</x:f>
        <x:v>2</x:v>
      </x:c>
      <x:c r="L84" s="336" t="n">
        <x:f>1/'Executive Summary'!$B$24</x:f>
        <x:v>7.1511238420185165e-9</x:v>
      </x:c>
      <x:c r="M84" s="342" t="n">
        <x:f>2.5</x:f>
        <x:v>2.5</x:v>
      </x:c>
      <x:c r="N84" s="288" t="str">
        <x:v>Conditional coverage wheel</x:v>
      </x:c>
    </x:row>
    <x:row r="85">
      <x:c r="A85" s="295" t="n">
        <x:v>81</x:v>
      </x:c>
      <x:c r="B85" s="296" t="n">
        <x:v>25</x:v>
      </x:c>
      <x:c r="C85" s="296" t="n">
        <x:v>27</x:v>
      </x:c>
      <x:c r="D85" s="296" t="n">
        <x:v>28</x:v>
      </x:c>
      <x:c r="E85" s="296" t="n">
        <x:v>36</x:v>
      </x:c>
      <x:c r="F85" s="296" t="n">
        <x:v>42</x:v>
      </x:c>
      <x:c r="G85" s="296" t="n">
        <x:v>4</x:v>
      </x:c>
      <x:c r="H85" s="296" t="n">
        <x:v>5</x:v>
      </x:c>
      <x:c r="I85" s="296" t="n">
        <x:f>SUM(B85:F85)</x:f>
        <x:v>158</x:v>
      </x:c>
      <x:c r="J85" s="296" t="n">
        <x:f>MOD(B85,2)+MOD(C85,2)+MOD(D85,2)+MOD(E85,2)+MOD(F85,2)</x:f>
        <x:v>2</x:v>
      </x:c>
      <x:c r="K85" s="296" t="n">
        <x:f>COUNTIF(B85:F85,"&gt;31")</x:f>
        <x:v>2</x:v>
      </x:c>
      <x:c r="L85" s="336" t="n">
        <x:f>1/'Executive Summary'!$B$24</x:f>
        <x:v>7.1511238420185165e-9</x:v>
      </x:c>
      <x:c r="M85" s="342" t="n">
        <x:f>2.5</x:f>
        <x:v>2.5</x:v>
      </x:c>
      <x:c r="N85" s="288" t="str">
        <x:v>Conditional coverage wheel</x:v>
      </x:c>
    </x:row>
    <x:row r="86">
      <x:c r="A86" s="295" t="n">
        <x:v>82</x:v>
      </x:c>
      <x:c r="B86" s="296" t="n">
        <x:v>25</x:v>
      </x:c>
      <x:c r="C86" s="296" t="n">
        <x:v>27</x:v>
      </x:c>
      <x:c r="D86" s="296" t="n">
        <x:v>28</x:v>
      </x:c>
      <x:c r="E86" s="296" t="n">
        <x:v>36</x:v>
      </x:c>
      <x:c r="F86" s="296" t="n">
        <x:v>42</x:v>
      </x:c>
      <x:c r="G86" s="296" t="n">
        <x:v>4</x:v>
      </x:c>
      <x:c r="H86" s="296" t="n">
        <x:v>7</x:v>
      </x:c>
      <x:c r="I86" s="296" t="n">
        <x:f>SUM(B86:F86)</x:f>
        <x:v>158</x:v>
      </x:c>
      <x:c r="J86" s="296" t="n">
        <x:f>MOD(B86,2)+MOD(C86,2)+MOD(D86,2)+MOD(E86,2)+MOD(F86,2)</x:f>
        <x:v>2</x:v>
      </x:c>
      <x:c r="K86" s="296" t="n">
        <x:f>COUNTIF(B86:F86,"&gt;31")</x:f>
        <x:v>2</x:v>
      </x:c>
      <x:c r="L86" s="336" t="n">
        <x:f>1/'Executive Summary'!$B$24</x:f>
        <x:v>7.1511238420185165e-9</x:v>
      </x:c>
      <x:c r="M86" s="342" t="n">
        <x:f>2.5</x:f>
        <x:v>2.5</x:v>
      </x:c>
      <x:c r="N86" s="288" t="str">
        <x:v>Conditional coverage wheel</x:v>
      </x:c>
    </x:row>
    <x:row r="87">
      <x:c r="A87" s="295" t="n">
        <x:v>83</x:v>
      </x:c>
      <x:c r="B87" s="296" t="n">
        <x:v>25</x:v>
      </x:c>
      <x:c r="C87" s="296" t="n">
        <x:v>27</x:v>
      </x:c>
      <x:c r="D87" s="296" t="n">
        <x:v>28</x:v>
      </x:c>
      <x:c r="E87" s="296" t="n">
        <x:v>36</x:v>
      </x:c>
      <x:c r="F87" s="296" t="n">
        <x:v>42</x:v>
      </x:c>
      <x:c r="G87" s="296" t="n">
        <x:v>4</x:v>
      </x:c>
      <x:c r="H87" s="296" t="n">
        <x:v>8</x:v>
      </x:c>
      <x:c r="I87" s="296" t="n">
        <x:f>SUM(B87:F87)</x:f>
        <x:v>158</x:v>
      </x:c>
      <x:c r="J87" s="296" t="n">
        <x:f>MOD(B87,2)+MOD(C87,2)+MOD(D87,2)+MOD(E87,2)+MOD(F87,2)</x:f>
        <x:v>2</x:v>
      </x:c>
      <x:c r="K87" s="296" t="n">
        <x:f>COUNTIF(B87:F87,"&gt;31")</x:f>
        <x:v>2</x:v>
      </x:c>
      <x:c r="L87" s="336" t="n">
        <x:f>1/'Executive Summary'!$B$24</x:f>
        <x:v>7.1511238420185165e-9</x:v>
      </x:c>
      <x:c r="M87" s="342" t="n">
        <x:f>2.5</x:f>
        <x:v>2.5</x:v>
      </x:c>
      <x:c r="N87" s="288" t="str">
        <x:v>Conditional coverage wheel</x:v>
      </x:c>
    </x:row>
    <x:row r="88">
      <x:c r="A88" s="295" t="n">
        <x:v>84</x:v>
      </x:c>
      <x:c r="B88" s="296" t="n">
        <x:v>25</x:v>
      </x:c>
      <x:c r="C88" s="296" t="n">
        <x:v>27</x:v>
      </x:c>
      <x:c r="D88" s="296" t="n">
        <x:v>28</x:v>
      </x:c>
      <x:c r="E88" s="296" t="n">
        <x:v>36</x:v>
      </x:c>
      <x:c r="F88" s="296" t="n">
        <x:v>42</x:v>
      </x:c>
      <x:c r="G88" s="296" t="n">
        <x:v>4</x:v>
      </x:c>
      <x:c r="H88" s="296" t="n">
        <x:v>9</x:v>
      </x:c>
      <x:c r="I88" s="296" t="n">
        <x:f>SUM(B88:F88)</x:f>
        <x:v>158</x:v>
      </x:c>
      <x:c r="J88" s="296" t="n">
        <x:f>MOD(B88,2)+MOD(C88,2)+MOD(D88,2)+MOD(E88,2)+MOD(F88,2)</x:f>
        <x:v>2</x:v>
      </x:c>
      <x:c r="K88" s="296" t="n">
        <x:f>COUNTIF(B88:F88,"&gt;31")</x:f>
        <x:v>2</x:v>
      </x:c>
      <x:c r="L88" s="336" t="n">
        <x:f>1/'Executive Summary'!$B$24</x:f>
        <x:v>7.1511238420185165e-9</x:v>
      </x:c>
      <x:c r="M88" s="342" t="n">
        <x:f>2.5</x:f>
        <x:v>2.5</x:v>
      </x:c>
      <x:c r="N88" s="288" t="str">
        <x:v>Conditional coverage wheel</x:v>
      </x:c>
    </x:row>
    <x:row r="89">
      <x:c r="A89" s="295" t="n">
        <x:v>85</x:v>
      </x:c>
      <x:c r="B89" s="296" t="n">
        <x:v>25</x:v>
      </x:c>
      <x:c r="C89" s="296" t="n">
        <x:v>27</x:v>
      </x:c>
      <x:c r="D89" s="296" t="n">
        <x:v>28</x:v>
      </x:c>
      <x:c r="E89" s="296" t="n">
        <x:v>36</x:v>
      </x:c>
      <x:c r="F89" s="296" t="n">
        <x:v>42</x:v>
      </x:c>
      <x:c r="G89" s="296" t="n">
        <x:v>5</x:v>
      </x:c>
      <x:c r="H89" s="296" t="n">
        <x:v>7</x:v>
      </x:c>
      <x:c r="I89" s="296" t="n">
        <x:f>SUM(B89:F89)</x:f>
        <x:v>158</x:v>
      </x:c>
      <x:c r="J89" s="296" t="n">
        <x:f>MOD(B89,2)+MOD(C89,2)+MOD(D89,2)+MOD(E89,2)+MOD(F89,2)</x:f>
        <x:v>2</x:v>
      </x:c>
      <x:c r="K89" s="296" t="n">
        <x:f>COUNTIF(B89:F89,"&gt;31")</x:f>
        <x:v>2</x:v>
      </x:c>
      <x:c r="L89" s="336" t="n">
        <x:f>1/'Executive Summary'!$B$24</x:f>
        <x:v>7.1511238420185165e-9</x:v>
      </x:c>
      <x:c r="M89" s="342" t="n">
        <x:f>2.5</x:f>
        <x:v>2.5</x:v>
      </x:c>
      <x:c r="N89" s="288" t="str">
        <x:v>Conditional coverage wheel</x:v>
      </x:c>
    </x:row>
    <x:row r="90">
      <x:c r="A90" s="295" t="n">
        <x:v>86</x:v>
      </x:c>
      <x:c r="B90" s="296" t="n">
        <x:v>25</x:v>
      </x:c>
      <x:c r="C90" s="296" t="n">
        <x:v>27</x:v>
      </x:c>
      <x:c r="D90" s="296" t="n">
        <x:v>28</x:v>
      </x:c>
      <x:c r="E90" s="296" t="n">
        <x:v>36</x:v>
      </x:c>
      <x:c r="F90" s="296" t="n">
        <x:v>42</x:v>
      </x:c>
      <x:c r="G90" s="296" t="n">
        <x:v>5</x:v>
      </x:c>
      <x:c r="H90" s="296" t="n">
        <x:v>8</x:v>
      </x:c>
      <x:c r="I90" s="296" t="n">
        <x:f>SUM(B90:F90)</x:f>
        <x:v>158</x:v>
      </x:c>
      <x:c r="J90" s="296" t="n">
        <x:f>MOD(B90,2)+MOD(C90,2)+MOD(D90,2)+MOD(E90,2)+MOD(F90,2)</x:f>
        <x:v>2</x:v>
      </x:c>
      <x:c r="K90" s="296" t="n">
        <x:f>COUNTIF(B90:F90,"&gt;31")</x:f>
        <x:v>2</x:v>
      </x:c>
      <x:c r="L90" s="336" t="n">
        <x:f>1/'Executive Summary'!$B$24</x:f>
        <x:v>7.1511238420185165e-9</x:v>
      </x:c>
      <x:c r="M90" s="342" t="n">
        <x:f>2.5</x:f>
        <x:v>2.5</x:v>
      </x:c>
      <x:c r="N90" s="288" t="str">
        <x:v>Conditional coverage wheel</x:v>
      </x:c>
    </x:row>
    <x:row r="91">
      <x:c r="A91" s="295" t="n">
        <x:v>87</x:v>
      </x:c>
      <x:c r="B91" s="296" t="n">
        <x:v>25</x:v>
      </x:c>
      <x:c r="C91" s="296" t="n">
        <x:v>27</x:v>
      </x:c>
      <x:c r="D91" s="296" t="n">
        <x:v>28</x:v>
      </x:c>
      <x:c r="E91" s="296" t="n">
        <x:v>36</x:v>
      </x:c>
      <x:c r="F91" s="296" t="n">
        <x:v>42</x:v>
      </x:c>
      <x:c r="G91" s="296" t="n">
        <x:v>5</x:v>
      </x:c>
      <x:c r="H91" s="296" t="n">
        <x:v>9</x:v>
      </x:c>
      <x:c r="I91" s="296" t="n">
        <x:f>SUM(B91:F91)</x:f>
        <x:v>158</x:v>
      </x:c>
      <x:c r="J91" s="296" t="n">
        <x:f>MOD(B91,2)+MOD(C91,2)+MOD(D91,2)+MOD(E91,2)+MOD(F91,2)</x:f>
        <x:v>2</x:v>
      </x:c>
      <x:c r="K91" s="296" t="n">
        <x:f>COUNTIF(B91:F91,"&gt;31")</x:f>
        <x:v>2</x:v>
      </x:c>
      <x:c r="L91" s="336" t="n">
        <x:f>1/'Executive Summary'!$B$24</x:f>
        <x:v>7.1511238420185165e-9</x:v>
      </x:c>
      <x:c r="M91" s="342" t="n">
        <x:f>2.5</x:f>
        <x:v>2.5</x:v>
      </x:c>
      <x:c r="N91" s="288" t="str">
        <x:v>Conditional coverage wheel</x:v>
      </x:c>
    </x:row>
    <x:row r="92">
      <x:c r="A92" s="295" t="n">
        <x:v>88</x:v>
      </x:c>
      <x:c r="B92" s="296" t="n">
        <x:v>25</x:v>
      </x:c>
      <x:c r="C92" s="296" t="n">
        <x:v>27</x:v>
      </x:c>
      <x:c r="D92" s="296" t="n">
        <x:v>28</x:v>
      </x:c>
      <x:c r="E92" s="296" t="n">
        <x:v>36</x:v>
      </x:c>
      <x:c r="F92" s="296" t="n">
        <x:v>42</x:v>
      </x:c>
      <x:c r="G92" s="296" t="n">
        <x:v>7</x:v>
      </x:c>
      <x:c r="H92" s="296" t="n">
        <x:v>8</x:v>
      </x:c>
      <x:c r="I92" s="296" t="n">
        <x:f>SUM(B92:F92)</x:f>
        <x:v>158</x:v>
      </x:c>
      <x:c r="J92" s="296" t="n">
        <x:f>MOD(B92,2)+MOD(C92,2)+MOD(D92,2)+MOD(E92,2)+MOD(F92,2)</x:f>
        <x:v>2</x:v>
      </x:c>
      <x:c r="K92" s="296" t="n">
        <x:f>COUNTIF(B92:F92,"&gt;31")</x:f>
        <x:v>2</x:v>
      </x:c>
      <x:c r="L92" s="336" t="n">
        <x:f>1/'Executive Summary'!$B$24</x:f>
        <x:v>7.1511238420185165e-9</x:v>
      </x:c>
      <x:c r="M92" s="342" t="n">
        <x:f>2.5</x:f>
        <x:v>2.5</x:v>
      </x:c>
      <x:c r="N92" s="288" t="str">
        <x:v>Conditional coverage wheel</x:v>
      </x:c>
    </x:row>
    <x:row r="93">
      <x:c r="A93" s="295" t="n">
        <x:v>89</x:v>
      </x:c>
      <x:c r="B93" s="296" t="n">
        <x:v>25</x:v>
      </x:c>
      <x:c r="C93" s="296" t="n">
        <x:v>27</x:v>
      </x:c>
      <x:c r="D93" s="296" t="n">
        <x:v>28</x:v>
      </x:c>
      <x:c r="E93" s="296" t="n">
        <x:v>36</x:v>
      </x:c>
      <x:c r="F93" s="296" t="n">
        <x:v>42</x:v>
      </x:c>
      <x:c r="G93" s="296" t="n">
        <x:v>7</x:v>
      </x:c>
      <x:c r="H93" s="296" t="n">
        <x:v>9</x:v>
      </x:c>
      <x:c r="I93" s="296" t="n">
        <x:f>SUM(B93:F93)</x:f>
        <x:v>158</x:v>
      </x:c>
      <x:c r="J93" s="296" t="n">
        <x:f>MOD(B93,2)+MOD(C93,2)+MOD(D93,2)+MOD(E93,2)+MOD(F93,2)</x:f>
        <x:v>2</x:v>
      </x:c>
      <x:c r="K93" s="296" t="n">
        <x:f>COUNTIF(B93:F93,"&gt;31")</x:f>
        <x:v>2</x:v>
      </x:c>
      <x:c r="L93" s="336" t="n">
        <x:f>1/'Executive Summary'!$B$24</x:f>
        <x:v>7.1511238420185165e-9</x:v>
      </x:c>
      <x:c r="M93" s="342" t="n">
        <x:f>2.5</x:f>
        <x:v>2.5</x:v>
      </x:c>
      <x:c r="N93" s="288" t="str">
        <x:v>Conditional coverage wheel</x:v>
      </x:c>
    </x:row>
    <x:row r="94">
      <x:c r="A94" s="295" t="n">
        <x:v>90</x:v>
      </x:c>
      <x:c r="B94" s="296" t="n">
        <x:v>25</x:v>
      </x:c>
      <x:c r="C94" s="296" t="n">
        <x:v>27</x:v>
      </x:c>
      <x:c r="D94" s="296" t="n">
        <x:v>28</x:v>
      </x:c>
      <x:c r="E94" s="296" t="n">
        <x:v>36</x:v>
      </x:c>
      <x:c r="F94" s="296" t="n">
        <x:v>42</x:v>
      </x:c>
      <x:c r="G94" s="296" t="n">
        <x:v>8</x:v>
      </x:c>
      <x:c r="H94" s="296" t="n">
        <x:v>9</x:v>
      </x:c>
      <x:c r="I94" s="296" t="n">
        <x:f>SUM(B94:F94)</x:f>
        <x:v>158</x:v>
      </x:c>
      <x:c r="J94" s="296" t="n">
        <x:f>MOD(B94,2)+MOD(C94,2)+MOD(D94,2)+MOD(E94,2)+MOD(F94,2)</x:f>
        <x:v>2</x:v>
      </x:c>
      <x:c r="K94" s="296" t="n">
        <x:f>COUNTIF(B94:F94,"&gt;31")</x:f>
        <x:v>2</x:v>
      </x:c>
      <x:c r="L94" s="336" t="n">
        <x:f>1/'Executive Summary'!$B$24</x:f>
        <x:v>7.1511238420185165e-9</x:v>
      </x:c>
      <x:c r="M94" s="342" t="n">
        <x:f>2.5</x:f>
        <x:v>2.5</x:v>
      </x:c>
      <x:c r="N94" s="288" t="str">
        <x:v>Conditional coverage wheel</x:v>
      </x:c>
    </x:row>
    <x:row r="95">
      <x:c r="A95" s="295" t="n">
        <x:v>91</x:v>
      </x:c>
      <x:c r="B95" s="296" t="n">
        <x:v>27</x:v>
      </x:c>
      <x:c r="C95" s="296" t="n">
        <x:v>28</x:v>
      </x:c>
      <x:c r="D95" s="296" t="n">
        <x:v>37</x:v>
      </x:c>
      <x:c r="E95" s="296" t="n">
        <x:v>44</x:v>
      </x:c>
      <x:c r="F95" s="296" t="n">
        <x:v>48</x:v>
      </x:c>
      <x:c r="G95" s="296" t="n">
        <x:v>3</x:v>
      </x:c>
      <x:c r="H95" s="296" t="n">
        <x:v>4</x:v>
      </x:c>
      <x:c r="I95" s="296" t="n">
        <x:f>SUM(B95:F95)</x:f>
        <x:v>184</x:v>
      </x:c>
      <x:c r="J95" s="296" t="n">
        <x:f>MOD(B95,2)+MOD(C95,2)+MOD(D95,2)+MOD(E95,2)+MOD(F95,2)</x:f>
        <x:v>2</x:v>
      </x:c>
      <x:c r="K95" s="296" t="n">
        <x:f>COUNTIF(B95:F95,"&gt;31")</x:f>
        <x:v>3</x:v>
      </x:c>
      <x:c r="L95" s="336" t="n">
        <x:f>1/'Executive Summary'!$B$24</x:f>
        <x:v>7.1511238420185165e-9</x:v>
      </x:c>
      <x:c r="M95" s="342" t="n">
        <x:f>2.5</x:f>
        <x:v>2.5</x:v>
      </x:c>
      <x:c r="N95" s="288" t="str">
        <x:v>Conditional coverage wheel</x:v>
      </x:c>
    </x:row>
    <x:row r="96">
      <x:c r="A96" s="295" t="n">
        <x:v>92</x:v>
      </x:c>
      <x:c r="B96" s="296" t="n">
        <x:v>27</x:v>
      </x:c>
      <x:c r="C96" s="296" t="n">
        <x:v>28</x:v>
      </x:c>
      <x:c r="D96" s="296" t="n">
        <x:v>37</x:v>
      </x:c>
      <x:c r="E96" s="296" t="n">
        <x:v>44</x:v>
      </x:c>
      <x:c r="F96" s="296" t="n">
        <x:v>48</x:v>
      </x:c>
      <x:c r="G96" s="296" t="n">
        <x:v>3</x:v>
      </x:c>
      <x:c r="H96" s="296" t="n">
        <x:v>5</x:v>
      </x:c>
      <x:c r="I96" s="296" t="n">
        <x:f>SUM(B96:F96)</x:f>
        <x:v>184</x:v>
      </x:c>
      <x:c r="J96" s="296" t="n">
        <x:f>MOD(B96,2)+MOD(C96,2)+MOD(D96,2)+MOD(E96,2)+MOD(F96,2)</x:f>
        <x:v>2</x:v>
      </x:c>
      <x:c r="K96" s="296" t="n">
        <x:f>COUNTIF(B96:F96,"&gt;31")</x:f>
        <x:v>3</x:v>
      </x:c>
      <x:c r="L96" s="336" t="n">
        <x:f>1/'Executive Summary'!$B$24</x:f>
        <x:v>7.1511238420185165e-9</x:v>
      </x:c>
      <x:c r="M96" s="342" t="n">
        <x:f>2.5</x:f>
        <x:v>2.5</x:v>
      </x:c>
      <x:c r="N96" s="288" t="str">
        <x:v>Conditional coverage wheel</x:v>
      </x:c>
    </x:row>
    <x:row r="97">
      <x:c r="A97" s="295" t="n">
        <x:v>93</x:v>
      </x:c>
      <x:c r="B97" s="296" t="n">
        <x:v>27</x:v>
      </x:c>
      <x:c r="C97" s="296" t="n">
        <x:v>28</x:v>
      </x:c>
      <x:c r="D97" s="296" t="n">
        <x:v>37</x:v>
      </x:c>
      <x:c r="E97" s="296" t="n">
        <x:v>44</x:v>
      </x:c>
      <x:c r="F97" s="296" t="n">
        <x:v>48</x:v>
      </x:c>
      <x:c r="G97" s="296" t="n">
        <x:v>3</x:v>
      </x:c>
      <x:c r="H97" s="296" t="n">
        <x:v>7</x:v>
      </x:c>
      <x:c r="I97" s="296" t="n">
        <x:f>SUM(B97:F97)</x:f>
        <x:v>184</x:v>
      </x:c>
      <x:c r="J97" s="296" t="n">
        <x:f>MOD(B97,2)+MOD(C97,2)+MOD(D97,2)+MOD(E97,2)+MOD(F97,2)</x:f>
        <x:v>2</x:v>
      </x:c>
      <x:c r="K97" s="296" t="n">
        <x:f>COUNTIF(B97:F97,"&gt;31")</x:f>
        <x:v>3</x:v>
      </x:c>
      <x:c r="L97" s="336" t="n">
        <x:f>1/'Executive Summary'!$B$24</x:f>
        <x:v>7.1511238420185165e-9</x:v>
      </x:c>
      <x:c r="M97" s="342" t="n">
        <x:f>2.5</x:f>
        <x:v>2.5</x:v>
      </x:c>
      <x:c r="N97" s="288" t="str">
        <x:v>Conditional coverage wheel</x:v>
      </x:c>
    </x:row>
    <x:row r="98">
      <x:c r="A98" s="295" t="n">
        <x:v>94</x:v>
      </x:c>
      <x:c r="B98" s="296" t="n">
        <x:v>27</x:v>
      </x:c>
      <x:c r="C98" s="296" t="n">
        <x:v>28</x:v>
      </x:c>
      <x:c r="D98" s="296" t="n">
        <x:v>37</x:v>
      </x:c>
      <x:c r="E98" s="296" t="n">
        <x:v>44</x:v>
      </x:c>
      <x:c r="F98" s="296" t="n">
        <x:v>48</x:v>
      </x:c>
      <x:c r="G98" s="296" t="n">
        <x:v>3</x:v>
      </x:c>
      <x:c r="H98" s="296" t="n">
        <x:v>8</x:v>
      </x:c>
      <x:c r="I98" s="296" t="n">
        <x:f>SUM(B98:F98)</x:f>
        <x:v>184</x:v>
      </x:c>
      <x:c r="J98" s="296" t="n">
        <x:f>MOD(B98,2)+MOD(C98,2)+MOD(D98,2)+MOD(E98,2)+MOD(F98,2)</x:f>
        <x:v>2</x:v>
      </x:c>
      <x:c r="K98" s="296" t="n">
        <x:f>COUNTIF(B98:F98,"&gt;31")</x:f>
        <x:v>3</x:v>
      </x:c>
      <x:c r="L98" s="336" t="n">
        <x:f>1/'Executive Summary'!$B$24</x:f>
        <x:v>7.1511238420185165e-9</x:v>
      </x:c>
      <x:c r="M98" s="342" t="n">
        <x:f>2.5</x:f>
        <x:v>2.5</x:v>
      </x:c>
      <x:c r="N98" s="288" t="str">
        <x:v>Conditional coverage wheel</x:v>
      </x:c>
    </x:row>
    <x:row r="99">
      <x:c r="A99" s="295" t="n">
        <x:v>95</x:v>
      </x:c>
      <x:c r="B99" s="296" t="n">
        <x:v>27</x:v>
      </x:c>
      <x:c r="C99" s="296" t="n">
        <x:v>28</x:v>
      </x:c>
      <x:c r="D99" s="296" t="n">
        <x:v>37</x:v>
      </x:c>
      <x:c r="E99" s="296" t="n">
        <x:v>44</x:v>
      </x:c>
      <x:c r="F99" s="296" t="n">
        <x:v>48</x:v>
      </x:c>
      <x:c r="G99" s="296" t="n">
        <x:v>3</x:v>
      </x:c>
      <x:c r="H99" s="296" t="n">
        <x:v>9</x:v>
      </x:c>
      <x:c r="I99" s="296" t="n">
        <x:f>SUM(B99:F99)</x:f>
        <x:v>184</x:v>
      </x:c>
      <x:c r="J99" s="296" t="n">
        <x:f>MOD(B99,2)+MOD(C99,2)+MOD(D99,2)+MOD(E99,2)+MOD(F99,2)</x:f>
        <x:v>2</x:v>
      </x:c>
      <x:c r="K99" s="296" t="n">
        <x:f>COUNTIF(B99:F99,"&gt;31")</x:f>
        <x:v>3</x:v>
      </x:c>
      <x:c r="L99" s="336" t="n">
        <x:f>1/'Executive Summary'!$B$24</x:f>
        <x:v>7.1511238420185165e-9</x:v>
      </x:c>
      <x:c r="M99" s="342" t="n">
        <x:f>2.5</x:f>
        <x:v>2.5</x:v>
      </x:c>
      <x:c r="N99" s="288" t="str">
        <x:v>Conditional coverage wheel</x:v>
      </x:c>
    </x:row>
    <x:row r="100">
      <x:c r="A100" s="295" t="n">
        <x:v>96</x:v>
      </x:c>
      <x:c r="B100" s="296" t="n">
        <x:v>27</x:v>
      </x:c>
      <x:c r="C100" s="296" t="n">
        <x:v>28</x:v>
      </x:c>
      <x:c r="D100" s="296" t="n">
        <x:v>37</x:v>
      </x:c>
      <x:c r="E100" s="296" t="n">
        <x:v>44</x:v>
      </x:c>
      <x:c r="F100" s="296" t="n">
        <x:v>48</x:v>
      </x:c>
      <x:c r="G100" s="296" t="n">
        <x:v>4</x:v>
      </x:c>
      <x:c r="H100" s="296" t="n">
        <x:v>5</x:v>
      </x:c>
      <x:c r="I100" s="296" t="n">
        <x:f>SUM(B100:F100)</x:f>
        <x:v>184</x:v>
      </x:c>
      <x:c r="J100" s="296" t="n">
        <x:f>MOD(B100,2)+MOD(C100,2)+MOD(D100,2)+MOD(E100,2)+MOD(F100,2)</x:f>
        <x:v>2</x:v>
      </x:c>
      <x:c r="K100" s="296" t="n">
        <x:f>COUNTIF(B100:F100,"&gt;31")</x:f>
        <x:v>3</x:v>
      </x:c>
      <x:c r="L100" s="336" t="n">
        <x:f>1/'Executive Summary'!$B$24</x:f>
        <x:v>7.1511238420185165e-9</x:v>
      </x:c>
      <x:c r="M100" s="342" t="n">
        <x:f>2.5</x:f>
        <x:v>2.5</x:v>
      </x:c>
      <x:c r="N100" s="288" t="str">
        <x:v>Conditional coverage wheel</x:v>
      </x:c>
    </x:row>
    <x:row r="101">
      <x:c r="A101" s="295" t="n">
        <x:v>97</x:v>
      </x:c>
      <x:c r="B101" s="296" t="n">
        <x:v>27</x:v>
      </x:c>
      <x:c r="C101" s="296" t="n">
        <x:v>28</x:v>
      </x:c>
      <x:c r="D101" s="296" t="n">
        <x:v>37</x:v>
      </x:c>
      <x:c r="E101" s="296" t="n">
        <x:v>44</x:v>
      </x:c>
      <x:c r="F101" s="296" t="n">
        <x:v>48</x:v>
      </x:c>
      <x:c r="G101" s="296" t="n">
        <x:v>4</x:v>
      </x:c>
      <x:c r="H101" s="296" t="n">
        <x:v>7</x:v>
      </x:c>
      <x:c r="I101" s="296" t="n">
        <x:f>SUM(B101:F101)</x:f>
        <x:v>184</x:v>
      </x:c>
      <x:c r="J101" s="296" t="n">
        <x:f>MOD(B101,2)+MOD(C101,2)+MOD(D101,2)+MOD(E101,2)+MOD(F101,2)</x:f>
        <x:v>2</x:v>
      </x:c>
      <x:c r="K101" s="296" t="n">
        <x:f>COUNTIF(B101:F101,"&gt;31")</x:f>
        <x:v>3</x:v>
      </x:c>
      <x:c r="L101" s="336" t="n">
        <x:f>1/'Executive Summary'!$B$24</x:f>
        <x:v>7.1511238420185165e-9</x:v>
      </x:c>
      <x:c r="M101" s="342" t="n">
        <x:f>2.5</x:f>
        <x:v>2.5</x:v>
      </x:c>
      <x:c r="N101" s="288" t="str">
        <x:v>Conditional coverage wheel</x:v>
      </x:c>
    </x:row>
    <x:row r="102">
      <x:c r="A102" s="295" t="n">
        <x:v>98</x:v>
      </x:c>
      <x:c r="B102" s="296" t="n">
        <x:v>27</x:v>
      </x:c>
      <x:c r="C102" s="296" t="n">
        <x:v>28</x:v>
      </x:c>
      <x:c r="D102" s="296" t="n">
        <x:v>37</x:v>
      </x:c>
      <x:c r="E102" s="296" t="n">
        <x:v>44</x:v>
      </x:c>
      <x:c r="F102" s="296" t="n">
        <x:v>48</x:v>
      </x:c>
      <x:c r="G102" s="296" t="n">
        <x:v>4</x:v>
      </x:c>
      <x:c r="H102" s="296" t="n">
        <x:v>8</x:v>
      </x:c>
      <x:c r="I102" s="296" t="n">
        <x:f>SUM(B102:F102)</x:f>
        <x:v>184</x:v>
      </x:c>
      <x:c r="J102" s="296" t="n">
        <x:f>MOD(B102,2)+MOD(C102,2)+MOD(D102,2)+MOD(E102,2)+MOD(F102,2)</x:f>
        <x:v>2</x:v>
      </x:c>
      <x:c r="K102" s="296" t="n">
        <x:f>COUNTIF(B102:F102,"&gt;31")</x:f>
        <x:v>3</x:v>
      </x:c>
      <x:c r="L102" s="336" t="n">
        <x:f>1/'Executive Summary'!$B$24</x:f>
        <x:v>7.1511238420185165e-9</x:v>
      </x:c>
      <x:c r="M102" s="342" t="n">
        <x:f>2.5</x:f>
        <x:v>2.5</x:v>
      </x:c>
      <x:c r="N102" s="288" t="str">
        <x:v>Conditional coverage wheel</x:v>
      </x:c>
    </x:row>
    <x:row r="103">
      <x:c r="A103" s="295" t="n">
        <x:v>99</x:v>
      </x:c>
      <x:c r="B103" s="296" t="n">
        <x:v>27</x:v>
      </x:c>
      <x:c r="C103" s="296" t="n">
        <x:v>28</x:v>
      </x:c>
      <x:c r="D103" s="296" t="n">
        <x:v>37</x:v>
      </x:c>
      <x:c r="E103" s="296" t="n">
        <x:v>44</x:v>
      </x:c>
      <x:c r="F103" s="296" t="n">
        <x:v>48</x:v>
      </x:c>
      <x:c r="G103" s="296" t="n">
        <x:v>4</x:v>
      </x:c>
      <x:c r="H103" s="296" t="n">
        <x:v>9</x:v>
      </x:c>
      <x:c r="I103" s="296" t="n">
        <x:f>SUM(B103:F103)</x:f>
        <x:v>184</x:v>
      </x:c>
      <x:c r="J103" s="296" t="n">
        <x:f>MOD(B103,2)+MOD(C103,2)+MOD(D103,2)+MOD(E103,2)+MOD(F103,2)</x:f>
        <x:v>2</x:v>
      </x:c>
      <x:c r="K103" s="296" t="n">
        <x:f>COUNTIF(B103:F103,"&gt;31")</x:f>
        <x:v>3</x:v>
      </x:c>
      <x:c r="L103" s="336" t="n">
        <x:f>1/'Executive Summary'!$B$24</x:f>
        <x:v>7.1511238420185165e-9</x:v>
      </x:c>
      <x:c r="M103" s="342" t="n">
        <x:f>2.5</x:f>
        <x:v>2.5</x:v>
      </x:c>
      <x:c r="N103" s="288" t="str">
        <x:v>Conditional coverage wheel</x:v>
      </x:c>
    </x:row>
    <x:row r="104">
      <x:c r="A104" s="295" t="n">
        <x:v>100</x:v>
      </x:c>
      <x:c r="B104" s="296" t="n">
        <x:v>27</x:v>
      </x:c>
      <x:c r="C104" s="296" t="n">
        <x:v>28</x:v>
      </x:c>
      <x:c r="D104" s="296" t="n">
        <x:v>37</x:v>
      </x:c>
      <x:c r="E104" s="296" t="n">
        <x:v>44</x:v>
      </x:c>
      <x:c r="F104" s="296" t="n">
        <x:v>48</x:v>
      </x:c>
      <x:c r="G104" s="296" t="n">
        <x:v>5</x:v>
      </x:c>
      <x:c r="H104" s="296" t="n">
        <x:v>7</x:v>
      </x:c>
      <x:c r="I104" s="296" t="n">
        <x:f>SUM(B104:F104)</x:f>
        <x:v>184</x:v>
      </x:c>
      <x:c r="J104" s="296" t="n">
        <x:f>MOD(B104,2)+MOD(C104,2)+MOD(D104,2)+MOD(E104,2)+MOD(F104,2)</x:f>
        <x:v>2</x:v>
      </x:c>
      <x:c r="K104" s="296" t="n">
        <x:f>COUNTIF(B104:F104,"&gt;31")</x:f>
        <x:v>3</x:v>
      </x:c>
      <x:c r="L104" s="336" t="n">
        <x:f>1/'Executive Summary'!$B$24</x:f>
        <x:v>7.1511238420185165e-9</x:v>
      </x:c>
      <x:c r="M104" s="342" t="n">
        <x:f>2.5</x:f>
        <x:v>2.5</x:v>
      </x:c>
      <x:c r="N104" s="288" t="str">
        <x:v>Conditional coverage wheel</x:v>
      </x:c>
    </x:row>
    <x:row r="105">
      <x:c r="A105" s="295" t="n">
        <x:v>101</x:v>
      </x:c>
      <x:c r="B105" s="296" t="n">
        <x:v>27</x:v>
      </x:c>
      <x:c r="C105" s="296" t="n">
        <x:v>28</x:v>
      </x:c>
      <x:c r="D105" s="296" t="n">
        <x:v>37</x:v>
      </x:c>
      <x:c r="E105" s="296" t="n">
        <x:v>44</x:v>
      </x:c>
      <x:c r="F105" s="296" t="n">
        <x:v>48</x:v>
      </x:c>
      <x:c r="G105" s="296" t="n">
        <x:v>5</x:v>
      </x:c>
      <x:c r="H105" s="296" t="n">
        <x:v>8</x:v>
      </x:c>
      <x:c r="I105" s="296" t="n">
        <x:f>SUM(B105:F105)</x:f>
        <x:v>184</x:v>
      </x:c>
      <x:c r="J105" s="296" t="n">
        <x:f>MOD(B105,2)+MOD(C105,2)+MOD(D105,2)+MOD(E105,2)+MOD(F105,2)</x:f>
        <x:v>2</x:v>
      </x:c>
      <x:c r="K105" s="296" t="n">
        <x:f>COUNTIF(B105:F105,"&gt;31")</x:f>
        <x:v>3</x:v>
      </x:c>
      <x:c r="L105" s="336" t="n">
        <x:f>1/'Executive Summary'!$B$24</x:f>
        <x:v>7.1511238420185165e-9</x:v>
      </x:c>
      <x:c r="M105" s="342" t="n">
        <x:f>2.5</x:f>
        <x:v>2.5</x:v>
      </x:c>
      <x:c r="N105" s="288" t="str">
        <x:v>Conditional coverage wheel</x:v>
      </x:c>
    </x:row>
    <x:row r="106">
      <x:c r="A106" s="295" t="n">
        <x:v>102</x:v>
      </x:c>
      <x:c r="B106" s="296" t="n">
        <x:v>27</x:v>
      </x:c>
      <x:c r="C106" s="296" t="n">
        <x:v>28</x:v>
      </x:c>
      <x:c r="D106" s="296" t="n">
        <x:v>37</x:v>
      </x:c>
      <x:c r="E106" s="296" t="n">
        <x:v>44</x:v>
      </x:c>
      <x:c r="F106" s="296" t="n">
        <x:v>48</x:v>
      </x:c>
      <x:c r="G106" s="296" t="n">
        <x:v>5</x:v>
      </x:c>
      <x:c r="H106" s="296" t="n">
        <x:v>9</x:v>
      </x:c>
      <x:c r="I106" s="296" t="n">
        <x:f>SUM(B106:F106)</x:f>
        <x:v>184</x:v>
      </x:c>
      <x:c r="J106" s="296" t="n">
        <x:f>MOD(B106,2)+MOD(C106,2)+MOD(D106,2)+MOD(E106,2)+MOD(F106,2)</x:f>
        <x:v>2</x:v>
      </x:c>
      <x:c r="K106" s="296" t="n">
        <x:f>COUNTIF(B106:F106,"&gt;31")</x:f>
        <x:v>3</x:v>
      </x:c>
      <x:c r="L106" s="336" t="n">
        <x:f>1/'Executive Summary'!$B$24</x:f>
        <x:v>7.1511238420185165e-9</x:v>
      </x:c>
      <x:c r="M106" s="342" t="n">
        <x:f>2.5</x:f>
        <x:v>2.5</x:v>
      </x:c>
      <x:c r="N106" s="288" t="str">
        <x:v>Conditional coverage wheel</x:v>
      </x:c>
    </x:row>
    <x:row r="107">
      <x:c r="A107" s="295" t="n">
        <x:v>103</x:v>
      </x:c>
      <x:c r="B107" s="296" t="n">
        <x:v>27</x:v>
      </x:c>
      <x:c r="C107" s="296" t="n">
        <x:v>28</x:v>
      </x:c>
      <x:c r="D107" s="296" t="n">
        <x:v>37</x:v>
      </x:c>
      <x:c r="E107" s="296" t="n">
        <x:v>44</x:v>
      </x:c>
      <x:c r="F107" s="296" t="n">
        <x:v>48</x:v>
      </x:c>
      <x:c r="G107" s="296" t="n">
        <x:v>7</x:v>
      </x:c>
      <x:c r="H107" s="296" t="n">
        <x:v>8</x:v>
      </x:c>
      <x:c r="I107" s="296" t="n">
        <x:f>SUM(B107:F107)</x:f>
        <x:v>184</x:v>
      </x:c>
      <x:c r="J107" s="296" t="n">
        <x:f>MOD(B107,2)+MOD(C107,2)+MOD(D107,2)+MOD(E107,2)+MOD(F107,2)</x:f>
        <x:v>2</x:v>
      </x:c>
      <x:c r="K107" s="296" t="n">
        <x:f>COUNTIF(B107:F107,"&gt;31")</x:f>
        <x:v>3</x:v>
      </x:c>
      <x:c r="L107" s="336" t="n">
        <x:f>1/'Executive Summary'!$B$24</x:f>
        <x:v>7.1511238420185165e-9</x:v>
      </x:c>
      <x:c r="M107" s="342" t="n">
        <x:f>2.5</x:f>
        <x:v>2.5</x:v>
      </x:c>
      <x:c r="N107" s="288" t="str">
        <x:v>Conditional coverage wheel</x:v>
      </x:c>
    </x:row>
    <x:row r="108">
      <x:c r="A108" s="295" t="n">
        <x:v>104</x:v>
      </x:c>
      <x:c r="B108" s="296" t="n">
        <x:v>27</x:v>
      </x:c>
      <x:c r="C108" s="296" t="n">
        <x:v>28</x:v>
      </x:c>
      <x:c r="D108" s="296" t="n">
        <x:v>37</x:v>
      </x:c>
      <x:c r="E108" s="296" t="n">
        <x:v>44</x:v>
      </x:c>
      <x:c r="F108" s="296" t="n">
        <x:v>48</x:v>
      </x:c>
      <x:c r="G108" s="296" t="n">
        <x:v>7</x:v>
      </x:c>
      <x:c r="H108" s="296" t="n">
        <x:v>9</x:v>
      </x:c>
      <x:c r="I108" s="296" t="n">
        <x:f>SUM(B108:F108)</x:f>
        <x:v>184</x:v>
      </x:c>
      <x:c r="J108" s="296" t="n">
        <x:f>MOD(B108,2)+MOD(C108,2)+MOD(D108,2)+MOD(E108,2)+MOD(F108,2)</x:f>
        <x:v>2</x:v>
      </x:c>
      <x:c r="K108" s="296" t="n">
        <x:f>COUNTIF(B108:F108,"&gt;31")</x:f>
        <x:v>3</x:v>
      </x:c>
      <x:c r="L108" s="336" t="n">
        <x:f>1/'Executive Summary'!$B$24</x:f>
        <x:v>7.1511238420185165e-9</x:v>
      </x:c>
      <x:c r="M108" s="342" t="n">
        <x:f>2.5</x:f>
        <x:v>2.5</x:v>
      </x:c>
      <x:c r="N108" s="288" t="str">
        <x:v>Conditional coverage wheel</x:v>
      </x:c>
    </x:row>
    <x:row r="109">
      <x:c r="A109" s="295" t="n">
        <x:v>105</x:v>
      </x:c>
      <x:c r="B109" s="296" t="n">
        <x:v>27</x:v>
      </x:c>
      <x:c r="C109" s="296" t="n">
        <x:v>28</x:v>
      </x:c>
      <x:c r="D109" s="296" t="n">
        <x:v>37</x:v>
      </x:c>
      <x:c r="E109" s="296" t="n">
        <x:v>44</x:v>
      </x:c>
      <x:c r="F109" s="296" t="n">
        <x:v>48</x:v>
      </x:c>
      <x:c r="G109" s="296" t="n">
        <x:v>8</x:v>
      </x:c>
      <x:c r="H109" s="296" t="n">
        <x:v>9</x:v>
      </x:c>
      <x:c r="I109" s="296" t="n">
        <x:f>SUM(B109:F109)</x:f>
        <x:v>184</x:v>
      </x:c>
      <x:c r="J109" s="296" t="n">
        <x:f>MOD(B109,2)+MOD(C109,2)+MOD(D109,2)+MOD(E109,2)+MOD(F109,2)</x:f>
        <x:v>2</x:v>
      </x:c>
      <x:c r="K109" s="296" t="n">
        <x:f>COUNTIF(B109:F109,"&gt;31")</x:f>
        <x:v>3</x:v>
      </x:c>
      <x:c r="L109" s="336" t="n">
        <x:f>1/'Executive Summary'!$B$24</x:f>
        <x:v>7.1511238420185165e-9</x:v>
      </x:c>
      <x:c r="M109" s="342" t="n">
        <x:f>2.5</x:f>
        <x:v>2.5</x:v>
      </x:c>
      <x:c r="N109" s="288" t="str">
        <x:v>Conditional coverage wheel</x:v>
      </x:c>
    </x:row>
    <x:row r="110">
      <x:c r="A110" s="295" t="n">
        <x:v>106</x:v>
      </x:c>
      <x:c r="B110" s="296" t="n">
        <x:v>28</x:v>
      </x:c>
      <x:c r="C110" s="296" t="n">
        <x:v>35</x:v>
      </x:c>
      <x:c r="D110" s="296" t="n">
        <x:v>36</x:v>
      </x:c>
      <x:c r="E110" s="296" t="n">
        <x:v>37</x:v>
      </x:c>
      <x:c r="F110" s="296" t="n">
        <x:v>50</x:v>
      </x:c>
      <x:c r="G110" s="296" t="n">
        <x:v>3</x:v>
      </x:c>
      <x:c r="H110" s="296" t="n">
        <x:v>4</x:v>
      </x:c>
      <x:c r="I110" s="296" t="n">
        <x:f>SUM(B110:F110)</x:f>
        <x:v>186</x:v>
      </x:c>
      <x:c r="J110" s="296" t="n">
        <x:f>MOD(B110,2)+MOD(C110,2)+MOD(D110,2)+MOD(E110,2)+MOD(F110,2)</x:f>
        <x:v>2</x:v>
      </x:c>
      <x:c r="K110" s="296" t="n">
        <x:f>COUNTIF(B110:F110,"&gt;31")</x:f>
        <x:v>4</x:v>
      </x:c>
      <x:c r="L110" s="336" t="n">
        <x:f>1/'Executive Summary'!$B$24</x:f>
        <x:v>7.1511238420185165e-9</x:v>
      </x:c>
      <x:c r="M110" s="342" t="n">
        <x:f>2.5</x:f>
        <x:v>2.5</x:v>
      </x:c>
      <x:c r="N110" s="288" t="str">
        <x:v>Conditional coverage wheel</x:v>
      </x:c>
    </x:row>
    <x:row r="111">
      <x:c r="A111" s="295" t="n">
        <x:v>107</x:v>
      </x:c>
      <x:c r="B111" s="296" t="n">
        <x:v>28</x:v>
      </x:c>
      <x:c r="C111" s="296" t="n">
        <x:v>35</x:v>
      </x:c>
      <x:c r="D111" s="296" t="n">
        <x:v>36</x:v>
      </x:c>
      <x:c r="E111" s="296" t="n">
        <x:v>37</x:v>
      </x:c>
      <x:c r="F111" s="296" t="n">
        <x:v>50</x:v>
      </x:c>
      <x:c r="G111" s="296" t="n">
        <x:v>3</x:v>
      </x:c>
      <x:c r="H111" s="296" t="n">
        <x:v>5</x:v>
      </x:c>
      <x:c r="I111" s="296" t="n">
        <x:f>SUM(B111:F111)</x:f>
        <x:v>186</x:v>
      </x:c>
      <x:c r="J111" s="296" t="n">
        <x:f>MOD(B111,2)+MOD(C111,2)+MOD(D111,2)+MOD(E111,2)+MOD(F111,2)</x:f>
        <x:v>2</x:v>
      </x:c>
      <x:c r="K111" s="296" t="n">
        <x:f>COUNTIF(B111:F111,"&gt;31")</x:f>
        <x:v>4</x:v>
      </x:c>
      <x:c r="L111" s="336" t="n">
        <x:f>1/'Executive Summary'!$B$24</x:f>
        <x:v>7.1511238420185165e-9</x:v>
      </x:c>
      <x:c r="M111" s="342" t="n">
        <x:f>2.5</x:f>
        <x:v>2.5</x:v>
      </x:c>
      <x:c r="N111" s="288" t="str">
        <x:v>Conditional coverage wheel</x:v>
      </x:c>
    </x:row>
    <x:row r="112">
      <x:c r="A112" s="295" t="n">
        <x:v>108</x:v>
      </x:c>
      <x:c r="B112" s="296" t="n">
        <x:v>28</x:v>
      </x:c>
      <x:c r="C112" s="296" t="n">
        <x:v>35</x:v>
      </x:c>
      <x:c r="D112" s="296" t="n">
        <x:v>36</x:v>
      </x:c>
      <x:c r="E112" s="296" t="n">
        <x:v>37</x:v>
      </x:c>
      <x:c r="F112" s="296" t="n">
        <x:v>50</x:v>
      </x:c>
      <x:c r="G112" s="296" t="n">
        <x:v>3</x:v>
      </x:c>
      <x:c r="H112" s="296" t="n">
        <x:v>7</x:v>
      </x:c>
      <x:c r="I112" s="296" t="n">
        <x:f>SUM(B112:F112)</x:f>
        <x:v>186</x:v>
      </x:c>
      <x:c r="J112" s="296" t="n">
        <x:f>MOD(B112,2)+MOD(C112,2)+MOD(D112,2)+MOD(E112,2)+MOD(F112,2)</x:f>
        <x:v>2</x:v>
      </x:c>
      <x:c r="K112" s="296" t="n">
        <x:f>COUNTIF(B112:F112,"&gt;31")</x:f>
        <x:v>4</x:v>
      </x:c>
      <x:c r="L112" s="336" t="n">
        <x:f>1/'Executive Summary'!$B$24</x:f>
        <x:v>7.1511238420185165e-9</x:v>
      </x:c>
      <x:c r="M112" s="342" t="n">
        <x:f>2.5</x:f>
        <x:v>2.5</x:v>
      </x:c>
      <x:c r="N112" s="288" t="str">
        <x:v>Conditional coverage wheel</x:v>
      </x:c>
    </x:row>
    <x:row r="113">
      <x:c r="A113" s="295" t="n">
        <x:v>109</x:v>
      </x:c>
      <x:c r="B113" s="296" t="n">
        <x:v>28</x:v>
      </x:c>
      <x:c r="C113" s="296" t="n">
        <x:v>35</x:v>
      </x:c>
      <x:c r="D113" s="296" t="n">
        <x:v>36</x:v>
      </x:c>
      <x:c r="E113" s="296" t="n">
        <x:v>37</x:v>
      </x:c>
      <x:c r="F113" s="296" t="n">
        <x:v>50</x:v>
      </x:c>
      <x:c r="G113" s="296" t="n">
        <x:v>3</x:v>
      </x:c>
      <x:c r="H113" s="296" t="n">
        <x:v>8</x:v>
      </x:c>
      <x:c r="I113" s="296" t="n">
        <x:f>SUM(B113:F113)</x:f>
        <x:v>186</x:v>
      </x:c>
      <x:c r="J113" s="296" t="n">
        <x:f>MOD(B113,2)+MOD(C113,2)+MOD(D113,2)+MOD(E113,2)+MOD(F113,2)</x:f>
        <x:v>2</x:v>
      </x:c>
      <x:c r="K113" s="296" t="n">
        <x:f>COUNTIF(B113:F113,"&gt;31")</x:f>
        <x:v>4</x:v>
      </x:c>
      <x:c r="L113" s="336" t="n">
        <x:f>1/'Executive Summary'!$B$24</x:f>
        <x:v>7.1511238420185165e-9</x:v>
      </x:c>
      <x:c r="M113" s="342" t="n">
        <x:f>2.5</x:f>
        <x:v>2.5</x:v>
      </x:c>
      <x:c r="N113" s="288" t="str">
        <x:v>Conditional coverage wheel</x:v>
      </x:c>
    </x:row>
    <x:row r="114">
      <x:c r="A114" s="295" t="n">
        <x:v>110</x:v>
      </x:c>
      <x:c r="B114" s="296" t="n">
        <x:v>28</x:v>
      </x:c>
      <x:c r="C114" s="296" t="n">
        <x:v>35</x:v>
      </x:c>
      <x:c r="D114" s="296" t="n">
        <x:v>36</x:v>
      </x:c>
      <x:c r="E114" s="296" t="n">
        <x:v>37</x:v>
      </x:c>
      <x:c r="F114" s="296" t="n">
        <x:v>50</x:v>
      </x:c>
      <x:c r="G114" s="296" t="n">
        <x:v>3</x:v>
      </x:c>
      <x:c r="H114" s="296" t="n">
        <x:v>9</x:v>
      </x:c>
      <x:c r="I114" s="296" t="n">
        <x:f>SUM(B114:F114)</x:f>
        <x:v>186</x:v>
      </x:c>
      <x:c r="J114" s="296" t="n">
        <x:f>MOD(B114,2)+MOD(C114,2)+MOD(D114,2)+MOD(E114,2)+MOD(F114,2)</x:f>
        <x:v>2</x:v>
      </x:c>
      <x:c r="K114" s="296" t="n">
        <x:f>COUNTIF(B114:F114,"&gt;31")</x:f>
        <x:v>4</x:v>
      </x:c>
      <x:c r="L114" s="336" t="n">
        <x:f>1/'Executive Summary'!$B$24</x:f>
        <x:v>7.1511238420185165e-9</x:v>
      </x:c>
      <x:c r="M114" s="342" t="n">
        <x:f>2.5</x:f>
        <x:v>2.5</x:v>
      </x:c>
      <x:c r="N114" s="288" t="str">
        <x:v>Conditional coverage wheel</x:v>
      </x:c>
    </x:row>
    <x:row r="115">
      <x:c r="A115" s="295" t="n">
        <x:v>111</x:v>
      </x:c>
      <x:c r="B115" s="296" t="n">
        <x:v>28</x:v>
      </x:c>
      <x:c r="C115" s="296" t="n">
        <x:v>35</x:v>
      </x:c>
      <x:c r="D115" s="296" t="n">
        <x:v>36</x:v>
      </x:c>
      <x:c r="E115" s="296" t="n">
        <x:v>37</x:v>
      </x:c>
      <x:c r="F115" s="296" t="n">
        <x:v>50</x:v>
      </x:c>
      <x:c r="G115" s="296" t="n">
        <x:v>4</x:v>
      </x:c>
      <x:c r="H115" s="296" t="n">
        <x:v>5</x:v>
      </x:c>
      <x:c r="I115" s="296" t="n">
        <x:f>SUM(B115:F115)</x:f>
        <x:v>186</x:v>
      </x:c>
      <x:c r="J115" s="296" t="n">
        <x:f>MOD(B115,2)+MOD(C115,2)+MOD(D115,2)+MOD(E115,2)+MOD(F115,2)</x:f>
        <x:v>2</x:v>
      </x:c>
      <x:c r="K115" s="296" t="n">
        <x:f>COUNTIF(B115:F115,"&gt;31")</x:f>
        <x:v>4</x:v>
      </x:c>
      <x:c r="L115" s="336" t="n">
        <x:f>1/'Executive Summary'!$B$24</x:f>
        <x:v>7.1511238420185165e-9</x:v>
      </x:c>
      <x:c r="M115" s="342" t="n">
        <x:f>2.5</x:f>
        <x:v>2.5</x:v>
      </x:c>
      <x:c r="N115" s="288" t="str">
        <x:v>Conditional coverage wheel</x:v>
      </x:c>
    </x:row>
    <x:row r="116">
      <x:c r="A116" s="295" t="n">
        <x:v>112</x:v>
      </x:c>
      <x:c r="B116" s="296" t="n">
        <x:v>28</x:v>
      </x:c>
      <x:c r="C116" s="296" t="n">
        <x:v>35</x:v>
      </x:c>
      <x:c r="D116" s="296" t="n">
        <x:v>36</x:v>
      </x:c>
      <x:c r="E116" s="296" t="n">
        <x:v>37</x:v>
      </x:c>
      <x:c r="F116" s="296" t="n">
        <x:v>50</x:v>
      </x:c>
      <x:c r="G116" s="296" t="n">
        <x:v>4</x:v>
      </x:c>
      <x:c r="H116" s="296" t="n">
        <x:v>7</x:v>
      </x:c>
      <x:c r="I116" s="296" t="n">
        <x:f>SUM(B116:F116)</x:f>
        <x:v>186</x:v>
      </x:c>
      <x:c r="J116" s="296" t="n">
        <x:f>MOD(B116,2)+MOD(C116,2)+MOD(D116,2)+MOD(E116,2)+MOD(F116,2)</x:f>
        <x:v>2</x:v>
      </x:c>
      <x:c r="K116" s="296" t="n">
        <x:f>COUNTIF(B116:F116,"&gt;31")</x:f>
        <x:v>4</x:v>
      </x:c>
      <x:c r="L116" s="336" t="n">
        <x:f>1/'Executive Summary'!$B$24</x:f>
        <x:v>7.1511238420185165e-9</x:v>
      </x:c>
      <x:c r="M116" s="342" t="n">
        <x:f>2.5</x:f>
        <x:v>2.5</x:v>
      </x:c>
      <x:c r="N116" s="288" t="str">
        <x:v>Conditional coverage wheel</x:v>
      </x:c>
    </x:row>
    <x:row r="117">
      <x:c r="A117" s="295" t="n">
        <x:v>113</x:v>
      </x:c>
      <x:c r="B117" s="296" t="n">
        <x:v>28</x:v>
      </x:c>
      <x:c r="C117" s="296" t="n">
        <x:v>35</x:v>
      </x:c>
      <x:c r="D117" s="296" t="n">
        <x:v>36</x:v>
      </x:c>
      <x:c r="E117" s="296" t="n">
        <x:v>37</x:v>
      </x:c>
      <x:c r="F117" s="296" t="n">
        <x:v>50</x:v>
      </x:c>
      <x:c r="G117" s="296" t="n">
        <x:v>4</x:v>
      </x:c>
      <x:c r="H117" s="296" t="n">
        <x:v>8</x:v>
      </x:c>
      <x:c r="I117" s="296" t="n">
        <x:f>SUM(B117:F117)</x:f>
        <x:v>186</x:v>
      </x:c>
      <x:c r="J117" s="296" t="n">
        <x:f>MOD(B117,2)+MOD(C117,2)+MOD(D117,2)+MOD(E117,2)+MOD(F117,2)</x:f>
        <x:v>2</x:v>
      </x:c>
      <x:c r="K117" s="296" t="n">
        <x:f>COUNTIF(B117:F117,"&gt;31")</x:f>
        <x:v>4</x:v>
      </x:c>
      <x:c r="L117" s="336" t="n">
        <x:f>1/'Executive Summary'!$B$24</x:f>
        <x:v>7.1511238420185165e-9</x:v>
      </x:c>
      <x:c r="M117" s="342" t="n">
        <x:f>2.5</x:f>
        <x:v>2.5</x:v>
      </x:c>
      <x:c r="N117" s="288" t="str">
        <x:v>Conditional coverage wheel</x:v>
      </x:c>
    </x:row>
    <x:row r="118">
      <x:c r="A118" s="295" t="n">
        <x:v>114</x:v>
      </x:c>
      <x:c r="B118" s="296" t="n">
        <x:v>28</x:v>
      </x:c>
      <x:c r="C118" s="296" t="n">
        <x:v>35</x:v>
      </x:c>
      <x:c r="D118" s="296" t="n">
        <x:v>36</x:v>
      </x:c>
      <x:c r="E118" s="296" t="n">
        <x:v>37</x:v>
      </x:c>
      <x:c r="F118" s="296" t="n">
        <x:v>50</x:v>
      </x:c>
      <x:c r="G118" s="296" t="n">
        <x:v>4</x:v>
      </x:c>
      <x:c r="H118" s="296" t="n">
        <x:v>9</x:v>
      </x:c>
      <x:c r="I118" s="296" t="n">
        <x:f>SUM(B118:F118)</x:f>
        <x:v>186</x:v>
      </x:c>
      <x:c r="J118" s="296" t="n">
        <x:f>MOD(B118,2)+MOD(C118,2)+MOD(D118,2)+MOD(E118,2)+MOD(F118,2)</x:f>
        <x:v>2</x:v>
      </x:c>
      <x:c r="K118" s="296" t="n">
        <x:f>COUNTIF(B118:F118,"&gt;31")</x:f>
        <x:v>4</x:v>
      </x:c>
      <x:c r="L118" s="336" t="n">
        <x:f>1/'Executive Summary'!$B$24</x:f>
        <x:v>7.1511238420185165e-9</x:v>
      </x:c>
      <x:c r="M118" s="342" t="n">
        <x:f>2.5</x:f>
        <x:v>2.5</x:v>
      </x:c>
      <x:c r="N118" s="288" t="str">
        <x:v>Conditional coverage wheel</x:v>
      </x:c>
    </x:row>
    <x:row r="119">
      <x:c r="A119" s="295" t="n">
        <x:v>115</x:v>
      </x:c>
      <x:c r="B119" s="296" t="n">
        <x:v>28</x:v>
      </x:c>
      <x:c r="C119" s="296" t="n">
        <x:v>35</x:v>
      </x:c>
      <x:c r="D119" s="296" t="n">
        <x:v>36</x:v>
      </x:c>
      <x:c r="E119" s="296" t="n">
        <x:v>37</x:v>
      </x:c>
      <x:c r="F119" s="296" t="n">
        <x:v>50</x:v>
      </x:c>
      <x:c r="G119" s="296" t="n">
        <x:v>5</x:v>
      </x:c>
      <x:c r="H119" s="296" t="n">
        <x:v>7</x:v>
      </x:c>
      <x:c r="I119" s="296" t="n">
        <x:f>SUM(B119:F119)</x:f>
        <x:v>186</x:v>
      </x:c>
      <x:c r="J119" s="296" t="n">
        <x:f>MOD(B119,2)+MOD(C119,2)+MOD(D119,2)+MOD(E119,2)+MOD(F119,2)</x:f>
        <x:v>2</x:v>
      </x:c>
      <x:c r="K119" s="296" t="n">
        <x:f>COUNTIF(B119:F119,"&gt;31")</x:f>
        <x:v>4</x:v>
      </x:c>
      <x:c r="L119" s="336" t="n">
        <x:f>1/'Executive Summary'!$B$24</x:f>
        <x:v>7.1511238420185165e-9</x:v>
      </x:c>
      <x:c r="M119" s="342" t="n">
        <x:f>2.5</x:f>
        <x:v>2.5</x:v>
      </x:c>
      <x:c r="N119" s="288" t="str">
        <x:v>Conditional coverage wheel</x:v>
      </x:c>
    </x:row>
    <x:row r="120">
      <x:c r="A120" s="295" t="n">
        <x:v>116</x:v>
      </x:c>
      <x:c r="B120" s="296" t="n">
        <x:v>28</x:v>
      </x:c>
      <x:c r="C120" s="296" t="n">
        <x:v>35</x:v>
      </x:c>
      <x:c r="D120" s="296" t="n">
        <x:v>36</x:v>
      </x:c>
      <x:c r="E120" s="296" t="n">
        <x:v>37</x:v>
      </x:c>
      <x:c r="F120" s="296" t="n">
        <x:v>50</x:v>
      </x:c>
      <x:c r="G120" s="296" t="n">
        <x:v>5</x:v>
      </x:c>
      <x:c r="H120" s="296" t="n">
        <x:v>8</x:v>
      </x:c>
      <x:c r="I120" s="296" t="n">
        <x:f>SUM(B120:F120)</x:f>
        <x:v>186</x:v>
      </x:c>
      <x:c r="J120" s="296" t="n">
        <x:f>MOD(B120,2)+MOD(C120,2)+MOD(D120,2)+MOD(E120,2)+MOD(F120,2)</x:f>
        <x:v>2</x:v>
      </x:c>
      <x:c r="K120" s="296" t="n">
        <x:f>COUNTIF(B120:F120,"&gt;31")</x:f>
        <x:v>4</x:v>
      </x:c>
      <x:c r="L120" s="336" t="n">
        <x:f>1/'Executive Summary'!$B$24</x:f>
        <x:v>7.1511238420185165e-9</x:v>
      </x:c>
      <x:c r="M120" s="342" t="n">
        <x:f>2.5</x:f>
        <x:v>2.5</x:v>
      </x:c>
      <x:c r="N120" s="288" t="str">
        <x:v>Conditional coverage wheel</x:v>
      </x:c>
    </x:row>
    <x:row r="121">
      <x:c r="A121" s="295" t="n">
        <x:v>117</x:v>
      </x:c>
      <x:c r="B121" s="296" t="n">
        <x:v>28</x:v>
      </x:c>
      <x:c r="C121" s="296" t="n">
        <x:v>35</x:v>
      </x:c>
      <x:c r="D121" s="296" t="n">
        <x:v>36</x:v>
      </x:c>
      <x:c r="E121" s="296" t="n">
        <x:v>37</x:v>
      </x:c>
      <x:c r="F121" s="296" t="n">
        <x:v>50</x:v>
      </x:c>
      <x:c r="G121" s="296" t="n">
        <x:v>5</x:v>
      </x:c>
      <x:c r="H121" s="296" t="n">
        <x:v>9</x:v>
      </x:c>
      <x:c r="I121" s="296" t="n">
        <x:f>SUM(B121:F121)</x:f>
        <x:v>186</x:v>
      </x:c>
      <x:c r="J121" s="296" t="n">
        <x:f>MOD(B121,2)+MOD(C121,2)+MOD(D121,2)+MOD(E121,2)+MOD(F121,2)</x:f>
        <x:v>2</x:v>
      </x:c>
      <x:c r="K121" s="296" t="n">
        <x:f>COUNTIF(B121:F121,"&gt;31")</x:f>
        <x:v>4</x:v>
      </x:c>
      <x:c r="L121" s="336" t="n">
        <x:f>1/'Executive Summary'!$B$24</x:f>
        <x:v>7.1511238420185165e-9</x:v>
      </x:c>
      <x:c r="M121" s="342" t="n">
        <x:f>2.5</x:f>
        <x:v>2.5</x:v>
      </x:c>
      <x:c r="N121" s="288" t="str">
        <x:v>Conditional coverage wheel</x:v>
      </x:c>
    </x:row>
    <x:row r="122">
      <x:c r="A122" s="295" t="n">
        <x:v>118</x:v>
      </x:c>
      <x:c r="B122" s="296" t="n">
        <x:v>28</x:v>
      </x:c>
      <x:c r="C122" s="296" t="n">
        <x:v>35</x:v>
      </x:c>
      <x:c r="D122" s="296" t="n">
        <x:v>36</x:v>
      </x:c>
      <x:c r="E122" s="296" t="n">
        <x:v>37</x:v>
      </x:c>
      <x:c r="F122" s="296" t="n">
        <x:v>50</x:v>
      </x:c>
      <x:c r="G122" s="296" t="n">
        <x:v>7</x:v>
      </x:c>
      <x:c r="H122" s="296" t="n">
        <x:v>8</x:v>
      </x:c>
      <x:c r="I122" s="296" t="n">
        <x:f>SUM(B122:F122)</x:f>
        <x:v>186</x:v>
      </x:c>
      <x:c r="J122" s="296" t="n">
        <x:f>MOD(B122,2)+MOD(C122,2)+MOD(D122,2)+MOD(E122,2)+MOD(F122,2)</x:f>
        <x:v>2</x:v>
      </x:c>
      <x:c r="K122" s="296" t="n">
        <x:f>COUNTIF(B122:F122,"&gt;31")</x:f>
        <x:v>4</x:v>
      </x:c>
      <x:c r="L122" s="336" t="n">
        <x:f>1/'Executive Summary'!$B$24</x:f>
        <x:v>7.1511238420185165e-9</x:v>
      </x:c>
      <x:c r="M122" s="342" t="n">
        <x:f>2.5</x:f>
        <x:v>2.5</x:v>
      </x:c>
      <x:c r="N122" s="288" t="str">
        <x:v>Conditional coverage wheel</x:v>
      </x:c>
    </x:row>
    <x:row r="123">
      <x:c r="A123" s="295" t="n">
        <x:v>119</x:v>
      </x:c>
      <x:c r="B123" s="296" t="n">
        <x:v>28</x:v>
      </x:c>
      <x:c r="C123" s="296" t="n">
        <x:v>35</x:v>
      </x:c>
      <x:c r="D123" s="296" t="n">
        <x:v>36</x:v>
      </x:c>
      <x:c r="E123" s="296" t="n">
        <x:v>37</x:v>
      </x:c>
      <x:c r="F123" s="296" t="n">
        <x:v>50</x:v>
      </x:c>
      <x:c r="G123" s="296" t="n">
        <x:v>7</x:v>
      </x:c>
      <x:c r="H123" s="296" t="n">
        <x:v>9</x:v>
      </x:c>
      <x:c r="I123" s="296" t="n">
        <x:f>SUM(B123:F123)</x:f>
        <x:v>186</x:v>
      </x:c>
      <x:c r="J123" s="296" t="n">
        <x:f>MOD(B123,2)+MOD(C123,2)+MOD(D123,2)+MOD(E123,2)+MOD(F123,2)</x:f>
        <x:v>2</x:v>
      </x:c>
      <x:c r="K123" s="296" t="n">
        <x:f>COUNTIF(B123:F123,"&gt;31")</x:f>
        <x:v>4</x:v>
      </x:c>
      <x:c r="L123" s="336" t="n">
        <x:f>1/'Executive Summary'!$B$24</x:f>
        <x:v>7.1511238420185165e-9</x:v>
      </x:c>
      <x:c r="M123" s="342" t="n">
        <x:f>2.5</x:f>
        <x:v>2.5</x:v>
      </x:c>
      <x:c r="N123" s="288" t="str">
        <x:v>Conditional coverage wheel</x:v>
      </x:c>
    </x:row>
    <x:row r="124">
      <x:c r="A124" s="295" t="n">
        <x:v>120</x:v>
      </x:c>
      <x:c r="B124" s="296" t="n">
        <x:v>28</x:v>
      </x:c>
      <x:c r="C124" s="296" t="n">
        <x:v>35</x:v>
      </x:c>
      <x:c r="D124" s="296" t="n">
        <x:v>36</x:v>
      </x:c>
      <x:c r="E124" s="296" t="n">
        <x:v>37</x:v>
      </x:c>
      <x:c r="F124" s="296" t="n">
        <x:v>50</x:v>
      </x:c>
      <x:c r="G124" s="296" t="n">
        <x:v>8</x:v>
      </x:c>
      <x:c r="H124" s="296" t="n">
        <x:v>9</x:v>
      </x:c>
      <x:c r="I124" s="296" t="n">
        <x:f>SUM(B124:F124)</x:f>
        <x:v>186</x:v>
      </x:c>
      <x:c r="J124" s="296" t="n">
        <x:f>MOD(B124,2)+MOD(C124,2)+MOD(D124,2)+MOD(E124,2)+MOD(F124,2)</x:f>
        <x:v>2</x:v>
      </x:c>
      <x:c r="K124" s="296" t="n">
        <x:f>COUNTIF(B124:F124,"&gt;31")</x:f>
        <x:v>4</x:v>
      </x:c>
      <x:c r="L124" s="336" t="n">
        <x:f>1/'Executive Summary'!$B$24</x:f>
        <x:v>7.1511238420185165e-9</x:v>
      </x:c>
      <x:c r="M124" s="342" t="n">
        <x:f>2.5</x:f>
        <x:v>2.5</x:v>
      </x:c>
      <x:c r="N124" s="288" t="str">
        <x:v>Conditional coverage wheel</x:v>
      </x:c>
    </x:row>
    <x:row r="125">
      <x:c r="A125" s="295" t="n">
        <x:v>121</x:v>
      </x:c>
      <x:c r="B125" s="296" t="n">
        <x:v>35</x:v>
      </x:c>
      <x:c r="C125" s="296" t="n">
        <x:v>42</x:v>
      </x:c>
      <x:c r="D125" s="296" t="n">
        <x:v>44</x:v>
      </x:c>
      <x:c r="E125" s="296" t="n">
        <x:v>48</x:v>
      </x:c>
      <x:c r="F125" s="296" t="n">
        <x:v>50</x:v>
      </x:c>
      <x:c r="G125" s="296" t="n">
        <x:v>3</x:v>
      </x:c>
      <x:c r="H125" s="296" t="n">
        <x:v>4</x:v>
      </x:c>
      <x:c r="I125" s="296" t="n">
        <x:f>SUM(B125:F125)</x:f>
        <x:v>219</x:v>
      </x:c>
      <x:c r="J125" s="296" t="n">
        <x:f>MOD(B125,2)+MOD(C125,2)+MOD(D125,2)+MOD(E125,2)+MOD(F125,2)</x:f>
        <x:v>1</x:v>
      </x:c>
      <x:c r="K125" s="296" t="n">
        <x:f>COUNTIF(B125:F125,"&gt;31")</x:f>
        <x:v>5</x:v>
      </x:c>
      <x:c r="L125" s="336" t="n">
        <x:f>1/'Executive Summary'!$B$24</x:f>
        <x:v>7.1511238420185165e-9</x:v>
      </x:c>
      <x:c r="M125" s="342" t="n">
        <x:f>2.5</x:f>
        <x:v>2.5</x:v>
      </x:c>
      <x:c r="N125" s="288" t="str">
        <x:v>Conditional coverage wheel</x:v>
      </x:c>
    </x:row>
    <x:row r="126">
      <x:c r="A126" s="295" t="n">
        <x:v>122</x:v>
      </x:c>
      <x:c r="B126" s="296" t="n">
        <x:v>35</x:v>
      </x:c>
      <x:c r="C126" s="296" t="n">
        <x:v>42</x:v>
      </x:c>
      <x:c r="D126" s="296" t="n">
        <x:v>44</x:v>
      </x:c>
      <x:c r="E126" s="296" t="n">
        <x:v>48</x:v>
      </x:c>
      <x:c r="F126" s="296" t="n">
        <x:v>50</x:v>
      </x:c>
      <x:c r="G126" s="296" t="n">
        <x:v>3</x:v>
      </x:c>
      <x:c r="H126" s="296" t="n">
        <x:v>5</x:v>
      </x:c>
      <x:c r="I126" s="296" t="n">
        <x:f>SUM(B126:F126)</x:f>
        <x:v>219</x:v>
      </x:c>
      <x:c r="J126" s="296" t="n">
        <x:f>MOD(B126,2)+MOD(C126,2)+MOD(D126,2)+MOD(E126,2)+MOD(F126,2)</x:f>
        <x:v>1</x:v>
      </x:c>
      <x:c r="K126" s="296" t="n">
        <x:f>COUNTIF(B126:F126,"&gt;31")</x:f>
        <x:v>5</x:v>
      </x:c>
      <x:c r="L126" s="336" t="n">
        <x:f>1/'Executive Summary'!$B$24</x:f>
        <x:v>7.1511238420185165e-9</x:v>
      </x:c>
      <x:c r="M126" s="342" t="n">
        <x:f>2.5</x:f>
        <x:v>2.5</x:v>
      </x:c>
      <x:c r="N126" s="288" t="str">
        <x:v>Conditional coverage wheel</x:v>
      </x:c>
    </x:row>
    <x:row r="127">
      <x:c r="A127" s="295" t="n">
        <x:v>123</x:v>
      </x:c>
      <x:c r="B127" s="296" t="n">
        <x:v>35</x:v>
      </x:c>
      <x:c r="C127" s="296" t="n">
        <x:v>42</x:v>
      </x:c>
      <x:c r="D127" s="296" t="n">
        <x:v>44</x:v>
      </x:c>
      <x:c r="E127" s="296" t="n">
        <x:v>48</x:v>
      </x:c>
      <x:c r="F127" s="296" t="n">
        <x:v>50</x:v>
      </x:c>
      <x:c r="G127" s="296" t="n">
        <x:v>3</x:v>
      </x:c>
      <x:c r="H127" s="296" t="n">
        <x:v>7</x:v>
      </x:c>
      <x:c r="I127" s="296" t="n">
        <x:f>SUM(B127:F127)</x:f>
        <x:v>219</x:v>
      </x:c>
      <x:c r="J127" s="296" t="n">
        <x:f>MOD(B127,2)+MOD(C127,2)+MOD(D127,2)+MOD(E127,2)+MOD(F127,2)</x:f>
        <x:v>1</x:v>
      </x:c>
      <x:c r="K127" s="296" t="n">
        <x:f>COUNTIF(B127:F127,"&gt;31")</x:f>
        <x:v>5</x:v>
      </x:c>
      <x:c r="L127" s="336" t="n">
        <x:f>1/'Executive Summary'!$B$24</x:f>
        <x:v>7.1511238420185165e-9</x:v>
      </x:c>
      <x:c r="M127" s="342" t="n">
        <x:f>2.5</x:f>
        <x:v>2.5</x:v>
      </x:c>
      <x:c r="N127" s="288" t="str">
        <x:v>Conditional coverage wheel</x:v>
      </x:c>
    </x:row>
    <x:row r="128">
      <x:c r="A128" s="295" t="n">
        <x:v>124</x:v>
      </x:c>
      <x:c r="B128" s="296" t="n">
        <x:v>35</x:v>
      </x:c>
      <x:c r="C128" s="296" t="n">
        <x:v>42</x:v>
      </x:c>
      <x:c r="D128" s="296" t="n">
        <x:v>44</x:v>
      </x:c>
      <x:c r="E128" s="296" t="n">
        <x:v>48</x:v>
      </x:c>
      <x:c r="F128" s="296" t="n">
        <x:v>50</x:v>
      </x:c>
      <x:c r="G128" s="296" t="n">
        <x:v>3</x:v>
      </x:c>
      <x:c r="H128" s="296" t="n">
        <x:v>8</x:v>
      </x:c>
      <x:c r="I128" s="296" t="n">
        <x:f>SUM(B128:F128)</x:f>
        <x:v>219</x:v>
      </x:c>
      <x:c r="J128" s="296" t="n">
        <x:f>MOD(B128,2)+MOD(C128,2)+MOD(D128,2)+MOD(E128,2)+MOD(F128,2)</x:f>
        <x:v>1</x:v>
      </x:c>
      <x:c r="K128" s="296" t="n">
        <x:f>COUNTIF(B128:F128,"&gt;31")</x:f>
        <x:v>5</x:v>
      </x:c>
      <x:c r="L128" s="336" t="n">
        <x:f>1/'Executive Summary'!$B$24</x:f>
        <x:v>7.1511238420185165e-9</x:v>
      </x:c>
      <x:c r="M128" s="342" t="n">
        <x:f>2.5</x:f>
        <x:v>2.5</x:v>
      </x:c>
      <x:c r="N128" s="288" t="str">
        <x:v>Conditional coverage wheel</x:v>
      </x:c>
    </x:row>
    <x:row r="129">
      <x:c r="A129" s="295" t="n">
        <x:v>125</x:v>
      </x:c>
      <x:c r="B129" s="296" t="n">
        <x:v>35</x:v>
      </x:c>
      <x:c r="C129" s="296" t="n">
        <x:v>42</x:v>
      </x:c>
      <x:c r="D129" s="296" t="n">
        <x:v>44</x:v>
      </x:c>
      <x:c r="E129" s="296" t="n">
        <x:v>48</x:v>
      </x:c>
      <x:c r="F129" s="296" t="n">
        <x:v>50</x:v>
      </x:c>
      <x:c r="G129" s="296" t="n">
        <x:v>3</x:v>
      </x:c>
      <x:c r="H129" s="296" t="n">
        <x:v>9</x:v>
      </x:c>
      <x:c r="I129" s="296" t="n">
        <x:f>SUM(B129:F129)</x:f>
        <x:v>219</x:v>
      </x:c>
      <x:c r="J129" s="296" t="n">
        <x:f>MOD(B129,2)+MOD(C129,2)+MOD(D129,2)+MOD(E129,2)+MOD(F129,2)</x:f>
        <x:v>1</x:v>
      </x:c>
      <x:c r="K129" s="296" t="n">
        <x:f>COUNTIF(B129:F129,"&gt;31")</x:f>
        <x:v>5</x:v>
      </x:c>
      <x:c r="L129" s="336" t="n">
        <x:f>1/'Executive Summary'!$B$24</x:f>
        <x:v>7.1511238420185165e-9</x:v>
      </x:c>
      <x:c r="M129" s="342" t="n">
        <x:f>2.5</x:f>
        <x:v>2.5</x:v>
      </x:c>
      <x:c r="N129" s="288" t="str">
        <x:v>Conditional coverage wheel</x:v>
      </x:c>
    </x:row>
    <x:row r="130">
      <x:c r="A130" s="295" t="n">
        <x:v>126</x:v>
      </x:c>
      <x:c r="B130" s="296" t="n">
        <x:v>35</x:v>
      </x:c>
      <x:c r="C130" s="296" t="n">
        <x:v>42</x:v>
      </x:c>
      <x:c r="D130" s="296" t="n">
        <x:v>44</x:v>
      </x:c>
      <x:c r="E130" s="296" t="n">
        <x:v>48</x:v>
      </x:c>
      <x:c r="F130" s="296" t="n">
        <x:v>50</x:v>
      </x:c>
      <x:c r="G130" s="296" t="n">
        <x:v>4</x:v>
      </x:c>
      <x:c r="H130" s="296" t="n">
        <x:v>5</x:v>
      </x:c>
      <x:c r="I130" s="296" t="n">
        <x:f>SUM(B130:F130)</x:f>
        <x:v>219</x:v>
      </x:c>
      <x:c r="J130" s="296" t="n">
        <x:f>MOD(B130,2)+MOD(C130,2)+MOD(D130,2)+MOD(E130,2)+MOD(F130,2)</x:f>
        <x:v>1</x:v>
      </x:c>
      <x:c r="K130" s="296" t="n">
        <x:f>COUNTIF(B130:F130,"&gt;31")</x:f>
        <x:v>5</x:v>
      </x:c>
      <x:c r="L130" s="336" t="n">
        <x:f>1/'Executive Summary'!$B$24</x:f>
        <x:v>7.1511238420185165e-9</x:v>
      </x:c>
      <x:c r="M130" s="342" t="n">
        <x:f>2.5</x:f>
        <x:v>2.5</x:v>
      </x:c>
      <x:c r="N130" s="288" t="str">
        <x:v>Conditional coverage wheel</x:v>
      </x:c>
    </x:row>
    <x:row r="131">
      <x:c r="A131" s="295" t="n">
        <x:v>127</x:v>
      </x:c>
      <x:c r="B131" s="296" t="n">
        <x:v>35</x:v>
      </x:c>
      <x:c r="C131" s="296" t="n">
        <x:v>42</x:v>
      </x:c>
      <x:c r="D131" s="296" t="n">
        <x:v>44</x:v>
      </x:c>
      <x:c r="E131" s="296" t="n">
        <x:v>48</x:v>
      </x:c>
      <x:c r="F131" s="296" t="n">
        <x:v>50</x:v>
      </x:c>
      <x:c r="G131" s="296" t="n">
        <x:v>4</x:v>
      </x:c>
      <x:c r="H131" s="296" t="n">
        <x:v>7</x:v>
      </x:c>
      <x:c r="I131" s="296" t="n">
        <x:f>SUM(B131:F131)</x:f>
        <x:v>219</x:v>
      </x:c>
      <x:c r="J131" s="296" t="n">
        <x:f>MOD(B131,2)+MOD(C131,2)+MOD(D131,2)+MOD(E131,2)+MOD(F131,2)</x:f>
        <x:v>1</x:v>
      </x:c>
      <x:c r="K131" s="296" t="n">
        <x:f>COUNTIF(B131:F131,"&gt;31")</x:f>
        <x:v>5</x:v>
      </x:c>
      <x:c r="L131" s="336" t="n">
        <x:f>1/'Executive Summary'!$B$24</x:f>
        <x:v>7.1511238420185165e-9</x:v>
      </x:c>
      <x:c r="M131" s="342" t="n">
        <x:f>2.5</x:f>
        <x:v>2.5</x:v>
      </x:c>
      <x:c r="N131" s="288" t="str">
        <x:v>Conditional coverage wheel</x:v>
      </x:c>
    </x:row>
    <x:row r="132">
      <x:c r="A132" s="295" t="n">
        <x:v>128</x:v>
      </x:c>
      <x:c r="B132" s="296" t="n">
        <x:v>35</x:v>
      </x:c>
      <x:c r="C132" s="296" t="n">
        <x:v>42</x:v>
      </x:c>
      <x:c r="D132" s="296" t="n">
        <x:v>44</x:v>
      </x:c>
      <x:c r="E132" s="296" t="n">
        <x:v>48</x:v>
      </x:c>
      <x:c r="F132" s="296" t="n">
        <x:v>50</x:v>
      </x:c>
      <x:c r="G132" s="296" t="n">
        <x:v>4</x:v>
      </x:c>
      <x:c r="H132" s="296" t="n">
        <x:v>8</x:v>
      </x:c>
      <x:c r="I132" s="296" t="n">
        <x:f>SUM(B132:F132)</x:f>
        <x:v>219</x:v>
      </x:c>
      <x:c r="J132" s="296" t="n">
        <x:f>MOD(B132,2)+MOD(C132,2)+MOD(D132,2)+MOD(E132,2)+MOD(F132,2)</x:f>
        <x:v>1</x:v>
      </x:c>
      <x:c r="K132" s="296" t="n">
        <x:f>COUNTIF(B132:F132,"&gt;31")</x:f>
        <x:v>5</x:v>
      </x:c>
      <x:c r="L132" s="336" t="n">
        <x:f>1/'Executive Summary'!$B$24</x:f>
        <x:v>7.1511238420185165e-9</x:v>
      </x:c>
      <x:c r="M132" s="342" t="n">
        <x:f>2.5</x:f>
        <x:v>2.5</x:v>
      </x:c>
      <x:c r="N132" s="288" t="str">
        <x:v>Conditional coverage wheel</x:v>
      </x:c>
    </x:row>
    <x:row r="133">
      <x:c r="A133" s="295" t="n">
        <x:v>129</x:v>
      </x:c>
      <x:c r="B133" s="296" t="n">
        <x:v>35</x:v>
      </x:c>
      <x:c r="C133" s="296" t="n">
        <x:v>42</x:v>
      </x:c>
      <x:c r="D133" s="296" t="n">
        <x:v>44</x:v>
      </x:c>
      <x:c r="E133" s="296" t="n">
        <x:v>48</x:v>
      </x:c>
      <x:c r="F133" s="296" t="n">
        <x:v>50</x:v>
      </x:c>
      <x:c r="G133" s="296" t="n">
        <x:v>4</x:v>
      </x:c>
      <x:c r="H133" s="296" t="n">
        <x:v>9</x:v>
      </x:c>
      <x:c r="I133" s="296" t="n">
        <x:f>SUM(B133:F133)</x:f>
        <x:v>219</x:v>
      </x:c>
      <x:c r="J133" s="296" t="n">
        <x:f>MOD(B133,2)+MOD(C133,2)+MOD(D133,2)+MOD(E133,2)+MOD(F133,2)</x:f>
        <x:v>1</x:v>
      </x:c>
      <x:c r="K133" s="296" t="n">
        <x:f>COUNTIF(B133:F133,"&gt;31")</x:f>
        <x:v>5</x:v>
      </x:c>
      <x:c r="L133" s="336" t="n">
        <x:f>1/'Executive Summary'!$B$24</x:f>
        <x:v>7.1511238420185165e-9</x:v>
      </x:c>
      <x:c r="M133" s="342" t="n">
        <x:f>2.5</x:f>
        <x:v>2.5</x:v>
      </x:c>
      <x:c r="N133" s="288" t="str">
        <x:v>Conditional coverage wheel</x:v>
      </x:c>
    </x:row>
    <x:row r="134">
      <x:c r="A134" s="295" t="n">
        <x:v>130</x:v>
      </x:c>
      <x:c r="B134" s="296" t="n">
        <x:v>35</x:v>
      </x:c>
      <x:c r="C134" s="296" t="n">
        <x:v>42</x:v>
      </x:c>
      <x:c r="D134" s="296" t="n">
        <x:v>44</x:v>
      </x:c>
      <x:c r="E134" s="296" t="n">
        <x:v>48</x:v>
      </x:c>
      <x:c r="F134" s="296" t="n">
        <x:v>50</x:v>
      </x:c>
      <x:c r="G134" s="296" t="n">
        <x:v>5</x:v>
      </x:c>
      <x:c r="H134" s="296" t="n">
        <x:v>7</x:v>
      </x:c>
      <x:c r="I134" s="296" t="n">
        <x:f>SUM(B134:F134)</x:f>
        <x:v>219</x:v>
      </x:c>
      <x:c r="J134" s="296" t="n">
        <x:f>MOD(B134,2)+MOD(C134,2)+MOD(D134,2)+MOD(E134,2)+MOD(F134,2)</x:f>
        <x:v>1</x:v>
      </x:c>
      <x:c r="K134" s="296" t="n">
        <x:f>COUNTIF(B134:F134,"&gt;31")</x:f>
        <x:v>5</x:v>
      </x:c>
      <x:c r="L134" s="336" t="n">
        <x:f>1/'Executive Summary'!$B$24</x:f>
        <x:v>7.1511238420185165e-9</x:v>
      </x:c>
      <x:c r="M134" s="342" t="n">
        <x:f>2.5</x:f>
        <x:v>2.5</x:v>
      </x:c>
      <x:c r="N134" s="288" t="str">
        <x:v>Conditional coverage wheel</x:v>
      </x:c>
    </x:row>
    <x:row r="135">
      <x:c r="A135" s="295" t="n">
        <x:v>131</x:v>
      </x:c>
      <x:c r="B135" s="296" t="n">
        <x:v>35</x:v>
      </x:c>
      <x:c r="C135" s="296" t="n">
        <x:v>42</x:v>
      </x:c>
      <x:c r="D135" s="296" t="n">
        <x:v>44</x:v>
      </x:c>
      <x:c r="E135" s="296" t="n">
        <x:v>48</x:v>
      </x:c>
      <x:c r="F135" s="296" t="n">
        <x:v>50</x:v>
      </x:c>
      <x:c r="G135" s="296" t="n">
        <x:v>5</x:v>
      </x:c>
      <x:c r="H135" s="296" t="n">
        <x:v>8</x:v>
      </x:c>
      <x:c r="I135" s="296" t="n">
        <x:f>SUM(B135:F135)</x:f>
        <x:v>219</x:v>
      </x:c>
      <x:c r="J135" s="296" t="n">
        <x:f>MOD(B135,2)+MOD(C135,2)+MOD(D135,2)+MOD(E135,2)+MOD(F135,2)</x:f>
        <x:v>1</x:v>
      </x:c>
      <x:c r="K135" s="296" t="n">
        <x:f>COUNTIF(B135:F135,"&gt;31")</x:f>
        <x:v>5</x:v>
      </x:c>
      <x:c r="L135" s="336" t="n">
        <x:f>1/'Executive Summary'!$B$24</x:f>
        <x:v>7.1511238420185165e-9</x:v>
      </x:c>
      <x:c r="M135" s="342" t="n">
        <x:f>2.5</x:f>
        <x:v>2.5</x:v>
      </x:c>
      <x:c r="N135" s="288" t="str">
        <x:v>Conditional coverage wheel</x:v>
      </x:c>
    </x:row>
    <x:row r="136">
      <x:c r="A136" s="295" t="n">
        <x:v>132</x:v>
      </x:c>
      <x:c r="B136" s="296" t="n">
        <x:v>35</x:v>
      </x:c>
      <x:c r="C136" s="296" t="n">
        <x:v>42</x:v>
      </x:c>
      <x:c r="D136" s="296" t="n">
        <x:v>44</x:v>
      </x:c>
      <x:c r="E136" s="296" t="n">
        <x:v>48</x:v>
      </x:c>
      <x:c r="F136" s="296" t="n">
        <x:v>50</x:v>
      </x:c>
      <x:c r="G136" s="296" t="n">
        <x:v>5</x:v>
      </x:c>
      <x:c r="H136" s="296" t="n">
        <x:v>9</x:v>
      </x:c>
      <x:c r="I136" s="296" t="n">
        <x:f>SUM(B136:F136)</x:f>
        <x:v>219</x:v>
      </x:c>
      <x:c r="J136" s="296" t="n">
        <x:f>MOD(B136,2)+MOD(C136,2)+MOD(D136,2)+MOD(E136,2)+MOD(F136,2)</x:f>
        <x:v>1</x:v>
      </x:c>
      <x:c r="K136" s="296" t="n">
        <x:f>COUNTIF(B136:F136,"&gt;31")</x:f>
        <x:v>5</x:v>
      </x:c>
      <x:c r="L136" s="336" t="n">
        <x:f>1/'Executive Summary'!$B$24</x:f>
        <x:v>7.1511238420185165e-9</x:v>
      </x:c>
      <x:c r="M136" s="342" t="n">
        <x:f>2.5</x:f>
        <x:v>2.5</x:v>
      </x:c>
      <x:c r="N136" s="288" t="str">
        <x:v>Conditional coverage wheel</x:v>
      </x:c>
    </x:row>
    <x:row r="137">
      <x:c r="A137" s="295" t="n">
        <x:v>133</x:v>
      </x:c>
      <x:c r="B137" s="296" t="n">
        <x:v>35</x:v>
      </x:c>
      <x:c r="C137" s="296" t="n">
        <x:v>42</x:v>
      </x:c>
      <x:c r="D137" s="296" t="n">
        <x:v>44</x:v>
      </x:c>
      <x:c r="E137" s="296" t="n">
        <x:v>48</x:v>
      </x:c>
      <x:c r="F137" s="296" t="n">
        <x:v>50</x:v>
      </x:c>
      <x:c r="G137" s="296" t="n">
        <x:v>7</x:v>
      </x:c>
      <x:c r="H137" s="296" t="n">
        <x:v>8</x:v>
      </x:c>
      <x:c r="I137" s="296" t="n">
        <x:f>SUM(B137:F137)</x:f>
        <x:v>219</x:v>
      </x:c>
      <x:c r="J137" s="296" t="n">
        <x:f>MOD(B137,2)+MOD(C137,2)+MOD(D137,2)+MOD(E137,2)+MOD(F137,2)</x:f>
        <x:v>1</x:v>
      </x:c>
      <x:c r="K137" s="296" t="n">
        <x:f>COUNTIF(B137:F137,"&gt;31")</x:f>
        <x:v>5</x:v>
      </x:c>
      <x:c r="L137" s="336" t="n">
        <x:f>1/'Executive Summary'!$B$24</x:f>
        <x:v>7.1511238420185165e-9</x:v>
      </x:c>
      <x:c r="M137" s="342" t="n">
        <x:f>2.5</x:f>
        <x:v>2.5</x:v>
      </x:c>
      <x:c r="N137" s="288" t="str">
        <x:v>Conditional coverage wheel</x:v>
      </x:c>
    </x:row>
    <x:row r="138">
      <x:c r="A138" s="295" t="n">
        <x:v>134</x:v>
      </x:c>
      <x:c r="B138" s="296" t="n">
        <x:v>35</x:v>
      </x:c>
      <x:c r="C138" s="296" t="n">
        <x:v>42</x:v>
      </x:c>
      <x:c r="D138" s="296" t="n">
        <x:v>44</x:v>
      </x:c>
      <x:c r="E138" s="296" t="n">
        <x:v>48</x:v>
      </x:c>
      <x:c r="F138" s="296" t="n">
        <x:v>50</x:v>
      </x:c>
      <x:c r="G138" s="296" t="n">
        <x:v>7</x:v>
      </x:c>
      <x:c r="H138" s="296" t="n">
        <x:v>9</x:v>
      </x:c>
      <x:c r="I138" s="296" t="n">
        <x:f>SUM(B138:F138)</x:f>
        <x:v>219</x:v>
      </x:c>
      <x:c r="J138" s="296" t="n">
        <x:f>MOD(B138,2)+MOD(C138,2)+MOD(D138,2)+MOD(E138,2)+MOD(F138,2)</x:f>
        <x:v>1</x:v>
      </x:c>
      <x:c r="K138" s="296" t="n">
        <x:f>COUNTIF(B138:F138,"&gt;31")</x:f>
        <x:v>5</x:v>
      </x:c>
      <x:c r="L138" s="336" t="n">
        <x:f>1/'Executive Summary'!$B$24</x:f>
        <x:v>7.1511238420185165e-9</x:v>
      </x:c>
      <x:c r="M138" s="342" t="n">
        <x:f>2.5</x:f>
        <x:v>2.5</x:v>
      </x:c>
      <x:c r="N138" s="288" t="str">
        <x:v>Conditional coverage wheel</x:v>
      </x:c>
    </x:row>
    <x:row r="139">
      <x:c r="A139" s="297" t="n">
        <x:v>135</x:v>
      </x:c>
      <x:c r="B139" s="298" t="n">
        <x:v>35</x:v>
      </x:c>
      <x:c r="C139" s="298" t="n">
        <x:v>42</x:v>
      </x:c>
      <x:c r="D139" s="298" t="n">
        <x:v>44</x:v>
      </x:c>
      <x:c r="E139" s="298" t="n">
        <x:v>48</x:v>
      </x:c>
      <x:c r="F139" s="298" t="n">
        <x:v>50</x:v>
      </x:c>
      <x:c r="G139" s="298" t="n">
        <x:v>8</x:v>
      </x:c>
      <x:c r="H139" s="298" t="n">
        <x:v>9</x:v>
      </x:c>
      <x:c r="I139" s="298" t="n">
        <x:f>SUM(B139:F139)</x:f>
        <x:v>219</x:v>
      </x:c>
      <x:c r="J139" s="298" t="n">
        <x:f>MOD(B139,2)+MOD(C139,2)+MOD(D139,2)+MOD(E139,2)+MOD(F139,2)</x:f>
        <x:v>1</x:v>
      </x:c>
      <x:c r="K139" s="298" t="n">
        <x:f>COUNTIF(B139:F139,"&gt;31")</x:f>
        <x:v>5</x:v>
      </x:c>
      <x:c r="L139" s="337" t="n">
        <x:f>1/'Executive Summary'!$B$24</x:f>
        <x:v>7.1511238420185165e-9</x:v>
      </x:c>
      <x:c r="M139" s="343" t="n">
        <x:f>2.5</x:f>
        <x:v>2.5</x:v>
      </x:c>
      <x:c r="N139" s="290" t="str">
        <x:v>Conditional coverage wheel</x:v>
      </x:c>
    </x:row>
  </x:sheetData>
  <x:mergeCells>
    <x:mergeCell ref="A1:N1"/>
    <x:mergeCell ref="A2:N2"/>
  </x:mergeCells>
  <x:pageMargins left="0.7" right="0.7" top="0.75" bottom="0.75" header="0.3" footer="0.3"/>
</x:worksheet>
</file>

<file path=xl/worksheets/sheet22.xml><?xml version="1.0" encoding="utf-8"?>
<x:worksheet xmlns:x="http://schemas.openxmlformats.org/spreadsheetml/2006/main">
  <x:sheetFormatPr defaultRowHeight="15"/>
  <x:cols>
    <x:col min="1" max="1" width="9"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2" hidden="0" customWidth="1"/>
    <x:col min="10" max="10" width="11" hidden="0" customWidth="1"/>
    <x:col min="11" max="11" width="11" hidden="0" customWidth="1"/>
    <x:col min="12" max="12" width="21" hidden="0" customWidth="1"/>
    <x:col min="13" max="13" width="11" hidden="0" customWidth="1"/>
    <x:col min="14" max="14" width="27" hidden="0" customWidth="1"/>
  </x:cols>
  <x:sheetData>
    <x:row r="1">
      <x:c r="A1" s="382" t="str">
        <x:v>198-Line Compact Conditional 3+2 Wheel</x:v>
      </x:c>
      <x:c r="B1" s="382"/>
      <x:c r="C1" s="382"/>
      <x:c r="D1" s="382"/>
      <x:c r="E1" s="382"/>
      <x:c r="F1" s="382"/>
      <x:c r="G1" s="382"/>
      <x:c r="H1" s="382"/>
      <x:c r="I1" s="382"/>
      <x:c r="J1" s="382"/>
      <x:c r="K1" s="382"/>
      <x:c r="L1" s="382"/>
      <x:c r="M1" s="382"/>
      <x:c r="N1" s="382"/>
      <x:c r="O1" s="260"/>
      <x:c r="P1" s="260"/>
      <x:c r="Q1" s="260"/>
      <x:c r="R1" s="260"/>
      <x:c r="S1" s="260"/>
      <x:c r="T1" s="260"/>
      <x:c r="U1" s="260"/>
      <x:c r="V1" s="260"/>
      <x:c r="W1" s="260"/>
      <x:c r="X1" s="260"/>
      <x:c r="Y1" s="260"/>
      <x:c r="Z1" s="260"/>
    </x:row>
    <x:row r="2">
      <x:c r="A2" s="326" t="str">
        <x:v>If ≥3 winning mains are in the selected 12 and both Euros are in 3,5,7,9, at least one line contains ≥3+2.</x:v>
      </x:c>
      <x:c r="B2" s="326"/>
      <x:c r="C2" s="326"/>
      <x:c r="D2" s="326"/>
      <x:c r="E2" s="326"/>
      <x:c r="F2" s="326"/>
      <x:c r="G2" s="326"/>
      <x:c r="H2" s="326"/>
      <x:c r="I2" s="326"/>
      <x:c r="J2" s="326"/>
      <x:c r="K2" s="326"/>
      <x:c r="L2" s="326"/>
      <x:c r="M2" s="326"/>
      <x:c r="N2" s="326"/>
    </x:row>
    <x:row r="4">
      <x:c r="A4" s="311" t="str">
        <x:v>Line</x:v>
      </x:c>
      <x:c r="B4" s="312" t="str">
        <x:v>Main 1</x:v>
      </x:c>
      <x:c r="C4" s="312" t="str">
        <x:v>Main 2</x:v>
      </x:c>
      <x:c r="D4" s="312" t="str">
        <x:v>Main 3</x:v>
      </x:c>
      <x:c r="E4" s="312" t="str">
        <x:v>Main 4</x:v>
      </x:c>
      <x:c r="F4" s="312" t="str">
        <x:v>Main 5</x:v>
      </x:c>
      <x:c r="G4" s="312" t="str">
        <x:v>Euro 1</x:v>
      </x:c>
      <x:c r="H4" s="312" t="str">
        <x:v>Euro 2</x:v>
      </x:c>
      <x:c r="I4" s="312" t="str">
        <x:v>Main Sum</x:v>
      </x:c>
      <x:c r="J4" s="312" t="str">
        <x:v>Odd Count</x:v>
      </x:c>
      <x:c r="K4" s="312" t="str">
        <x:v>Above 31</x:v>
      </x:c>
      <x:c r="L4" s="312" t="str">
        <x:v>Jackpot Probability</x:v>
      </x:c>
      <x:c r="M4" s="312" t="str">
        <x:v>Cost</x:v>
      </x:c>
      <x:c r="N4" s="313" t="str">
        <x:v>Classification</x:v>
      </x:c>
    </x:row>
    <x:row r="5">
      <x:c r="A5" s="295" t="n">
        <x:v>1</x:v>
      </x:c>
      <x:c r="B5" s="296" t="n">
        <x:v>4</x:v>
      </x:c>
      <x:c r="C5" s="296" t="n">
        <x:v>21</x:v>
      </x:c>
      <x:c r="D5" s="296" t="n">
        <x:v>25</x:v>
      </x:c>
      <x:c r="E5" s="296" t="n">
        <x:v>27</x:v>
      </x:c>
      <x:c r="F5" s="296" t="n">
        <x:v>28</x:v>
      </x:c>
      <x:c r="G5" s="296" t="n">
        <x:v>3</x:v>
      </x:c>
      <x:c r="H5" s="296" t="n">
        <x:v>5</x:v>
      </x:c>
      <x:c r="I5" s="296" t="n">
        <x:f>SUM(B5:F5)</x:f>
        <x:v>105</x:v>
      </x:c>
      <x:c r="J5" s="296" t="n">
        <x:f>MOD(B5,2)+MOD(C5,2)+MOD(D5,2)+MOD(E5,2)+MOD(F5,2)</x:f>
        <x:v>3</x:v>
      </x:c>
      <x:c r="K5" s="296" t="n">
        <x:f>COUNTIF(B5:F5,"&gt;31")</x:f>
        <x:v>0</x:v>
      </x:c>
      <x:c r="L5" s="336" t="n">
        <x:f>1/'Executive Summary'!$B$24</x:f>
        <x:v>7.1511238420185165e-9</x:v>
      </x:c>
      <x:c r="M5" s="342" t="n">
        <x:f>2.5</x:f>
        <x:v>2.5</x:v>
      </x:c>
      <x:c r="N5" s="288" t="str">
        <x:v>Conditional coverage wheel</x:v>
      </x:c>
    </x:row>
    <x:row r="6">
      <x:c r="A6" s="295" t="n">
        <x:v>2</x:v>
      </x:c>
      <x:c r="B6" s="296" t="n">
        <x:v>4</x:v>
      </x:c>
      <x:c r="C6" s="296" t="n">
        <x:v>21</x:v>
      </x:c>
      <x:c r="D6" s="296" t="n">
        <x:v>25</x:v>
      </x:c>
      <x:c r="E6" s="296" t="n">
        <x:v>27</x:v>
      </x:c>
      <x:c r="F6" s="296" t="n">
        <x:v>28</x:v>
      </x:c>
      <x:c r="G6" s="296" t="n">
        <x:v>3</x:v>
      </x:c>
      <x:c r="H6" s="296" t="n">
        <x:v>7</x:v>
      </x:c>
      <x:c r="I6" s="296" t="n">
        <x:f>SUM(B6:F6)</x:f>
        <x:v>105</x:v>
      </x:c>
      <x:c r="J6" s="296" t="n">
        <x:f>MOD(B6,2)+MOD(C6,2)+MOD(D6,2)+MOD(E6,2)+MOD(F6,2)</x:f>
        <x:v>3</x:v>
      </x:c>
      <x:c r="K6" s="296" t="n">
        <x:f>COUNTIF(B6:F6,"&gt;31")</x:f>
        <x:v>0</x:v>
      </x:c>
      <x:c r="L6" s="336" t="n">
        <x:f>1/'Executive Summary'!$B$24</x:f>
        <x:v>7.1511238420185165e-9</x:v>
      </x:c>
      <x:c r="M6" s="342" t="n">
        <x:f>2.5</x:f>
        <x:v>2.5</x:v>
      </x:c>
      <x:c r="N6" s="288" t="str">
        <x:v>Conditional coverage wheel</x:v>
      </x:c>
    </x:row>
    <x:row r="7">
      <x:c r="A7" s="295" t="n">
        <x:v>3</x:v>
      </x:c>
      <x:c r="B7" s="296" t="n">
        <x:v>4</x:v>
      </x:c>
      <x:c r="C7" s="296" t="n">
        <x:v>21</x:v>
      </x:c>
      <x:c r="D7" s="296" t="n">
        <x:v>25</x:v>
      </x:c>
      <x:c r="E7" s="296" t="n">
        <x:v>27</x:v>
      </x:c>
      <x:c r="F7" s="296" t="n">
        <x:v>28</x:v>
      </x:c>
      <x:c r="G7" s="296" t="n">
        <x:v>3</x:v>
      </x:c>
      <x:c r="H7" s="296" t="n">
        <x:v>9</x:v>
      </x:c>
      <x:c r="I7" s="296" t="n">
        <x:f>SUM(B7:F7)</x:f>
        <x:v>105</x:v>
      </x:c>
      <x:c r="J7" s="296" t="n">
        <x:f>MOD(B7,2)+MOD(C7,2)+MOD(D7,2)+MOD(E7,2)+MOD(F7,2)</x:f>
        <x:v>3</x:v>
      </x:c>
      <x:c r="K7" s="296" t="n">
        <x:f>COUNTIF(B7:F7,"&gt;31")</x:f>
        <x:v>0</x:v>
      </x:c>
      <x:c r="L7" s="336" t="n">
        <x:f>1/'Executive Summary'!$B$24</x:f>
        <x:v>7.1511238420185165e-9</x:v>
      </x:c>
      <x:c r="M7" s="342" t="n">
        <x:f>2.5</x:f>
        <x:v>2.5</x:v>
      </x:c>
      <x:c r="N7" s="288" t="str">
        <x:v>Conditional coverage wheel</x:v>
      </x:c>
    </x:row>
    <x:row r="8">
      <x:c r="A8" s="295" t="n">
        <x:v>4</x:v>
      </x:c>
      <x:c r="B8" s="296" t="n">
        <x:v>4</x:v>
      </x:c>
      <x:c r="C8" s="296" t="n">
        <x:v>21</x:v>
      </x:c>
      <x:c r="D8" s="296" t="n">
        <x:v>25</x:v>
      </x:c>
      <x:c r="E8" s="296" t="n">
        <x:v>27</x:v>
      </x:c>
      <x:c r="F8" s="296" t="n">
        <x:v>28</x:v>
      </x:c>
      <x:c r="G8" s="296" t="n">
        <x:v>5</x:v>
      </x:c>
      <x:c r="H8" s="296" t="n">
        <x:v>7</x:v>
      </x:c>
      <x:c r="I8" s="296" t="n">
        <x:f>SUM(B8:F8)</x:f>
        <x:v>105</x:v>
      </x:c>
      <x:c r="J8" s="296" t="n">
        <x:f>MOD(B8,2)+MOD(C8,2)+MOD(D8,2)+MOD(E8,2)+MOD(F8,2)</x:f>
        <x:v>3</x:v>
      </x:c>
      <x:c r="K8" s="296" t="n">
        <x:f>COUNTIF(B8:F8,"&gt;31")</x:f>
        <x:v>0</x:v>
      </x:c>
      <x:c r="L8" s="336" t="n">
        <x:f>1/'Executive Summary'!$B$24</x:f>
        <x:v>7.1511238420185165e-9</x:v>
      </x:c>
      <x:c r="M8" s="342" t="n">
        <x:f>2.5</x:f>
        <x:v>2.5</x:v>
      </x:c>
      <x:c r="N8" s="288" t="str">
        <x:v>Conditional coverage wheel</x:v>
      </x:c>
    </x:row>
    <x:row r="9">
      <x:c r="A9" s="295" t="n">
        <x:v>5</x:v>
      </x:c>
      <x:c r="B9" s="296" t="n">
        <x:v>4</x:v>
      </x:c>
      <x:c r="C9" s="296" t="n">
        <x:v>21</x:v>
      </x:c>
      <x:c r="D9" s="296" t="n">
        <x:v>25</x:v>
      </x:c>
      <x:c r="E9" s="296" t="n">
        <x:v>27</x:v>
      </x:c>
      <x:c r="F9" s="296" t="n">
        <x:v>28</x:v>
      </x:c>
      <x:c r="G9" s="296" t="n">
        <x:v>5</x:v>
      </x:c>
      <x:c r="H9" s="296" t="n">
        <x:v>9</x:v>
      </x:c>
      <x:c r="I9" s="296" t="n">
        <x:f>SUM(B9:F9)</x:f>
        <x:v>105</x:v>
      </x:c>
      <x:c r="J9" s="296" t="n">
        <x:f>MOD(B9,2)+MOD(C9,2)+MOD(D9,2)+MOD(E9,2)+MOD(F9,2)</x:f>
        <x:v>3</x:v>
      </x:c>
      <x:c r="K9" s="296" t="n">
        <x:f>COUNTIF(B9:F9,"&gt;31")</x:f>
        <x:v>0</x:v>
      </x:c>
      <x:c r="L9" s="336" t="n">
        <x:f>1/'Executive Summary'!$B$24</x:f>
        <x:v>7.1511238420185165e-9</x:v>
      </x:c>
      <x:c r="M9" s="342" t="n">
        <x:f>2.5</x:f>
        <x:v>2.5</x:v>
      </x:c>
      <x:c r="N9" s="288" t="str">
        <x:v>Conditional coverage wheel</x:v>
      </x:c>
    </x:row>
    <x:row r="10">
      <x:c r="A10" s="295" t="n">
        <x:v>6</x:v>
      </x:c>
      <x:c r="B10" s="296" t="n">
        <x:v>4</x:v>
      </x:c>
      <x:c r="C10" s="296" t="n">
        <x:v>21</x:v>
      </x:c>
      <x:c r="D10" s="296" t="n">
        <x:v>25</x:v>
      </x:c>
      <x:c r="E10" s="296" t="n">
        <x:v>27</x:v>
      </x:c>
      <x:c r="F10" s="296" t="n">
        <x:v>28</x:v>
      </x:c>
      <x:c r="G10" s="296" t="n">
        <x:v>7</x:v>
      </x:c>
      <x:c r="H10" s="296" t="n">
        <x:v>9</x:v>
      </x:c>
      <x:c r="I10" s="296" t="n">
        <x:f>SUM(B10:F10)</x:f>
        <x:v>105</x:v>
      </x:c>
      <x:c r="J10" s="296" t="n">
        <x:f>MOD(B10,2)+MOD(C10,2)+MOD(D10,2)+MOD(E10,2)+MOD(F10,2)</x:f>
        <x:v>3</x:v>
      </x:c>
      <x:c r="K10" s="296" t="n">
        <x:f>COUNTIF(B10:F10,"&gt;31")</x:f>
        <x:v>0</x:v>
      </x:c>
      <x:c r="L10" s="336" t="n">
        <x:f>1/'Executive Summary'!$B$24</x:f>
        <x:v>7.1511238420185165e-9</x:v>
      </x:c>
      <x:c r="M10" s="342" t="n">
        <x:f>2.5</x:f>
        <x:v>2.5</x:v>
      </x:c>
      <x:c r="N10" s="288" t="str">
        <x:v>Conditional coverage wheel</x:v>
      </x:c>
    </x:row>
    <x:row r="11">
      <x:c r="A11" s="295" t="n">
        <x:v>7</x:v>
      </x:c>
      <x:c r="B11" s="296" t="n">
        <x:v>4</x:v>
      </x:c>
      <x:c r="C11" s="296" t="n">
        <x:v>21</x:v>
      </x:c>
      <x:c r="D11" s="296" t="n">
        <x:v>35</x:v>
      </x:c>
      <x:c r="E11" s="296" t="n">
        <x:v>36</x:v>
      </x:c>
      <x:c r="F11" s="296" t="n">
        <x:v>37</x:v>
      </x:c>
      <x:c r="G11" s="296" t="n">
        <x:v>3</x:v>
      </x:c>
      <x:c r="H11" s="296" t="n">
        <x:v>5</x:v>
      </x:c>
      <x:c r="I11" s="296" t="n">
        <x:f>SUM(B11:F11)</x:f>
        <x:v>133</x:v>
      </x:c>
      <x:c r="J11" s="296" t="n">
        <x:f>MOD(B11,2)+MOD(C11,2)+MOD(D11,2)+MOD(E11,2)+MOD(F11,2)</x:f>
        <x:v>3</x:v>
      </x:c>
      <x:c r="K11" s="296" t="n">
        <x:f>COUNTIF(B11:F11,"&gt;31")</x:f>
        <x:v>3</x:v>
      </x:c>
      <x:c r="L11" s="336" t="n">
        <x:f>1/'Executive Summary'!$B$24</x:f>
        <x:v>7.1511238420185165e-9</x:v>
      </x:c>
      <x:c r="M11" s="342" t="n">
        <x:f>2.5</x:f>
        <x:v>2.5</x:v>
      </x:c>
      <x:c r="N11" s="288" t="str">
        <x:v>Conditional coverage wheel</x:v>
      </x:c>
    </x:row>
    <x:row r="12">
      <x:c r="A12" s="295" t="n">
        <x:v>8</x:v>
      </x:c>
      <x:c r="B12" s="296" t="n">
        <x:v>4</x:v>
      </x:c>
      <x:c r="C12" s="296" t="n">
        <x:v>21</x:v>
      </x:c>
      <x:c r="D12" s="296" t="n">
        <x:v>35</x:v>
      </x:c>
      <x:c r="E12" s="296" t="n">
        <x:v>36</x:v>
      </x:c>
      <x:c r="F12" s="296" t="n">
        <x:v>37</x:v>
      </x:c>
      <x:c r="G12" s="296" t="n">
        <x:v>3</x:v>
      </x:c>
      <x:c r="H12" s="296" t="n">
        <x:v>7</x:v>
      </x:c>
      <x:c r="I12" s="296" t="n">
        <x:f>SUM(B12:F12)</x:f>
        <x:v>133</x:v>
      </x:c>
      <x:c r="J12" s="296" t="n">
        <x:f>MOD(B12,2)+MOD(C12,2)+MOD(D12,2)+MOD(E12,2)+MOD(F12,2)</x:f>
        <x:v>3</x:v>
      </x:c>
      <x:c r="K12" s="296" t="n">
        <x:f>COUNTIF(B12:F12,"&gt;31")</x:f>
        <x:v>3</x:v>
      </x:c>
      <x:c r="L12" s="336" t="n">
        <x:f>1/'Executive Summary'!$B$24</x:f>
        <x:v>7.1511238420185165e-9</x:v>
      </x:c>
      <x:c r="M12" s="342" t="n">
        <x:f>2.5</x:f>
        <x:v>2.5</x:v>
      </x:c>
      <x:c r="N12" s="288" t="str">
        <x:v>Conditional coverage wheel</x:v>
      </x:c>
    </x:row>
    <x:row r="13">
      <x:c r="A13" s="295" t="n">
        <x:v>9</x:v>
      </x:c>
      <x:c r="B13" s="296" t="n">
        <x:v>4</x:v>
      </x:c>
      <x:c r="C13" s="296" t="n">
        <x:v>21</x:v>
      </x:c>
      <x:c r="D13" s="296" t="n">
        <x:v>35</x:v>
      </x:c>
      <x:c r="E13" s="296" t="n">
        <x:v>36</x:v>
      </x:c>
      <x:c r="F13" s="296" t="n">
        <x:v>37</x:v>
      </x:c>
      <x:c r="G13" s="296" t="n">
        <x:v>3</x:v>
      </x:c>
      <x:c r="H13" s="296" t="n">
        <x:v>9</x:v>
      </x:c>
      <x:c r="I13" s="296" t="n">
        <x:f>SUM(B13:F13)</x:f>
        <x:v>133</x:v>
      </x:c>
      <x:c r="J13" s="296" t="n">
        <x:f>MOD(B13,2)+MOD(C13,2)+MOD(D13,2)+MOD(E13,2)+MOD(F13,2)</x:f>
        <x:v>3</x:v>
      </x:c>
      <x:c r="K13" s="296" t="n">
        <x:f>COUNTIF(B13:F13,"&gt;31")</x:f>
        <x:v>3</x:v>
      </x:c>
      <x:c r="L13" s="336" t="n">
        <x:f>1/'Executive Summary'!$B$24</x:f>
        <x:v>7.1511238420185165e-9</x:v>
      </x:c>
      <x:c r="M13" s="342" t="n">
        <x:f>2.5</x:f>
        <x:v>2.5</x:v>
      </x:c>
      <x:c r="N13" s="288" t="str">
        <x:v>Conditional coverage wheel</x:v>
      </x:c>
    </x:row>
    <x:row r="14">
      <x:c r="A14" s="295" t="n">
        <x:v>10</x:v>
      </x:c>
      <x:c r="B14" s="296" t="n">
        <x:v>4</x:v>
      </x:c>
      <x:c r="C14" s="296" t="n">
        <x:v>21</x:v>
      </x:c>
      <x:c r="D14" s="296" t="n">
        <x:v>35</x:v>
      </x:c>
      <x:c r="E14" s="296" t="n">
        <x:v>36</x:v>
      </x:c>
      <x:c r="F14" s="296" t="n">
        <x:v>37</x:v>
      </x:c>
      <x:c r="G14" s="296" t="n">
        <x:v>5</x:v>
      </x:c>
      <x:c r="H14" s="296" t="n">
        <x:v>7</x:v>
      </x:c>
      <x:c r="I14" s="296" t="n">
        <x:f>SUM(B14:F14)</x:f>
        <x:v>133</x:v>
      </x:c>
      <x:c r="J14" s="296" t="n">
        <x:f>MOD(B14,2)+MOD(C14,2)+MOD(D14,2)+MOD(E14,2)+MOD(F14,2)</x:f>
        <x:v>3</x:v>
      </x:c>
      <x:c r="K14" s="296" t="n">
        <x:f>COUNTIF(B14:F14,"&gt;31")</x:f>
        <x:v>3</x:v>
      </x:c>
      <x:c r="L14" s="336" t="n">
        <x:f>1/'Executive Summary'!$B$24</x:f>
        <x:v>7.1511238420185165e-9</x:v>
      </x:c>
      <x:c r="M14" s="342" t="n">
        <x:f>2.5</x:f>
        <x:v>2.5</x:v>
      </x:c>
      <x:c r="N14" s="288" t="str">
        <x:v>Conditional coverage wheel</x:v>
      </x:c>
    </x:row>
    <x:row r="15">
      <x:c r="A15" s="295" t="n">
        <x:v>11</x:v>
      </x:c>
      <x:c r="B15" s="296" t="n">
        <x:v>4</x:v>
      </x:c>
      <x:c r="C15" s="296" t="n">
        <x:v>21</x:v>
      </x:c>
      <x:c r="D15" s="296" t="n">
        <x:v>35</x:v>
      </x:c>
      <x:c r="E15" s="296" t="n">
        <x:v>36</x:v>
      </x:c>
      <x:c r="F15" s="296" t="n">
        <x:v>37</x:v>
      </x:c>
      <x:c r="G15" s="296" t="n">
        <x:v>5</x:v>
      </x:c>
      <x:c r="H15" s="296" t="n">
        <x:v>9</x:v>
      </x:c>
      <x:c r="I15" s="296" t="n">
        <x:f>SUM(B15:F15)</x:f>
        <x:v>133</x:v>
      </x:c>
      <x:c r="J15" s="296" t="n">
        <x:f>MOD(B15,2)+MOD(C15,2)+MOD(D15,2)+MOD(E15,2)+MOD(F15,2)</x:f>
        <x:v>3</x:v>
      </x:c>
      <x:c r="K15" s="296" t="n">
        <x:f>COUNTIF(B15:F15,"&gt;31")</x:f>
        <x:v>3</x:v>
      </x:c>
      <x:c r="L15" s="336" t="n">
        <x:f>1/'Executive Summary'!$B$24</x:f>
        <x:v>7.1511238420185165e-9</x:v>
      </x:c>
      <x:c r="M15" s="342" t="n">
        <x:f>2.5</x:f>
        <x:v>2.5</x:v>
      </x:c>
      <x:c r="N15" s="288" t="str">
        <x:v>Conditional coverage wheel</x:v>
      </x:c>
    </x:row>
    <x:row r="16">
      <x:c r="A16" s="295" t="n">
        <x:v>12</x:v>
      </x:c>
      <x:c r="B16" s="296" t="n">
        <x:v>4</x:v>
      </x:c>
      <x:c r="C16" s="296" t="n">
        <x:v>21</x:v>
      </x:c>
      <x:c r="D16" s="296" t="n">
        <x:v>35</x:v>
      </x:c>
      <x:c r="E16" s="296" t="n">
        <x:v>36</x:v>
      </x:c>
      <x:c r="F16" s="296" t="n">
        <x:v>37</x:v>
      </x:c>
      <x:c r="G16" s="296" t="n">
        <x:v>7</x:v>
      </x:c>
      <x:c r="H16" s="296" t="n">
        <x:v>9</x:v>
      </x:c>
      <x:c r="I16" s="296" t="n">
        <x:f>SUM(B16:F16)</x:f>
        <x:v>133</x:v>
      </x:c>
      <x:c r="J16" s="296" t="n">
        <x:f>MOD(B16,2)+MOD(C16,2)+MOD(D16,2)+MOD(E16,2)+MOD(F16,2)</x:f>
        <x:v>3</x:v>
      </x:c>
      <x:c r="K16" s="296" t="n">
        <x:f>COUNTIF(B16:F16,"&gt;31")</x:f>
        <x:v>3</x:v>
      </x:c>
      <x:c r="L16" s="336" t="n">
        <x:f>1/'Executive Summary'!$B$24</x:f>
        <x:v>7.1511238420185165e-9</x:v>
      </x:c>
      <x:c r="M16" s="342" t="n">
        <x:f>2.5</x:f>
        <x:v>2.5</x:v>
      </x:c>
      <x:c r="N16" s="288" t="str">
        <x:v>Conditional coverage wheel</x:v>
      </x:c>
    </x:row>
    <x:row r="17">
      <x:c r="A17" s="295" t="n">
        <x:v>13</x:v>
      </x:c>
      <x:c r="B17" s="296" t="n">
        <x:v>4</x:v>
      </x:c>
      <x:c r="C17" s="296" t="n">
        <x:v>21</x:v>
      </x:c>
      <x:c r="D17" s="296" t="n">
        <x:v>42</x:v>
      </x:c>
      <x:c r="E17" s="296" t="n">
        <x:v>44</x:v>
      </x:c>
      <x:c r="F17" s="296" t="n">
        <x:v>48</x:v>
      </x:c>
      <x:c r="G17" s="296" t="n">
        <x:v>3</x:v>
      </x:c>
      <x:c r="H17" s="296" t="n">
        <x:v>5</x:v>
      </x:c>
      <x:c r="I17" s="296" t="n">
        <x:f>SUM(B17:F17)</x:f>
        <x:v>159</x:v>
      </x:c>
      <x:c r="J17" s="296" t="n">
        <x:f>MOD(B17,2)+MOD(C17,2)+MOD(D17,2)+MOD(E17,2)+MOD(F17,2)</x:f>
        <x:v>1</x:v>
      </x:c>
      <x:c r="K17" s="296" t="n">
        <x:f>COUNTIF(B17:F17,"&gt;31")</x:f>
        <x:v>3</x:v>
      </x:c>
      <x:c r="L17" s="336" t="n">
        <x:f>1/'Executive Summary'!$B$24</x:f>
        <x:v>7.1511238420185165e-9</x:v>
      </x:c>
      <x:c r="M17" s="342" t="n">
        <x:f>2.5</x:f>
        <x:v>2.5</x:v>
      </x:c>
      <x:c r="N17" s="288" t="str">
        <x:v>Conditional coverage wheel</x:v>
      </x:c>
    </x:row>
    <x:row r="18">
      <x:c r="A18" s="295" t="n">
        <x:v>14</x:v>
      </x:c>
      <x:c r="B18" s="296" t="n">
        <x:v>4</x:v>
      </x:c>
      <x:c r="C18" s="296" t="n">
        <x:v>21</x:v>
      </x:c>
      <x:c r="D18" s="296" t="n">
        <x:v>42</x:v>
      </x:c>
      <x:c r="E18" s="296" t="n">
        <x:v>44</x:v>
      </x:c>
      <x:c r="F18" s="296" t="n">
        <x:v>48</x:v>
      </x:c>
      <x:c r="G18" s="296" t="n">
        <x:v>3</x:v>
      </x:c>
      <x:c r="H18" s="296" t="n">
        <x:v>7</x:v>
      </x:c>
      <x:c r="I18" s="296" t="n">
        <x:f>SUM(B18:F18)</x:f>
        <x:v>159</x:v>
      </x:c>
      <x:c r="J18" s="296" t="n">
        <x:f>MOD(B18,2)+MOD(C18,2)+MOD(D18,2)+MOD(E18,2)+MOD(F18,2)</x:f>
        <x:v>1</x:v>
      </x:c>
      <x:c r="K18" s="296" t="n">
        <x:f>COUNTIF(B18:F18,"&gt;31")</x:f>
        <x:v>3</x:v>
      </x:c>
      <x:c r="L18" s="336" t="n">
        <x:f>1/'Executive Summary'!$B$24</x:f>
        <x:v>7.1511238420185165e-9</x:v>
      </x:c>
      <x:c r="M18" s="342" t="n">
        <x:f>2.5</x:f>
        <x:v>2.5</x:v>
      </x:c>
      <x:c r="N18" s="288" t="str">
        <x:v>Conditional coverage wheel</x:v>
      </x:c>
    </x:row>
    <x:row r="19">
      <x:c r="A19" s="295" t="n">
        <x:v>15</x:v>
      </x:c>
      <x:c r="B19" s="296" t="n">
        <x:v>4</x:v>
      </x:c>
      <x:c r="C19" s="296" t="n">
        <x:v>21</x:v>
      </x:c>
      <x:c r="D19" s="296" t="n">
        <x:v>42</x:v>
      </x:c>
      <x:c r="E19" s="296" t="n">
        <x:v>44</x:v>
      </x:c>
      <x:c r="F19" s="296" t="n">
        <x:v>48</x:v>
      </x:c>
      <x:c r="G19" s="296" t="n">
        <x:v>3</x:v>
      </x:c>
      <x:c r="H19" s="296" t="n">
        <x:v>9</x:v>
      </x:c>
      <x:c r="I19" s="296" t="n">
        <x:f>SUM(B19:F19)</x:f>
        <x:v>159</x:v>
      </x:c>
      <x:c r="J19" s="296" t="n">
        <x:f>MOD(B19,2)+MOD(C19,2)+MOD(D19,2)+MOD(E19,2)+MOD(F19,2)</x:f>
        <x:v>1</x:v>
      </x:c>
      <x:c r="K19" s="296" t="n">
        <x:f>COUNTIF(B19:F19,"&gt;31")</x:f>
        <x:v>3</x:v>
      </x:c>
      <x:c r="L19" s="336" t="n">
        <x:f>1/'Executive Summary'!$B$24</x:f>
        <x:v>7.1511238420185165e-9</x:v>
      </x:c>
      <x:c r="M19" s="342" t="n">
        <x:f>2.5</x:f>
        <x:v>2.5</x:v>
      </x:c>
      <x:c r="N19" s="288" t="str">
        <x:v>Conditional coverage wheel</x:v>
      </x:c>
    </x:row>
    <x:row r="20">
      <x:c r="A20" s="295" t="n">
        <x:v>16</x:v>
      </x:c>
      <x:c r="B20" s="296" t="n">
        <x:v>4</x:v>
      </x:c>
      <x:c r="C20" s="296" t="n">
        <x:v>21</x:v>
      </x:c>
      <x:c r="D20" s="296" t="n">
        <x:v>42</x:v>
      </x:c>
      <x:c r="E20" s="296" t="n">
        <x:v>44</x:v>
      </x:c>
      <x:c r="F20" s="296" t="n">
        <x:v>48</x:v>
      </x:c>
      <x:c r="G20" s="296" t="n">
        <x:v>5</x:v>
      </x:c>
      <x:c r="H20" s="296" t="n">
        <x:v>7</x:v>
      </x:c>
      <x:c r="I20" s="296" t="n">
        <x:f>SUM(B20:F20)</x:f>
        <x:v>159</x:v>
      </x:c>
      <x:c r="J20" s="296" t="n">
        <x:f>MOD(B20,2)+MOD(C20,2)+MOD(D20,2)+MOD(E20,2)+MOD(F20,2)</x:f>
        <x:v>1</x:v>
      </x:c>
      <x:c r="K20" s="296" t="n">
        <x:f>COUNTIF(B20:F20,"&gt;31")</x:f>
        <x:v>3</x:v>
      </x:c>
      <x:c r="L20" s="336" t="n">
        <x:f>1/'Executive Summary'!$B$24</x:f>
        <x:v>7.1511238420185165e-9</x:v>
      </x:c>
      <x:c r="M20" s="342" t="n">
        <x:f>2.5</x:f>
        <x:v>2.5</x:v>
      </x:c>
      <x:c r="N20" s="288" t="str">
        <x:v>Conditional coverage wheel</x:v>
      </x:c>
    </x:row>
    <x:row r="21">
      <x:c r="A21" s="295" t="n">
        <x:v>17</x:v>
      </x:c>
      <x:c r="B21" s="296" t="n">
        <x:v>4</x:v>
      </x:c>
      <x:c r="C21" s="296" t="n">
        <x:v>21</x:v>
      </x:c>
      <x:c r="D21" s="296" t="n">
        <x:v>42</x:v>
      </x:c>
      <x:c r="E21" s="296" t="n">
        <x:v>44</x:v>
      </x:c>
      <x:c r="F21" s="296" t="n">
        <x:v>48</x:v>
      </x:c>
      <x:c r="G21" s="296" t="n">
        <x:v>5</x:v>
      </x:c>
      <x:c r="H21" s="296" t="n">
        <x:v>9</x:v>
      </x:c>
      <x:c r="I21" s="296" t="n">
        <x:f>SUM(B21:F21)</x:f>
        <x:v>159</x:v>
      </x:c>
      <x:c r="J21" s="296" t="n">
        <x:f>MOD(B21,2)+MOD(C21,2)+MOD(D21,2)+MOD(E21,2)+MOD(F21,2)</x:f>
        <x:v>1</x:v>
      </x:c>
      <x:c r="K21" s="296" t="n">
        <x:f>COUNTIF(B21:F21,"&gt;31")</x:f>
        <x:v>3</x:v>
      </x:c>
      <x:c r="L21" s="336" t="n">
        <x:f>1/'Executive Summary'!$B$24</x:f>
        <x:v>7.1511238420185165e-9</x:v>
      </x:c>
      <x:c r="M21" s="342" t="n">
        <x:f>2.5</x:f>
        <x:v>2.5</x:v>
      </x:c>
      <x:c r="N21" s="288" t="str">
        <x:v>Conditional coverage wheel</x:v>
      </x:c>
    </x:row>
    <x:row r="22">
      <x:c r="A22" s="295" t="n">
        <x:v>18</x:v>
      </x:c>
      <x:c r="B22" s="296" t="n">
        <x:v>4</x:v>
      </x:c>
      <x:c r="C22" s="296" t="n">
        <x:v>21</x:v>
      </x:c>
      <x:c r="D22" s="296" t="n">
        <x:v>42</x:v>
      </x:c>
      <x:c r="E22" s="296" t="n">
        <x:v>44</x:v>
      </x:c>
      <x:c r="F22" s="296" t="n">
        <x:v>48</x:v>
      </x:c>
      <x:c r="G22" s="296" t="n">
        <x:v>7</x:v>
      </x:c>
      <x:c r="H22" s="296" t="n">
        <x:v>9</x:v>
      </x:c>
      <x:c r="I22" s="296" t="n">
        <x:f>SUM(B22:F22)</x:f>
        <x:v>159</x:v>
      </x:c>
      <x:c r="J22" s="296" t="n">
        <x:f>MOD(B22,2)+MOD(C22,2)+MOD(D22,2)+MOD(E22,2)+MOD(F22,2)</x:f>
        <x:v>1</x:v>
      </x:c>
      <x:c r="K22" s="296" t="n">
        <x:f>COUNTIF(B22:F22,"&gt;31")</x:f>
        <x:v>3</x:v>
      </x:c>
      <x:c r="L22" s="336" t="n">
        <x:f>1/'Executive Summary'!$B$24</x:f>
        <x:v>7.1511238420185165e-9</x:v>
      </x:c>
      <x:c r="M22" s="342" t="n">
        <x:f>2.5</x:f>
        <x:v>2.5</x:v>
      </x:c>
      <x:c r="N22" s="288" t="str">
        <x:v>Conditional coverage wheel</x:v>
      </x:c>
    </x:row>
    <x:row r="23">
      <x:c r="A23" s="295" t="n">
        <x:v>19</x:v>
      </x:c>
      <x:c r="B23" s="296" t="n">
        <x:v>4</x:v>
      </x:c>
      <x:c r="C23" s="296" t="n">
        <x:v>25</x:v>
      </x:c>
      <x:c r="D23" s="296" t="n">
        <x:v>35</x:v>
      </x:c>
      <x:c r="E23" s="296" t="n">
        <x:v>42</x:v>
      </x:c>
      <x:c r="F23" s="296" t="n">
        <x:v>50</x:v>
      </x:c>
      <x:c r="G23" s="296" t="n">
        <x:v>3</x:v>
      </x:c>
      <x:c r="H23" s="296" t="n">
        <x:v>5</x:v>
      </x:c>
      <x:c r="I23" s="296" t="n">
        <x:f>SUM(B23:F23)</x:f>
        <x:v>156</x:v>
      </x:c>
      <x:c r="J23" s="296" t="n">
        <x:f>MOD(B23,2)+MOD(C23,2)+MOD(D23,2)+MOD(E23,2)+MOD(F23,2)</x:f>
        <x:v>2</x:v>
      </x:c>
      <x:c r="K23" s="296" t="n">
        <x:f>COUNTIF(B23:F23,"&gt;31")</x:f>
        <x:v>3</x:v>
      </x:c>
      <x:c r="L23" s="336" t="n">
        <x:f>1/'Executive Summary'!$B$24</x:f>
        <x:v>7.1511238420185165e-9</x:v>
      </x:c>
      <x:c r="M23" s="342" t="n">
        <x:f>2.5</x:f>
        <x:v>2.5</x:v>
      </x:c>
      <x:c r="N23" s="288" t="str">
        <x:v>Conditional coverage wheel</x:v>
      </x:c>
    </x:row>
    <x:row r="24">
      <x:c r="A24" s="295" t="n">
        <x:v>20</x:v>
      </x:c>
      <x:c r="B24" s="296" t="n">
        <x:v>4</x:v>
      </x:c>
      <x:c r="C24" s="296" t="n">
        <x:v>25</x:v>
      </x:c>
      <x:c r="D24" s="296" t="n">
        <x:v>35</x:v>
      </x:c>
      <x:c r="E24" s="296" t="n">
        <x:v>42</x:v>
      </x:c>
      <x:c r="F24" s="296" t="n">
        <x:v>50</x:v>
      </x:c>
      <x:c r="G24" s="296" t="n">
        <x:v>3</x:v>
      </x:c>
      <x:c r="H24" s="296" t="n">
        <x:v>7</x:v>
      </x:c>
      <x:c r="I24" s="296" t="n">
        <x:f>SUM(B24:F24)</x:f>
        <x:v>156</x:v>
      </x:c>
      <x:c r="J24" s="296" t="n">
        <x:f>MOD(B24,2)+MOD(C24,2)+MOD(D24,2)+MOD(E24,2)+MOD(F24,2)</x:f>
        <x:v>2</x:v>
      </x:c>
      <x:c r="K24" s="296" t="n">
        <x:f>COUNTIF(B24:F24,"&gt;31")</x:f>
        <x:v>3</x:v>
      </x:c>
      <x:c r="L24" s="336" t="n">
        <x:f>1/'Executive Summary'!$B$24</x:f>
        <x:v>7.1511238420185165e-9</x:v>
      </x:c>
      <x:c r="M24" s="342" t="n">
        <x:f>2.5</x:f>
        <x:v>2.5</x:v>
      </x:c>
      <x:c r="N24" s="288" t="str">
        <x:v>Conditional coverage wheel</x:v>
      </x:c>
    </x:row>
    <x:row r="25">
      <x:c r="A25" s="295" t="n">
        <x:v>21</x:v>
      </x:c>
      <x:c r="B25" s="296" t="n">
        <x:v>4</x:v>
      </x:c>
      <x:c r="C25" s="296" t="n">
        <x:v>25</x:v>
      </x:c>
      <x:c r="D25" s="296" t="n">
        <x:v>35</x:v>
      </x:c>
      <x:c r="E25" s="296" t="n">
        <x:v>42</x:v>
      </x:c>
      <x:c r="F25" s="296" t="n">
        <x:v>50</x:v>
      </x:c>
      <x:c r="G25" s="296" t="n">
        <x:v>3</x:v>
      </x:c>
      <x:c r="H25" s="296" t="n">
        <x:v>9</x:v>
      </x:c>
      <x:c r="I25" s="296" t="n">
        <x:f>SUM(B25:F25)</x:f>
        <x:v>156</x:v>
      </x:c>
      <x:c r="J25" s="296" t="n">
        <x:f>MOD(B25,2)+MOD(C25,2)+MOD(D25,2)+MOD(E25,2)+MOD(F25,2)</x:f>
        <x:v>2</x:v>
      </x:c>
      <x:c r="K25" s="296" t="n">
        <x:f>COUNTIF(B25:F25,"&gt;31")</x:f>
        <x:v>3</x:v>
      </x:c>
      <x:c r="L25" s="336" t="n">
        <x:f>1/'Executive Summary'!$B$24</x:f>
        <x:v>7.1511238420185165e-9</x:v>
      </x:c>
      <x:c r="M25" s="342" t="n">
        <x:f>2.5</x:f>
        <x:v>2.5</x:v>
      </x:c>
      <x:c r="N25" s="288" t="str">
        <x:v>Conditional coverage wheel</x:v>
      </x:c>
    </x:row>
    <x:row r="26">
      <x:c r="A26" s="295" t="n">
        <x:v>22</x:v>
      </x:c>
      <x:c r="B26" s="296" t="n">
        <x:v>4</x:v>
      </x:c>
      <x:c r="C26" s="296" t="n">
        <x:v>25</x:v>
      </x:c>
      <x:c r="D26" s="296" t="n">
        <x:v>35</x:v>
      </x:c>
      <x:c r="E26" s="296" t="n">
        <x:v>42</x:v>
      </x:c>
      <x:c r="F26" s="296" t="n">
        <x:v>50</x:v>
      </x:c>
      <x:c r="G26" s="296" t="n">
        <x:v>5</x:v>
      </x:c>
      <x:c r="H26" s="296" t="n">
        <x:v>7</x:v>
      </x:c>
      <x:c r="I26" s="296" t="n">
        <x:f>SUM(B26:F26)</x:f>
        <x:v>156</x:v>
      </x:c>
      <x:c r="J26" s="296" t="n">
        <x:f>MOD(B26,2)+MOD(C26,2)+MOD(D26,2)+MOD(E26,2)+MOD(F26,2)</x:f>
        <x:v>2</x:v>
      </x:c>
      <x:c r="K26" s="296" t="n">
        <x:f>COUNTIF(B26:F26,"&gt;31")</x:f>
        <x:v>3</x:v>
      </x:c>
      <x:c r="L26" s="336" t="n">
        <x:f>1/'Executive Summary'!$B$24</x:f>
        <x:v>7.1511238420185165e-9</x:v>
      </x:c>
      <x:c r="M26" s="342" t="n">
        <x:f>2.5</x:f>
        <x:v>2.5</x:v>
      </x:c>
      <x:c r="N26" s="288" t="str">
        <x:v>Conditional coverage wheel</x:v>
      </x:c>
    </x:row>
    <x:row r="27">
      <x:c r="A27" s="295" t="n">
        <x:v>23</x:v>
      </x:c>
      <x:c r="B27" s="296" t="n">
        <x:v>4</x:v>
      </x:c>
      <x:c r="C27" s="296" t="n">
        <x:v>25</x:v>
      </x:c>
      <x:c r="D27" s="296" t="n">
        <x:v>35</x:v>
      </x:c>
      <x:c r="E27" s="296" t="n">
        <x:v>42</x:v>
      </x:c>
      <x:c r="F27" s="296" t="n">
        <x:v>50</x:v>
      </x:c>
      <x:c r="G27" s="296" t="n">
        <x:v>5</x:v>
      </x:c>
      <x:c r="H27" s="296" t="n">
        <x:v>9</x:v>
      </x:c>
      <x:c r="I27" s="296" t="n">
        <x:f>SUM(B27:F27)</x:f>
        <x:v>156</x:v>
      </x:c>
      <x:c r="J27" s="296" t="n">
        <x:f>MOD(B27,2)+MOD(C27,2)+MOD(D27,2)+MOD(E27,2)+MOD(F27,2)</x:f>
        <x:v>2</x:v>
      </x:c>
      <x:c r="K27" s="296" t="n">
        <x:f>COUNTIF(B27:F27,"&gt;31")</x:f>
        <x:v>3</x:v>
      </x:c>
      <x:c r="L27" s="336" t="n">
        <x:f>1/'Executive Summary'!$B$24</x:f>
        <x:v>7.1511238420185165e-9</x:v>
      </x:c>
      <x:c r="M27" s="342" t="n">
        <x:f>2.5</x:f>
        <x:v>2.5</x:v>
      </x:c>
      <x:c r="N27" s="288" t="str">
        <x:v>Conditional coverage wheel</x:v>
      </x:c>
    </x:row>
    <x:row r="28">
      <x:c r="A28" s="295" t="n">
        <x:v>24</x:v>
      </x:c>
      <x:c r="B28" s="296" t="n">
        <x:v>4</x:v>
      </x:c>
      <x:c r="C28" s="296" t="n">
        <x:v>25</x:v>
      </x:c>
      <x:c r="D28" s="296" t="n">
        <x:v>35</x:v>
      </x:c>
      <x:c r="E28" s="296" t="n">
        <x:v>42</x:v>
      </x:c>
      <x:c r="F28" s="296" t="n">
        <x:v>50</x:v>
      </x:c>
      <x:c r="G28" s="296" t="n">
        <x:v>7</x:v>
      </x:c>
      <x:c r="H28" s="296" t="n">
        <x:v>9</x:v>
      </x:c>
      <x:c r="I28" s="296" t="n">
        <x:f>SUM(B28:F28)</x:f>
        <x:v>156</x:v>
      </x:c>
      <x:c r="J28" s="296" t="n">
        <x:f>MOD(B28,2)+MOD(C28,2)+MOD(D28,2)+MOD(E28,2)+MOD(F28,2)</x:f>
        <x:v>2</x:v>
      </x:c>
      <x:c r="K28" s="296" t="n">
        <x:f>COUNTIF(B28:F28,"&gt;31")</x:f>
        <x:v>3</x:v>
      </x:c>
      <x:c r="L28" s="336" t="n">
        <x:f>1/'Executive Summary'!$B$24</x:f>
        <x:v>7.1511238420185165e-9</x:v>
      </x:c>
      <x:c r="M28" s="342" t="n">
        <x:f>2.5</x:f>
        <x:v>2.5</x:v>
      </x:c>
      <x:c r="N28" s="288" t="str">
        <x:v>Conditional coverage wheel</x:v>
      </x:c>
    </x:row>
    <x:row r="29">
      <x:c r="A29" s="295" t="n">
        <x:v>25</x:v>
      </x:c>
      <x:c r="B29" s="296" t="n">
        <x:v>4</x:v>
      </x:c>
      <x:c r="C29" s="296" t="n">
        <x:v>27</x:v>
      </x:c>
      <x:c r="D29" s="296" t="n">
        <x:v>36</x:v>
      </x:c>
      <x:c r="E29" s="296" t="n">
        <x:v>44</x:v>
      </x:c>
      <x:c r="F29" s="296" t="n">
        <x:v>50</x:v>
      </x:c>
      <x:c r="G29" s="296" t="n">
        <x:v>3</x:v>
      </x:c>
      <x:c r="H29" s="296" t="n">
        <x:v>5</x:v>
      </x:c>
      <x:c r="I29" s="296" t="n">
        <x:f>SUM(B29:F29)</x:f>
        <x:v>161</x:v>
      </x:c>
      <x:c r="J29" s="296" t="n">
        <x:f>MOD(B29,2)+MOD(C29,2)+MOD(D29,2)+MOD(E29,2)+MOD(F29,2)</x:f>
        <x:v>1</x:v>
      </x:c>
      <x:c r="K29" s="296" t="n">
        <x:f>COUNTIF(B29:F29,"&gt;31")</x:f>
        <x:v>3</x:v>
      </x:c>
      <x:c r="L29" s="336" t="n">
        <x:f>1/'Executive Summary'!$B$24</x:f>
        <x:v>7.1511238420185165e-9</x:v>
      </x:c>
      <x:c r="M29" s="342" t="n">
        <x:f>2.5</x:f>
        <x:v>2.5</x:v>
      </x:c>
      <x:c r="N29" s="288" t="str">
        <x:v>Conditional coverage wheel</x:v>
      </x:c>
    </x:row>
    <x:row r="30">
      <x:c r="A30" s="295" t="n">
        <x:v>26</x:v>
      </x:c>
      <x:c r="B30" s="296" t="n">
        <x:v>4</x:v>
      </x:c>
      <x:c r="C30" s="296" t="n">
        <x:v>27</x:v>
      </x:c>
      <x:c r="D30" s="296" t="n">
        <x:v>36</x:v>
      </x:c>
      <x:c r="E30" s="296" t="n">
        <x:v>44</x:v>
      </x:c>
      <x:c r="F30" s="296" t="n">
        <x:v>50</x:v>
      </x:c>
      <x:c r="G30" s="296" t="n">
        <x:v>3</x:v>
      </x:c>
      <x:c r="H30" s="296" t="n">
        <x:v>7</x:v>
      </x:c>
      <x:c r="I30" s="296" t="n">
        <x:f>SUM(B30:F30)</x:f>
        <x:v>161</x:v>
      </x:c>
      <x:c r="J30" s="296" t="n">
        <x:f>MOD(B30,2)+MOD(C30,2)+MOD(D30,2)+MOD(E30,2)+MOD(F30,2)</x:f>
        <x:v>1</x:v>
      </x:c>
      <x:c r="K30" s="296" t="n">
        <x:f>COUNTIF(B30:F30,"&gt;31")</x:f>
        <x:v>3</x:v>
      </x:c>
      <x:c r="L30" s="336" t="n">
        <x:f>1/'Executive Summary'!$B$24</x:f>
        <x:v>7.1511238420185165e-9</x:v>
      </x:c>
      <x:c r="M30" s="342" t="n">
        <x:f>2.5</x:f>
        <x:v>2.5</x:v>
      </x:c>
      <x:c r="N30" s="288" t="str">
        <x:v>Conditional coverage wheel</x:v>
      </x:c>
    </x:row>
    <x:row r="31">
      <x:c r="A31" s="295" t="n">
        <x:v>27</x:v>
      </x:c>
      <x:c r="B31" s="296" t="n">
        <x:v>4</x:v>
      </x:c>
      <x:c r="C31" s="296" t="n">
        <x:v>27</x:v>
      </x:c>
      <x:c r="D31" s="296" t="n">
        <x:v>36</x:v>
      </x:c>
      <x:c r="E31" s="296" t="n">
        <x:v>44</x:v>
      </x:c>
      <x:c r="F31" s="296" t="n">
        <x:v>50</x:v>
      </x:c>
      <x:c r="G31" s="296" t="n">
        <x:v>3</x:v>
      </x:c>
      <x:c r="H31" s="296" t="n">
        <x:v>9</x:v>
      </x:c>
      <x:c r="I31" s="296" t="n">
        <x:f>SUM(B31:F31)</x:f>
        <x:v>161</x:v>
      </x:c>
      <x:c r="J31" s="296" t="n">
        <x:f>MOD(B31,2)+MOD(C31,2)+MOD(D31,2)+MOD(E31,2)+MOD(F31,2)</x:f>
        <x:v>1</x:v>
      </x:c>
      <x:c r="K31" s="296" t="n">
        <x:f>COUNTIF(B31:F31,"&gt;31")</x:f>
        <x:v>3</x:v>
      </x:c>
      <x:c r="L31" s="336" t="n">
        <x:f>1/'Executive Summary'!$B$24</x:f>
        <x:v>7.1511238420185165e-9</x:v>
      </x:c>
      <x:c r="M31" s="342" t="n">
        <x:f>2.5</x:f>
        <x:v>2.5</x:v>
      </x:c>
      <x:c r="N31" s="288" t="str">
        <x:v>Conditional coverage wheel</x:v>
      </x:c>
    </x:row>
    <x:row r="32">
      <x:c r="A32" s="295" t="n">
        <x:v>28</x:v>
      </x:c>
      <x:c r="B32" s="296" t="n">
        <x:v>4</x:v>
      </x:c>
      <x:c r="C32" s="296" t="n">
        <x:v>27</x:v>
      </x:c>
      <x:c r="D32" s="296" t="n">
        <x:v>36</x:v>
      </x:c>
      <x:c r="E32" s="296" t="n">
        <x:v>44</x:v>
      </x:c>
      <x:c r="F32" s="296" t="n">
        <x:v>50</x:v>
      </x:c>
      <x:c r="G32" s="296" t="n">
        <x:v>5</x:v>
      </x:c>
      <x:c r="H32" s="296" t="n">
        <x:v>7</x:v>
      </x:c>
      <x:c r="I32" s="296" t="n">
        <x:f>SUM(B32:F32)</x:f>
        <x:v>161</x:v>
      </x:c>
      <x:c r="J32" s="296" t="n">
        <x:f>MOD(B32,2)+MOD(C32,2)+MOD(D32,2)+MOD(E32,2)+MOD(F32,2)</x:f>
        <x:v>1</x:v>
      </x:c>
      <x:c r="K32" s="296" t="n">
        <x:f>COUNTIF(B32:F32,"&gt;31")</x:f>
        <x:v>3</x:v>
      </x:c>
      <x:c r="L32" s="336" t="n">
        <x:f>1/'Executive Summary'!$B$24</x:f>
        <x:v>7.1511238420185165e-9</x:v>
      </x:c>
      <x:c r="M32" s="342" t="n">
        <x:f>2.5</x:f>
        <x:v>2.5</x:v>
      </x:c>
      <x:c r="N32" s="288" t="str">
        <x:v>Conditional coverage wheel</x:v>
      </x:c>
    </x:row>
    <x:row r="33">
      <x:c r="A33" s="295" t="n">
        <x:v>29</x:v>
      </x:c>
      <x:c r="B33" s="296" t="n">
        <x:v>4</x:v>
      </x:c>
      <x:c r="C33" s="296" t="n">
        <x:v>27</x:v>
      </x:c>
      <x:c r="D33" s="296" t="n">
        <x:v>36</x:v>
      </x:c>
      <x:c r="E33" s="296" t="n">
        <x:v>44</x:v>
      </x:c>
      <x:c r="F33" s="296" t="n">
        <x:v>50</x:v>
      </x:c>
      <x:c r="G33" s="296" t="n">
        <x:v>5</x:v>
      </x:c>
      <x:c r="H33" s="296" t="n">
        <x:v>9</x:v>
      </x:c>
      <x:c r="I33" s="296" t="n">
        <x:f>SUM(B33:F33)</x:f>
        <x:v>161</x:v>
      </x:c>
      <x:c r="J33" s="296" t="n">
        <x:f>MOD(B33,2)+MOD(C33,2)+MOD(D33,2)+MOD(E33,2)+MOD(F33,2)</x:f>
        <x:v>1</x:v>
      </x:c>
      <x:c r="K33" s="296" t="n">
        <x:f>COUNTIF(B33:F33,"&gt;31")</x:f>
        <x:v>3</x:v>
      </x:c>
      <x:c r="L33" s="336" t="n">
        <x:f>1/'Executive Summary'!$B$24</x:f>
        <x:v>7.1511238420185165e-9</x:v>
      </x:c>
      <x:c r="M33" s="342" t="n">
        <x:f>2.5</x:f>
        <x:v>2.5</x:v>
      </x:c>
      <x:c r="N33" s="288" t="str">
        <x:v>Conditional coverage wheel</x:v>
      </x:c>
    </x:row>
    <x:row r="34">
      <x:c r="A34" s="295" t="n">
        <x:v>30</x:v>
      </x:c>
      <x:c r="B34" s="296" t="n">
        <x:v>4</x:v>
      </x:c>
      <x:c r="C34" s="296" t="n">
        <x:v>27</x:v>
      </x:c>
      <x:c r="D34" s="296" t="n">
        <x:v>36</x:v>
      </x:c>
      <x:c r="E34" s="296" t="n">
        <x:v>44</x:v>
      </x:c>
      <x:c r="F34" s="296" t="n">
        <x:v>50</x:v>
      </x:c>
      <x:c r="G34" s="296" t="n">
        <x:v>7</x:v>
      </x:c>
      <x:c r="H34" s="296" t="n">
        <x:v>9</x:v>
      </x:c>
      <x:c r="I34" s="296" t="n">
        <x:f>SUM(B34:F34)</x:f>
        <x:v>161</x:v>
      </x:c>
      <x:c r="J34" s="296" t="n">
        <x:f>MOD(B34,2)+MOD(C34,2)+MOD(D34,2)+MOD(E34,2)+MOD(F34,2)</x:f>
        <x:v>1</x:v>
      </x:c>
      <x:c r="K34" s="296" t="n">
        <x:f>COUNTIF(B34:F34,"&gt;31")</x:f>
        <x:v>3</x:v>
      </x:c>
      <x:c r="L34" s="336" t="n">
        <x:f>1/'Executive Summary'!$B$24</x:f>
        <x:v>7.1511238420185165e-9</x:v>
      </x:c>
      <x:c r="M34" s="342" t="n">
        <x:f>2.5</x:f>
        <x:v>2.5</x:v>
      </x:c>
      <x:c r="N34" s="288" t="str">
        <x:v>Conditional coverage wheel</x:v>
      </x:c>
    </x:row>
    <x:row r="35">
      <x:c r="A35" s="295" t="n">
        <x:v>31</x:v>
      </x:c>
      <x:c r="B35" s="296" t="n">
        <x:v>4</x:v>
      </x:c>
      <x:c r="C35" s="296" t="n">
        <x:v>28</x:v>
      </x:c>
      <x:c r="D35" s="296" t="n">
        <x:v>37</x:v>
      </x:c>
      <x:c r="E35" s="296" t="n">
        <x:v>48</x:v>
      </x:c>
      <x:c r="F35" s="296" t="n">
        <x:v>50</x:v>
      </x:c>
      <x:c r="G35" s="296" t="n">
        <x:v>3</x:v>
      </x:c>
      <x:c r="H35" s="296" t="n">
        <x:v>5</x:v>
      </x:c>
      <x:c r="I35" s="296" t="n">
        <x:f>SUM(B35:F35)</x:f>
        <x:v>167</x:v>
      </x:c>
      <x:c r="J35" s="296" t="n">
        <x:f>MOD(B35,2)+MOD(C35,2)+MOD(D35,2)+MOD(E35,2)+MOD(F35,2)</x:f>
        <x:v>1</x:v>
      </x:c>
      <x:c r="K35" s="296" t="n">
        <x:f>COUNTIF(B35:F35,"&gt;31")</x:f>
        <x:v>3</x:v>
      </x:c>
      <x:c r="L35" s="336" t="n">
        <x:f>1/'Executive Summary'!$B$24</x:f>
        <x:v>7.1511238420185165e-9</x:v>
      </x:c>
      <x:c r="M35" s="342" t="n">
        <x:f>2.5</x:f>
        <x:v>2.5</x:v>
      </x:c>
      <x:c r="N35" s="288" t="str">
        <x:v>Conditional coverage wheel</x:v>
      </x:c>
    </x:row>
    <x:row r="36">
      <x:c r="A36" s="295" t="n">
        <x:v>32</x:v>
      </x:c>
      <x:c r="B36" s="296" t="n">
        <x:v>4</x:v>
      </x:c>
      <x:c r="C36" s="296" t="n">
        <x:v>28</x:v>
      </x:c>
      <x:c r="D36" s="296" t="n">
        <x:v>37</x:v>
      </x:c>
      <x:c r="E36" s="296" t="n">
        <x:v>48</x:v>
      </x:c>
      <x:c r="F36" s="296" t="n">
        <x:v>50</x:v>
      </x:c>
      <x:c r="G36" s="296" t="n">
        <x:v>3</x:v>
      </x:c>
      <x:c r="H36" s="296" t="n">
        <x:v>7</x:v>
      </x:c>
      <x:c r="I36" s="296" t="n">
        <x:f>SUM(B36:F36)</x:f>
        <x:v>167</x:v>
      </x:c>
      <x:c r="J36" s="296" t="n">
        <x:f>MOD(B36,2)+MOD(C36,2)+MOD(D36,2)+MOD(E36,2)+MOD(F36,2)</x:f>
        <x:v>1</x:v>
      </x:c>
      <x:c r="K36" s="296" t="n">
        <x:f>COUNTIF(B36:F36,"&gt;31")</x:f>
        <x:v>3</x:v>
      </x:c>
      <x:c r="L36" s="336" t="n">
        <x:f>1/'Executive Summary'!$B$24</x:f>
        <x:v>7.1511238420185165e-9</x:v>
      </x:c>
      <x:c r="M36" s="342" t="n">
        <x:f>2.5</x:f>
        <x:v>2.5</x:v>
      </x:c>
      <x:c r="N36" s="288" t="str">
        <x:v>Conditional coverage wheel</x:v>
      </x:c>
    </x:row>
    <x:row r="37">
      <x:c r="A37" s="295" t="n">
        <x:v>33</x:v>
      </x:c>
      <x:c r="B37" s="296" t="n">
        <x:v>4</x:v>
      </x:c>
      <x:c r="C37" s="296" t="n">
        <x:v>28</x:v>
      </x:c>
      <x:c r="D37" s="296" t="n">
        <x:v>37</x:v>
      </x:c>
      <x:c r="E37" s="296" t="n">
        <x:v>48</x:v>
      </x:c>
      <x:c r="F37" s="296" t="n">
        <x:v>50</x:v>
      </x:c>
      <x:c r="G37" s="296" t="n">
        <x:v>3</x:v>
      </x:c>
      <x:c r="H37" s="296" t="n">
        <x:v>9</x:v>
      </x:c>
      <x:c r="I37" s="296" t="n">
        <x:f>SUM(B37:F37)</x:f>
        <x:v>167</x:v>
      </x:c>
      <x:c r="J37" s="296" t="n">
        <x:f>MOD(B37,2)+MOD(C37,2)+MOD(D37,2)+MOD(E37,2)+MOD(F37,2)</x:f>
        <x:v>1</x:v>
      </x:c>
      <x:c r="K37" s="296" t="n">
        <x:f>COUNTIF(B37:F37,"&gt;31")</x:f>
        <x:v>3</x:v>
      </x:c>
      <x:c r="L37" s="336" t="n">
        <x:f>1/'Executive Summary'!$B$24</x:f>
        <x:v>7.1511238420185165e-9</x:v>
      </x:c>
      <x:c r="M37" s="342" t="n">
        <x:f>2.5</x:f>
        <x:v>2.5</x:v>
      </x:c>
      <x:c r="N37" s="288" t="str">
        <x:v>Conditional coverage wheel</x:v>
      </x:c>
    </x:row>
    <x:row r="38">
      <x:c r="A38" s="295" t="n">
        <x:v>34</x:v>
      </x:c>
      <x:c r="B38" s="296" t="n">
        <x:v>4</x:v>
      </x:c>
      <x:c r="C38" s="296" t="n">
        <x:v>28</x:v>
      </x:c>
      <x:c r="D38" s="296" t="n">
        <x:v>37</x:v>
      </x:c>
      <x:c r="E38" s="296" t="n">
        <x:v>48</x:v>
      </x:c>
      <x:c r="F38" s="296" t="n">
        <x:v>50</x:v>
      </x:c>
      <x:c r="G38" s="296" t="n">
        <x:v>5</x:v>
      </x:c>
      <x:c r="H38" s="296" t="n">
        <x:v>7</x:v>
      </x:c>
      <x:c r="I38" s="296" t="n">
        <x:f>SUM(B38:F38)</x:f>
        <x:v>167</x:v>
      </x:c>
      <x:c r="J38" s="296" t="n">
        <x:f>MOD(B38,2)+MOD(C38,2)+MOD(D38,2)+MOD(E38,2)+MOD(F38,2)</x:f>
        <x:v>1</x:v>
      </x:c>
      <x:c r="K38" s="296" t="n">
        <x:f>COUNTIF(B38:F38,"&gt;31")</x:f>
        <x:v>3</x:v>
      </x:c>
      <x:c r="L38" s="336" t="n">
        <x:f>1/'Executive Summary'!$B$24</x:f>
        <x:v>7.1511238420185165e-9</x:v>
      </x:c>
      <x:c r="M38" s="342" t="n">
        <x:f>2.5</x:f>
        <x:v>2.5</x:v>
      </x:c>
      <x:c r="N38" s="288" t="str">
        <x:v>Conditional coverage wheel</x:v>
      </x:c>
    </x:row>
    <x:row r="39">
      <x:c r="A39" s="295" t="n">
        <x:v>35</x:v>
      </x:c>
      <x:c r="B39" s="296" t="n">
        <x:v>4</x:v>
      </x:c>
      <x:c r="C39" s="296" t="n">
        <x:v>28</x:v>
      </x:c>
      <x:c r="D39" s="296" t="n">
        <x:v>37</x:v>
      </x:c>
      <x:c r="E39" s="296" t="n">
        <x:v>48</x:v>
      </x:c>
      <x:c r="F39" s="296" t="n">
        <x:v>50</x:v>
      </x:c>
      <x:c r="G39" s="296" t="n">
        <x:v>5</x:v>
      </x:c>
      <x:c r="H39" s="296" t="n">
        <x:v>9</x:v>
      </x:c>
      <x:c r="I39" s="296" t="n">
        <x:f>SUM(B39:F39)</x:f>
        <x:v>167</x:v>
      </x:c>
      <x:c r="J39" s="296" t="n">
        <x:f>MOD(B39,2)+MOD(C39,2)+MOD(D39,2)+MOD(E39,2)+MOD(F39,2)</x:f>
        <x:v>1</x:v>
      </x:c>
      <x:c r="K39" s="296" t="n">
        <x:f>COUNTIF(B39:F39,"&gt;31")</x:f>
        <x:v>3</x:v>
      </x:c>
      <x:c r="L39" s="336" t="n">
        <x:f>1/'Executive Summary'!$B$24</x:f>
        <x:v>7.1511238420185165e-9</x:v>
      </x:c>
      <x:c r="M39" s="342" t="n">
        <x:f>2.5</x:f>
        <x:v>2.5</x:v>
      </x:c>
      <x:c r="N39" s="288" t="str">
        <x:v>Conditional coverage wheel</x:v>
      </x:c>
    </x:row>
    <x:row r="40">
      <x:c r="A40" s="295" t="n">
        <x:v>36</x:v>
      </x:c>
      <x:c r="B40" s="296" t="n">
        <x:v>4</x:v>
      </x:c>
      <x:c r="C40" s="296" t="n">
        <x:v>28</x:v>
      </x:c>
      <x:c r="D40" s="296" t="n">
        <x:v>37</x:v>
      </x:c>
      <x:c r="E40" s="296" t="n">
        <x:v>48</x:v>
      </x:c>
      <x:c r="F40" s="296" t="n">
        <x:v>50</x:v>
      </x:c>
      <x:c r="G40" s="296" t="n">
        <x:v>7</x:v>
      </x:c>
      <x:c r="H40" s="296" t="n">
        <x:v>9</x:v>
      </x:c>
      <x:c r="I40" s="296" t="n">
        <x:f>SUM(B40:F40)</x:f>
        <x:v>167</x:v>
      </x:c>
      <x:c r="J40" s="296" t="n">
        <x:f>MOD(B40,2)+MOD(C40,2)+MOD(D40,2)+MOD(E40,2)+MOD(F40,2)</x:f>
        <x:v>1</x:v>
      </x:c>
      <x:c r="K40" s="296" t="n">
        <x:f>COUNTIF(B40:F40,"&gt;31")</x:f>
        <x:v>3</x:v>
      </x:c>
      <x:c r="L40" s="336" t="n">
        <x:f>1/'Executive Summary'!$B$24</x:f>
        <x:v>7.1511238420185165e-9</x:v>
      </x:c>
      <x:c r="M40" s="342" t="n">
        <x:f>2.5</x:f>
        <x:v>2.5</x:v>
      </x:c>
      <x:c r="N40" s="288" t="str">
        <x:v>Conditional coverage wheel</x:v>
      </x:c>
    </x:row>
    <x:row r="41">
      <x:c r="A41" s="295" t="n">
        <x:v>37</x:v>
      </x:c>
      <x:c r="B41" s="296" t="n">
        <x:v>21</x:v>
      </x:c>
      <x:c r="C41" s="296" t="n">
        <x:v>25</x:v>
      </x:c>
      <x:c r="D41" s="296" t="n">
        <x:v>36</x:v>
      </x:c>
      <x:c r="E41" s="296" t="n">
        <x:v>48</x:v>
      </x:c>
      <x:c r="F41" s="296" t="n">
        <x:v>50</x:v>
      </x:c>
      <x:c r="G41" s="296" t="n">
        <x:v>3</x:v>
      </x:c>
      <x:c r="H41" s="296" t="n">
        <x:v>5</x:v>
      </x:c>
      <x:c r="I41" s="296" t="n">
        <x:f>SUM(B41:F41)</x:f>
        <x:v>180</x:v>
      </x:c>
      <x:c r="J41" s="296" t="n">
        <x:f>MOD(B41,2)+MOD(C41,2)+MOD(D41,2)+MOD(E41,2)+MOD(F41,2)</x:f>
        <x:v>2</x:v>
      </x:c>
      <x:c r="K41" s="296" t="n">
        <x:f>COUNTIF(B41:F41,"&gt;31")</x:f>
        <x:v>3</x:v>
      </x:c>
      <x:c r="L41" s="336" t="n">
        <x:f>1/'Executive Summary'!$B$24</x:f>
        <x:v>7.1511238420185165e-9</x:v>
      </x:c>
      <x:c r="M41" s="342" t="n">
        <x:f>2.5</x:f>
        <x:v>2.5</x:v>
      </x:c>
      <x:c r="N41" s="288" t="str">
        <x:v>Conditional coverage wheel</x:v>
      </x:c>
    </x:row>
    <x:row r="42">
      <x:c r="A42" s="295" t="n">
        <x:v>38</x:v>
      </x:c>
      <x:c r="B42" s="296" t="n">
        <x:v>21</x:v>
      </x:c>
      <x:c r="C42" s="296" t="n">
        <x:v>25</x:v>
      </x:c>
      <x:c r="D42" s="296" t="n">
        <x:v>36</x:v>
      </x:c>
      <x:c r="E42" s="296" t="n">
        <x:v>48</x:v>
      </x:c>
      <x:c r="F42" s="296" t="n">
        <x:v>50</x:v>
      </x:c>
      <x:c r="G42" s="296" t="n">
        <x:v>3</x:v>
      </x:c>
      <x:c r="H42" s="296" t="n">
        <x:v>7</x:v>
      </x:c>
      <x:c r="I42" s="296" t="n">
        <x:f>SUM(B42:F42)</x:f>
        <x:v>180</x:v>
      </x:c>
      <x:c r="J42" s="296" t="n">
        <x:f>MOD(B42,2)+MOD(C42,2)+MOD(D42,2)+MOD(E42,2)+MOD(F42,2)</x:f>
        <x:v>2</x:v>
      </x:c>
      <x:c r="K42" s="296" t="n">
        <x:f>COUNTIF(B42:F42,"&gt;31")</x:f>
        <x:v>3</x:v>
      </x:c>
      <x:c r="L42" s="336" t="n">
        <x:f>1/'Executive Summary'!$B$24</x:f>
        <x:v>7.1511238420185165e-9</x:v>
      </x:c>
      <x:c r="M42" s="342" t="n">
        <x:f>2.5</x:f>
        <x:v>2.5</x:v>
      </x:c>
      <x:c r="N42" s="288" t="str">
        <x:v>Conditional coverage wheel</x:v>
      </x:c>
    </x:row>
    <x:row r="43">
      <x:c r="A43" s="295" t="n">
        <x:v>39</x:v>
      </x:c>
      <x:c r="B43" s="296" t="n">
        <x:v>21</x:v>
      </x:c>
      <x:c r="C43" s="296" t="n">
        <x:v>25</x:v>
      </x:c>
      <x:c r="D43" s="296" t="n">
        <x:v>36</x:v>
      </x:c>
      <x:c r="E43" s="296" t="n">
        <x:v>48</x:v>
      </x:c>
      <x:c r="F43" s="296" t="n">
        <x:v>50</x:v>
      </x:c>
      <x:c r="G43" s="296" t="n">
        <x:v>3</x:v>
      </x:c>
      <x:c r="H43" s="296" t="n">
        <x:v>9</x:v>
      </x:c>
      <x:c r="I43" s="296" t="n">
        <x:f>SUM(B43:F43)</x:f>
        <x:v>180</x:v>
      </x:c>
      <x:c r="J43" s="296" t="n">
        <x:f>MOD(B43,2)+MOD(C43,2)+MOD(D43,2)+MOD(E43,2)+MOD(F43,2)</x:f>
        <x:v>2</x:v>
      </x:c>
      <x:c r="K43" s="296" t="n">
        <x:f>COUNTIF(B43:F43,"&gt;31")</x:f>
        <x:v>3</x:v>
      </x:c>
      <x:c r="L43" s="336" t="n">
        <x:f>1/'Executive Summary'!$B$24</x:f>
        <x:v>7.1511238420185165e-9</x:v>
      </x:c>
      <x:c r="M43" s="342" t="n">
        <x:f>2.5</x:f>
        <x:v>2.5</x:v>
      </x:c>
      <x:c r="N43" s="288" t="str">
        <x:v>Conditional coverage wheel</x:v>
      </x:c>
    </x:row>
    <x:row r="44">
      <x:c r="A44" s="295" t="n">
        <x:v>40</x:v>
      </x:c>
      <x:c r="B44" s="296" t="n">
        <x:v>21</x:v>
      </x:c>
      <x:c r="C44" s="296" t="n">
        <x:v>25</x:v>
      </x:c>
      <x:c r="D44" s="296" t="n">
        <x:v>36</x:v>
      </x:c>
      <x:c r="E44" s="296" t="n">
        <x:v>48</x:v>
      </x:c>
      <x:c r="F44" s="296" t="n">
        <x:v>50</x:v>
      </x:c>
      <x:c r="G44" s="296" t="n">
        <x:v>5</x:v>
      </x:c>
      <x:c r="H44" s="296" t="n">
        <x:v>7</x:v>
      </x:c>
      <x:c r="I44" s="296" t="n">
        <x:f>SUM(B44:F44)</x:f>
        <x:v>180</x:v>
      </x:c>
      <x:c r="J44" s="296" t="n">
        <x:f>MOD(B44,2)+MOD(C44,2)+MOD(D44,2)+MOD(E44,2)+MOD(F44,2)</x:f>
        <x:v>2</x:v>
      </x:c>
      <x:c r="K44" s="296" t="n">
        <x:f>COUNTIF(B44:F44,"&gt;31")</x:f>
        <x:v>3</x:v>
      </x:c>
      <x:c r="L44" s="336" t="n">
        <x:f>1/'Executive Summary'!$B$24</x:f>
        <x:v>7.1511238420185165e-9</x:v>
      </x:c>
      <x:c r="M44" s="342" t="n">
        <x:f>2.5</x:f>
        <x:v>2.5</x:v>
      </x:c>
      <x:c r="N44" s="288" t="str">
        <x:v>Conditional coverage wheel</x:v>
      </x:c>
    </x:row>
    <x:row r="45">
      <x:c r="A45" s="295" t="n">
        <x:v>41</x:v>
      </x:c>
      <x:c r="B45" s="296" t="n">
        <x:v>21</x:v>
      </x:c>
      <x:c r="C45" s="296" t="n">
        <x:v>25</x:v>
      </x:c>
      <x:c r="D45" s="296" t="n">
        <x:v>36</x:v>
      </x:c>
      <x:c r="E45" s="296" t="n">
        <x:v>48</x:v>
      </x:c>
      <x:c r="F45" s="296" t="n">
        <x:v>50</x:v>
      </x:c>
      <x:c r="G45" s="296" t="n">
        <x:v>5</x:v>
      </x:c>
      <x:c r="H45" s="296" t="n">
        <x:v>9</x:v>
      </x:c>
      <x:c r="I45" s="296" t="n">
        <x:f>SUM(B45:F45)</x:f>
        <x:v>180</x:v>
      </x:c>
      <x:c r="J45" s="296" t="n">
        <x:f>MOD(B45,2)+MOD(C45,2)+MOD(D45,2)+MOD(E45,2)+MOD(F45,2)</x:f>
        <x:v>2</x:v>
      </x:c>
      <x:c r="K45" s="296" t="n">
        <x:f>COUNTIF(B45:F45,"&gt;31")</x:f>
        <x:v>3</x:v>
      </x:c>
      <x:c r="L45" s="336" t="n">
        <x:f>1/'Executive Summary'!$B$24</x:f>
        <x:v>7.1511238420185165e-9</x:v>
      </x:c>
      <x:c r="M45" s="342" t="n">
        <x:f>2.5</x:f>
        <x:v>2.5</x:v>
      </x:c>
      <x:c r="N45" s="288" t="str">
        <x:v>Conditional coverage wheel</x:v>
      </x:c>
    </x:row>
    <x:row r="46">
      <x:c r="A46" s="295" t="n">
        <x:v>42</x:v>
      </x:c>
      <x:c r="B46" s="296" t="n">
        <x:v>21</x:v>
      </x:c>
      <x:c r="C46" s="296" t="n">
        <x:v>25</x:v>
      </x:c>
      <x:c r="D46" s="296" t="n">
        <x:v>36</x:v>
      </x:c>
      <x:c r="E46" s="296" t="n">
        <x:v>48</x:v>
      </x:c>
      <x:c r="F46" s="296" t="n">
        <x:v>50</x:v>
      </x:c>
      <x:c r="G46" s="296" t="n">
        <x:v>7</x:v>
      </x:c>
      <x:c r="H46" s="296" t="n">
        <x:v>9</x:v>
      </x:c>
      <x:c r="I46" s="296" t="n">
        <x:f>SUM(B46:F46)</x:f>
        <x:v>180</x:v>
      </x:c>
      <x:c r="J46" s="296" t="n">
        <x:f>MOD(B46,2)+MOD(C46,2)+MOD(D46,2)+MOD(E46,2)+MOD(F46,2)</x:f>
        <x:v>2</x:v>
      </x:c>
      <x:c r="K46" s="296" t="n">
        <x:f>COUNTIF(B46:F46,"&gt;31")</x:f>
        <x:v>3</x:v>
      </x:c>
      <x:c r="L46" s="336" t="n">
        <x:f>1/'Executive Summary'!$B$24</x:f>
        <x:v>7.1511238420185165e-9</x:v>
      </x:c>
      <x:c r="M46" s="342" t="n">
        <x:f>2.5</x:f>
        <x:v>2.5</x:v>
      </x:c>
      <x:c r="N46" s="288" t="str">
        <x:v>Conditional coverage wheel</x:v>
      </x:c>
    </x:row>
    <x:row r="47">
      <x:c r="A47" s="295" t="n">
        <x:v>43</x:v>
      </x:c>
      <x:c r="B47" s="296" t="n">
        <x:v>21</x:v>
      </x:c>
      <x:c r="C47" s="296" t="n">
        <x:v>27</x:v>
      </x:c>
      <x:c r="D47" s="296" t="n">
        <x:v>37</x:v>
      </x:c>
      <x:c r="E47" s="296" t="n">
        <x:v>42</x:v>
      </x:c>
      <x:c r="F47" s="296" t="n">
        <x:v>50</x:v>
      </x:c>
      <x:c r="G47" s="296" t="n">
        <x:v>3</x:v>
      </x:c>
      <x:c r="H47" s="296" t="n">
        <x:v>5</x:v>
      </x:c>
      <x:c r="I47" s="296" t="n">
        <x:f>SUM(B47:F47)</x:f>
        <x:v>177</x:v>
      </x:c>
      <x:c r="J47" s="296" t="n">
        <x:f>MOD(B47,2)+MOD(C47,2)+MOD(D47,2)+MOD(E47,2)+MOD(F47,2)</x:f>
        <x:v>3</x:v>
      </x:c>
      <x:c r="K47" s="296" t="n">
        <x:f>COUNTIF(B47:F47,"&gt;31")</x:f>
        <x:v>3</x:v>
      </x:c>
      <x:c r="L47" s="336" t="n">
        <x:f>1/'Executive Summary'!$B$24</x:f>
        <x:v>7.1511238420185165e-9</x:v>
      </x:c>
      <x:c r="M47" s="342" t="n">
        <x:f>2.5</x:f>
        <x:v>2.5</x:v>
      </x:c>
      <x:c r="N47" s="288" t="str">
        <x:v>Conditional coverage wheel</x:v>
      </x:c>
    </x:row>
    <x:row r="48">
      <x:c r="A48" s="295" t="n">
        <x:v>44</x:v>
      </x:c>
      <x:c r="B48" s="296" t="n">
        <x:v>21</x:v>
      </x:c>
      <x:c r="C48" s="296" t="n">
        <x:v>27</x:v>
      </x:c>
      <x:c r="D48" s="296" t="n">
        <x:v>37</x:v>
      </x:c>
      <x:c r="E48" s="296" t="n">
        <x:v>42</x:v>
      </x:c>
      <x:c r="F48" s="296" t="n">
        <x:v>50</x:v>
      </x:c>
      <x:c r="G48" s="296" t="n">
        <x:v>3</x:v>
      </x:c>
      <x:c r="H48" s="296" t="n">
        <x:v>7</x:v>
      </x:c>
      <x:c r="I48" s="296" t="n">
        <x:f>SUM(B48:F48)</x:f>
        <x:v>177</x:v>
      </x:c>
      <x:c r="J48" s="296" t="n">
        <x:f>MOD(B48,2)+MOD(C48,2)+MOD(D48,2)+MOD(E48,2)+MOD(F48,2)</x:f>
        <x:v>3</x:v>
      </x:c>
      <x:c r="K48" s="296" t="n">
        <x:f>COUNTIF(B48:F48,"&gt;31")</x:f>
        <x:v>3</x:v>
      </x:c>
      <x:c r="L48" s="336" t="n">
        <x:f>1/'Executive Summary'!$B$24</x:f>
        <x:v>7.1511238420185165e-9</x:v>
      </x:c>
      <x:c r="M48" s="342" t="n">
        <x:f>2.5</x:f>
        <x:v>2.5</x:v>
      </x:c>
      <x:c r="N48" s="288" t="str">
        <x:v>Conditional coverage wheel</x:v>
      </x:c>
    </x:row>
    <x:row r="49">
      <x:c r="A49" s="295" t="n">
        <x:v>45</x:v>
      </x:c>
      <x:c r="B49" s="296" t="n">
        <x:v>21</x:v>
      </x:c>
      <x:c r="C49" s="296" t="n">
        <x:v>27</x:v>
      </x:c>
      <x:c r="D49" s="296" t="n">
        <x:v>37</x:v>
      </x:c>
      <x:c r="E49" s="296" t="n">
        <x:v>42</x:v>
      </x:c>
      <x:c r="F49" s="296" t="n">
        <x:v>50</x:v>
      </x:c>
      <x:c r="G49" s="296" t="n">
        <x:v>3</x:v>
      </x:c>
      <x:c r="H49" s="296" t="n">
        <x:v>9</x:v>
      </x:c>
      <x:c r="I49" s="296" t="n">
        <x:f>SUM(B49:F49)</x:f>
        <x:v>177</x:v>
      </x:c>
      <x:c r="J49" s="296" t="n">
        <x:f>MOD(B49,2)+MOD(C49,2)+MOD(D49,2)+MOD(E49,2)+MOD(F49,2)</x:f>
        <x:v>3</x:v>
      </x:c>
      <x:c r="K49" s="296" t="n">
        <x:f>COUNTIF(B49:F49,"&gt;31")</x:f>
        <x:v>3</x:v>
      </x:c>
      <x:c r="L49" s="336" t="n">
        <x:f>1/'Executive Summary'!$B$24</x:f>
        <x:v>7.1511238420185165e-9</x:v>
      </x:c>
      <x:c r="M49" s="342" t="n">
        <x:f>2.5</x:f>
        <x:v>2.5</x:v>
      </x:c>
      <x:c r="N49" s="288" t="str">
        <x:v>Conditional coverage wheel</x:v>
      </x:c>
    </x:row>
    <x:row r="50">
      <x:c r="A50" s="295" t="n">
        <x:v>46</x:v>
      </x:c>
      <x:c r="B50" s="296" t="n">
        <x:v>21</x:v>
      </x:c>
      <x:c r="C50" s="296" t="n">
        <x:v>27</x:v>
      </x:c>
      <x:c r="D50" s="296" t="n">
        <x:v>37</x:v>
      </x:c>
      <x:c r="E50" s="296" t="n">
        <x:v>42</x:v>
      </x:c>
      <x:c r="F50" s="296" t="n">
        <x:v>50</x:v>
      </x:c>
      <x:c r="G50" s="296" t="n">
        <x:v>5</x:v>
      </x:c>
      <x:c r="H50" s="296" t="n">
        <x:v>7</x:v>
      </x:c>
      <x:c r="I50" s="296" t="n">
        <x:f>SUM(B50:F50)</x:f>
        <x:v>177</x:v>
      </x:c>
      <x:c r="J50" s="296" t="n">
        <x:f>MOD(B50,2)+MOD(C50,2)+MOD(D50,2)+MOD(E50,2)+MOD(F50,2)</x:f>
        <x:v>3</x:v>
      </x:c>
      <x:c r="K50" s="296" t="n">
        <x:f>COUNTIF(B50:F50,"&gt;31")</x:f>
        <x:v>3</x:v>
      </x:c>
      <x:c r="L50" s="336" t="n">
        <x:f>1/'Executive Summary'!$B$24</x:f>
        <x:v>7.1511238420185165e-9</x:v>
      </x:c>
      <x:c r="M50" s="342" t="n">
        <x:f>2.5</x:f>
        <x:v>2.5</x:v>
      </x:c>
      <x:c r="N50" s="288" t="str">
        <x:v>Conditional coverage wheel</x:v>
      </x:c>
    </x:row>
    <x:row r="51">
      <x:c r="A51" s="295" t="n">
        <x:v>47</x:v>
      </x:c>
      <x:c r="B51" s="296" t="n">
        <x:v>21</x:v>
      </x:c>
      <x:c r="C51" s="296" t="n">
        <x:v>27</x:v>
      </x:c>
      <x:c r="D51" s="296" t="n">
        <x:v>37</x:v>
      </x:c>
      <x:c r="E51" s="296" t="n">
        <x:v>42</x:v>
      </x:c>
      <x:c r="F51" s="296" t="n">
        <x:v>50</x:v>
      </x:c>
      <x:c r="G51" s="296" t="n">
        <x:v>5</x:v>
      </x:c>
      <x:c r="H51" s="296" t="n">
        <x:v>9</x:v>
      </x:c>
      <x:c r="I51" s="296" t="n">
        <x:f>SUM(B51:F51)</x:f>
        <x:v>177</x:v>
      </x:c>
      <x:c r="J51" s="296" t="n">
        <x:f>MOD(B51,2)+MOD(C51,2)+MOD(D51,2)+MOD(E51,2)+MOD(F51,2)</x:f>
        <x:v>3</x:v>
      </x:c>
      <x:c r="K51" s="296" t="n">
        <x:f>COUNTIF(B51:F51,"&gt;31")</x:f>
        <x:v>3</x:v>
      </x:c>
      <x:c r="L51" s="336" t="n">
        <x:f>1/'Executive Summary'!$B$24</x:f>
        <x:v>7.1511238420185165e-9</x:v>
      </x:c>
      <x:c r="M51" s="342" t="n">
        <x:f>2.5</x:f>
        <x:v>2.5</x:v>
      </x:c>
      <x:c r="N51" s="288" t="str">
        <x:v>Conditional coverage wheel</x:v>
      </x:c>
    </x:row>
    <x:row r="52">
      <x:c r="A52" s="295" t="n">
        <x:v>48</x:v>
      </x:c>
      <x:c r="B52" s="296" t="n">
        <x:v>21</x:v>
      </x:c>
      <x:c r="C52" s="296" t="n">
        <x:v>27</x:v>
      </x:c>
      <x:c r="D52" s="296" t="n">
        <x:v>37</x:v>
      </x:c>
      <x:c r="E52" s="296" t="n">
        <x:v>42</x:v>
      </x:c>
      <x:c r="F52" s="296" t="n">
        <x:v>50</x:v>
      </x:c>
      <x:c r="G52" s="296" t="n">
        <x:v>7</x:v>
      </x:c>
      <x:c r="H52" s="296" t="n">
        <x:v>9</x:v>
      </x:c>
      <x:c r="I52" s="296" t="n">
        <x:f>SUM(B52:F52)</x:f>
        <x:v>177</x:v>
      </x:c>
      <x:c r="J52" s="296" t="n">
        <x:f>MOD(B52,2)+MOD(C52,2)+MOD(D52,2)+MOD(E52,2)+MOD(F52,2)</x:f>
        <x:v>3</x:v>
      </x:c>
      <x:c r="K52" s="296" t="n">
        <x:f>COUNTIF(B52:F52,"&gt;31")</x:f>
        <x:v>3</x:v>
      </x:c>
      <x:c r="L52" s="336" t="n">
        <x:f>1/'Executive Summary'!$B$24</x:f>
        <x:v>7.1511238420185165e-9</x:v>
      </x:c>
      <x:c r="M52" s="342" t="n">
        <x:f>2.5</x:f>
        <x:v>2.5</x:v>
      </x:c>
      <x:c r="N52" s="288" t="str">
        <x:v>Conditional coverage wheel</x:v>
      </x:c>
    </x:row>
    <x:row r="53">
      <x:c r="A53" s="295" t="n">
        <x:v>49</x:v>
      </x:c>
      <x:c r="B53" s="296" t="n">
        <x:v>21</x:v>
      </x:c>
      <x:c r="C53" s="296" t="n">
        <x:v>28</x:v>
      </x:c>
      <x:c r="D53" s="296" t="n">
        <x:v>35</x:v>
      </x:c>
      <x:c r="E53" s="296" t="n">
        <x:v>44</x:v>
      </x:c>
      <x:c r="F53" s="296" t="n">
        <x:v>50</x:v>
      </x:c>
      <x:c r="G53" s="296" t="n">
        <x:v>3</x:v>
      </x:c>
      <x:c r="H53" s="296" t="n">
        <x:v>5</x:v>
      </x:c>
      <x:c r="I53" s="296" t="n">
        <x:f>SUM(B53:F53)</x:f>
        <x:v>178</x:v>
      </x:c>
      <x:c r="J53" s="296" t="n">
        <x:f>MOD(B53,2)+MOD(C53,2)+MOD(D53,2)+MOD(E53,2)+MOD(F53,2)</x:f>
        <x:v>2</x:v>
      </x:c>
      <x:c r="K53" s="296" t="n">
        <x:f>COUNTIF(B53:F53,"&gt;31")</x:f>
        <x:v>3</x:v>
      </x:c>
      <x:c r="L53" s="336" t="n">
        <x:f>1/'Executive Summary'!$B$24</x:f>
        <x:v>7.1511238420185165e-9</x:v>
      </x:c>
      <x:c r="M53" s="342" t="n">
        <x:f>2.5</x:f>
        <x:v>2.5</x:v>
      </x:c>
      <x:c r="N53" s="288" t="str">
        <x:v>Conditional coverage wheel</x:v>
      </x:c>
    </x:row>
    <x:row r="54">
      <x:c r="A54" s="295" t="n">
        <x:v>50</x:v>
      </x:c>
      <x:c r="B54" s="296" t="n">
        <x:v>21</x:v>
      </x:c>
      <x:c r="C54" s="296" t="n">
        <x:v>28</x:v>
      </x:c>
      <x:c r="D54" s="296" t="n">
        <x:v>35</x:v>
      </x:c>
      <x:c r="E54" s="296" t="n">
        <x:v>44</x:v>
      </x:c>
      <x:c r="F54" s="296" t="n">
        <x:v>50</x:v>
      </x:c>
      <x:c r="G54" s="296" t="n">
        <x:v>3</x:v>
      </x:c>
      <x:c r="H54" s="296" t="n">
        <x:v>7</x:v>
      </x:c>
      <x:c r="I54" s="296" t="n">
        <x:f>SUM(B54:F54)</x:f>
        <x:v>178</x:v>
      </x:c>
      <x:c r="J54" s="296" t="n">
        <x:f>MOD(B54,2)+MOD(C54,2)+MOD(D54,2)+MOD(E54,2)+MOD(F54,2)</x:f>
        <x:v>2</x:v>
      </x:c>
      <x:c r="K54" s="296" t="n">
        <x:f>COUNTIF(B54:F54,"&gt;31")</x:f>
        <x:v>3</x:v>
      </x:c>
      <x:c r="L54" s="336" t="n">
        <x:f>1/'Executive Summary'!$B$24</x:f>
        <x:v>7.1511238420185165e-9</x:v>
      </x:c>
      <x:c r="M54" s="342" t="n">
        <x:f>2.5</x:f>
        <x:v>2.5</x:v>
      </x:c>
      <x:c r="N54" s="288" t="str">
        <x:v>Conditional coverage wheel</x:v>
      </x:c>
    </x:row>
    <x:row r="55">
      <x:c r="A55" s="295" t="n">
        <x:v>51</x:v>
      </x:c>
      <x:c r="B55" s="296" t="n">
        <x:v>21</x:v>
      </x:c>
      <x:c r="C55" s="296" t="n">
        <x:v>28</x:v>
      </x:c>
      <x:c r="D55" s="296" t="n">
        <x:v>35</x:v>
      </x:c>
      <x:c r="E55" s="296" t="n">
        <x:v>44</x:v>
      </x:c>
      <x:c r="F55" s="296" t="n">
        <x:v>50</x:v>
      </x:c>
      <x:c r="G55" s="296" t="n">
        <x:v>3</x:v>
      </x:c>
      <x:c r="H55" s="296" t="n">
        <x:v>9</x:v>
      </x:c>
      <x:c r="I55" s="296" t="n">
        <x:f>SUM(B55:F55)</x:f>
        <x:v>178</x:v>
      </x:c>
      <x:c r="J55" s="296" t="n">
        <x:f>MOD(B55,2)+MOD(C55,2)+MOD(D55,2)+MOD(E55,2)+MOD(F55,2)</x:f>
        <x:v>2</x:v>
      </x:c>
      <x:c r="K55" s="296" t="n">
        <x:f>COUNTIF(B55:F55,"&gt;31")</x:f>
        <x:v>3</x:v>
      </x:c>
      <x:c r="L55" s="336" t="n">
        <x:f>1/'Executive Summary'!$B$24</x:f>
        <x:v>7.1511238420185165e-9</x:v>
      </x:c>
      <x:c r="M55" s="342" t="n">
        <x:f>2.5</x:f>
        <x:v>2.5</x:v>
      </x:c>
      <x:c r="N55" s="288" t="str">
        <x:v>Conditional coverage wheel</x:v>
      </x:c>
    </x:row>
    <x:row r="56">
      <x:c r="A56" s="295" t="n">
        <x:v>52</x:v>
      </x:c>
      <x:c r="B56" s="296" t="n">
        <x:v>21</x:v>
      </x:c>
      <x:c r="C56" s="296" t="n">
        <x:v>28</x:v>
      </x:c>
      <x:c r="D56" s="296" t="n">
        <x:v>35</x:v>
      </x:c>
      <x:c r="E56" s="296" t="n">
        <x:v>44</x:v>
      </x:c>
      <x:c r="F56" s="296" t="n">
        <x:v>50</x:v>
      </x:c>
      <x:c r="G56" s="296" t="n">
        <x:v>5</x:v>
      </x:c>
      <x:c r="H56" s="296" t="n">
        <x:v>7</x:v>
      </x:c>
      <x:c r="I56" s="296" t="n">
        <x:f>SUM(B56:F56)</x:f>
        <x:v>178</x:v>
      </x:c>
      <x:c r="J56" s="296" t="n">
        <x:f>MOD(B56,2)+MOD(C56,2)+MOD(D56,2)+MOD(E56,2)+MOD(F56,2)</x:f>
        <x:v>2</x:v>
      </x:c>
      <x:c r="K56" s="296" t="n">
        <x:f>COUNTIF(B56:F56,"&gt;31")</x:f>
        <x:v>3</x:v>
      </x:c>
      <x:c r="L56" s="336" t="n">
        <x:f>1/'Executive Summary'!$B$24</x:f>
        <x:v>7.1511238420185165e-9</x:v>
      </x:c>
      <x:c r="M56" s="342" t="n">
        <x:f>2.5</x:f>
        <x:v>2.5</x:v>
      </x:c>
      <x:c r="N56" s="288" t="str">
        <x:v>Conditional coverage wheel</x:v>
      </x:c>
    </x:row>
    <x:row r="57">
      <x:c r="A57" s="295" t="n">
        <x:v>53</x:v>
      </x:c>
      <x:c r="B57" s="296" t="n">
        <x:v>21</x:v>
      </x:c>
      <x:c r="C57" s="296" t="n">
        <x:v>28</x:v>
      </x:c>
      <x:c r="D57" s="296" t="n">
        <x:v>35</x:v>
      </x:c>
      <x:c r="E57" s="296" t="n">
        <x:v>44</x:v>
      </x:c>
      <x:c r="F57" s="296" t="n">
        <x:v>50</x:v>
      </x:c>
      <x:c r="G57" s="296" t="n">
        <x:v>5</x:v>
      </x:c>
      <x:c r="H57" s="296" t="n">
        <x:v>9</x:v>
      </x:c>
      <x:c r="I57" s="296" t="n">
        <x:f>SUM(B57:F57)</x:f>
        <x:v>178</x:v>
      </x:c>
      <x:c r="J57" s="296" t="n">
        <x:f>MOD(B57,2)+MOD(C57,2)+MOD(D57,2)+MOD(E57,2)+MOD(F57,2)</x:f>
        <x:v>2</x:v>
      </x:c>
      <x:c r="K57" s="296" t="n">
        <x:f>COUNTIF(B57:F57,"&gt;31")</x:f>
        <x:v>3</x:v>
      </x:c>
      <x:c r="L57" s="336" t="n">
        <x:f>1/'Executive Summary'!$B$24</x:f>
        <x:v>7.1511238420185165e-9</x:v>
      </x:c>
      <x:c r="M57" s="342" t="n">
        <x:f>2.5</x:f>
        <x:v>2.5</x:v>
      </x:c>
      <x:c r="N57" s="288" t="str">
        <x:v>Conditional coverage wheel</x:v>
      </x:c>
    </x:row>
    <x:row r="58">
      <x:c r="A58" s="295" t="n">
        <x:v>54</x:v>
      </x:c>
      <x:c r="B58" s="296" t="n">
        <x:v>21</x:v>
      </x:c>
      <x:c r="C58" s="296" t="n">
        <x:v>28</x:v>
      </x:c>
      <x:c r="D58" s="296" t="n">
        <x:v>35</x:v>
      </x:c>
      <x:c r="E58" s="296" t="n">
        <x:v>44</x:v>
      </x:c>
      <x:c r="F58" s="296" t="n">
        <x:v>50</x:v>
      </x:c>
      <x:c r="G58" s="296" t="n">
        <x:v>7</x:v>
      </x:c>
      <x:c r="H58" s="296" t="n">
        <x:v>9</x:v>
      </x:c>
      <x:c r="I58" s="296" t="n">
        <x:f>SUM(B58:F58)</x:f>
        <x:v>178</x:v>
      </x:c>
      <x:c r="J58" s="296" t="n">
        <x:f>MOD(B58,2)+MOD(C58,2)+MOD(D58,2)+MOD(E58,2)+MOD(F58,2)</x:f>
        <x:v>2</x:v>
      </x:c>
      <x:c r="K58" s="296" t="n">
        <x:f>COUNTIF(B58:F58,"&gt;31")</x:f>
        <x:v>3</x:v>
      </x:c>
      <x:c r="L58" s="336" t="n">
        <x:f>1/'Executive Summary'!$B$24</x:f>
        <x:v>7.1511238420185165e-9</x:v>
      </x:c>
      <x:c r="M58" s="342" t="n">
        <x:f>2.5</x:f>
        <x:v>2.5</x:v>
      </x:c>
      <x:c r="N58" s="288" t="str">
        <x:v>Conditional coverage wheel</x:v>
      </x:c>
    </x:row>
    <x:row r="59">
      <x:c r="A59" s="295" t="n">
        <x:v>55</x:v>
      </x:c>
      <x:c r="B59" s="296" t="n">
        <x:v>25</x:v>
      </x:c>
      <x:c r="C59" s="296" t="n">
        <x:v>27</x:v>
      </x:c>
      <x:c r="D59" s="296" t="n">
        <x:v>35</x:v>
      </x:c>
      <x:c r="E59" s="296" t="n">
        <x:v>37</x:v>
      </x:c>
      <x:c r="F59" s="296" t="n">
        <x:v>44</x:v>
      </x:c>
      <x:c r="G59" s="296" t="n">
        <x:v>3</x:v>
      </x:c>
      <x:c r="H59" s="296" t="n">
        <x:v>5</x:v>
      </x:c>
      <x:c r="I59" s="296" t="n">
        <x:f>SUM(B59:F59)</x:f>
        <x:v>168</x:v>
      </x:c>
      <x:c r="J59" s="296" t="n">
        <x:f>MOD(B59,2)+MOD(C59,2)+MOD(D59,2)+MOD(E59,2)+MOD(F59,2)</x:f>
        <x:v>4</x:v>
      </x:c>
      <x:c r="K59" s="296" t="n">
        <x:f>COUNTIF(B59:F59,"&gt;31")</x:f>
        <x:v>3</x:v>
      </x:c>
      <x:c r="L59" s="336" t="n">
        <x:f>1/'Executive Summary'!$B$24</x:f>
        <x:v>7.1511238420185165e-9</x:v>
      </x:c>
      <x:c r="M59" s="342" t="n">
        <x:f>2.5</x:f>
        <x:v>2.5</x:v>
      </x:c>
      <x:c r="N59" s="288" t="str">
        <x:v>Conditional coverage wheel</x:v>
      </x:c>
    </x:row>
    <x:row r="60">
      <x:c r="A60" s="295" t="n">
        <x:v>56</x:v>
      </x:c>
      <x:c r="B60" s="296" t="n">
        <x:v>25</x:v>
      </x:c>
      <x:c r="C60" s="296" t="n">
        <x:v>27</x:v>
      </x:c>
      <x:c r="D60" s="296" t="n">
        <x:v>35</x:v>
      </x:c>
      <x:c r="E60" s="296" t="n">
        <x:v>37</x:v>
      </x:c>
      <x:c r="F60" s="296" t="n">
        <x:v>44</x:v>
      </x:c>
      <x:c r="G60" s="296" t="n">
        <x:v>3</x:v>
      </x:c>
      <x:c r="H60" s="296" t="n">
        <x:v>7</x:v>
      </x:c>
      <x:c r="I60" s="296" t="n">
        <x:f>SUM(B60:F60)</x:f>
        <x:v>168</x:v>
      </x:c>
      <x:c r="J60" s="296" t="n">
        <x:f>MOD(B60,2)+MOD(C60,2)+MOD(D60,2)+MOD(E60,2)+MOD(F60,2)</x:f>
        <x:v>4</x:v>
      </x:c>
      <x:c r="K60" s="296" t="n">
        <x:f>COUNTIF(B60:F60,"&gt;31")</x:f>
        <x:v>3</x:v>
      </x:c>
      <x:c r="L60" s="336" t="n">
        <x:f>1/'Executive Summary'!$B$24</x:f>
        <x:v>7.1511238420185165e-9</x:v>
      </x:c>
      <x:c r="M60" s="342" t="n">
        <x:f>2.5</x:f>
        <x:v>2.5</x:v>
      </x:c>
      <x:c r="N60" s="288" t="str">
        <x:v>Conditional coverage wheel</x:v>
      </x:c>
    </x:row>
    <x:row r="61">
      <x:c r="A61" s="295" t="n">
        <x:v>57</x:v>
      </x:c>
      <x:c r="B61" s="296" t="n">
        <x:v>25</x:v>
      </x:c>
      <x:c r="C61" s="296" t="n">
        <x:v>27</x:v>
      </x:c>
      <x:c r="D61" s="296" t="n">
        <x:v>35</x:v>
      </x:c>
      <x:c r="E61" s="296" t="n">
        <x:v>37</x:v>
      </x:c>
      <x:c r="F61" s="296" t="n">
        <x:v>44</x:v>
      </x:c>
      <x:c r="G61" s="296" t="n">
        <x:v>3</x:v>
      </x:c>
      <x:c r="H61" s="296" t="n">
        <x:v>9</x:v>
      </x:c>
      <x:c r="I61" s="296" t="n">
        <x:f>SUM(B61:F61)</x:f>
        <x:v>168</x:v>
      </x:c>
      <x:c r="J61" s="296" t="n">
        <x:f>MOD(B61,2)+MOD(C61,2)+MOD(D61,2)+MOD(E61,2)+MOD(F61,2)</x:f>
        <x:v>4</x:v>
      </x:c>
      <x:c r="K61" s="296" t="n">
        <x:f>COUNTIF(B61:F61,"&gt;31")</x:f>
        <x:v>3</x:v>
      </x:c>
      <x:c r="L61" s="336" t="n">
        <x:f>1/'Executive Summary'!$B$24</x:f>
        <x:v>7.1511238420185165e-9</x:v>
      </x:c>
      <x:c r="M61" s="342" t="n">
        <x:f>2.5</x:f>
        <x:v>2.5</x:v>
      </x:c>
      <x:c r="N61" s="288" t="str">
        <x:v>Conditional coverage wheel</x:v>
      </x:c>
    </x:row>
    <x:row r="62">
      <x:c r="A62" s="295" t="n">
        <x:v>58</x:v>
      </x:c>
      <x:c r="B62" s="296" t="n">
        <x:v>25</x:v>
      </x:c>
      <x:c r="C62" s="296" t="n">
        <x:v>27</x:v>
      </x:c>
      <x:c r="D62" s="296" t="n">
        <x:v>35</x:v>
      </x:c>
      <x:c r="E62" s="296" t="n">
        <x:v>37</x:v>
      </x:c>
      <x:c r="F62" s="296" t="n">
        <x:v>44</x:v>
      </x:c>
      <x:c r="G62" s="296" t="n">
        <x:v>5</x:v>
      </x:c>
      <x:c r="H62" s="296" t="n">
        <x:v>7</x:v>
      </x:c>
      <x:c r="I62" s="296" t="n">
        <x:f>SUM(B62:F62)</x:f>
        <x:v>168</x:v>
      </x:c>
      <x:c r="J62" s="296" t="n">
        <x:f>MOD(B62,2)+MOD(C62,2)+MOD(D62,2)+MOD(E62,2)+MOD(F62,2)</x:f>
        <x:v>4</x:v>
      </x:c>
      <x:c r="K62" s="296" t="n">
        <x:f>COUNTIF(B62:F62,"&gt;31")</x:f>
        <x:v>3</x:v>
      </x:c>
      <x:c r="L62" s="336" t="n">
        <x:f>1/'Executive Summary'!$B$24</x:f>
        <x:v>7.1511238420185165e-9</x:v>
      </x:c>
      <x:c r="M62" s="342" t="n">
        <x:f>2.5</x:f>
        <x:v>2.5</x:v>
      </x:c>
      <x:c r="N62" s="288" t="str">
        <x:v>Conditional coverage wheel</x:v>
      </x:c>
    </x:row>
    <x:row r="63">
      <x:c r="A63" s="295" t="n">
        <x:v>59</x:v>
      </x:c>
      <x:c r="B63" s="296" t="n">
        <x:v>25</x:v>
      </x:c>
      <x:c r="C63" s="296" t="n">
        <x:v>27</x:v>
      </x:c>
      <x:c r="D63" s="296" t="n">
        <x:v>35</x:v>
      </x:c>
      <x:c r="E63" s="296" t="n">
        <x:v>37</x:v>
      </x:c>
      <x:c r="F63" s="296" t="n">
        <x:v>44</x:v>
      </x:c>
      <x:c r="G63" s="296" t="n">
        <x:v>5</x:v>
      </x:c>
      <x:c r="H63" s="296" t="n">
        <x:v>9</x:v>
      </x:c>
      <x:c r="I63" s="296" t="n">
        <x:f>SUM(B63:F63)</x:f>
        <x:v>168</x:v>
      </x:c>
      <x:c r="J63" s="296" t="n">
        <x:f>MOD(B63,2)+MOD(C63,2)+MOD(D63,2)+MOD(E63,2)+MOD(F63,2)</x:f>
        <x:v>4</x:v>
      </x:c>
      <x:c r="K63" s="296" t="n">
        <x:f>COUNTIF(B63:F63,"&gt;31")</x:f>
        <x:v>3</x:v>
      </x:c>
      <x:c r="L63" s="336" t="n">
        <x:f>1/'Executive Summary'!$B$24</x:f>
        <x:v>7.1511238420185165e-9</x:v>
      </x:c>
      <x:c r="M63" s="342" t="n">
        <x:f>2.5</x:f>
        <x:v>2.5</x:v>
      </x:c>
      <x:c r="N63" s="288" t="str">
        <x:v>Conditional coverage wheel</x:v>
      </x:c>
    </x:row>
    <x:row r="64">
      <x:c r="A64" s="295" t="n">
        <x:v>60</x:v>
      </x:c>
      <x:c r="B64" s="296" t="n">
        <x:v>25</x:v>
      </x:c>
      <x:c r="C64" s="296" t="n">
        <x:v>27</x:v>
      </x:c>
      <x:c r="D64" s="296" t="n">
        <x:v>35</x:v>
      </x:c>
      <x:c r="E64" s="296" t="n">
        <x:v>37</x:v>
      </x:c>
      <x:c r="F64" s="296" t="n">
        <x:v>44</x:v>
      </x:c>
      <x:c r="G64" s="296" t="n">
        <x:v>7</x:v>
      </x:c>
      <x:c r="H64" s="296" t="n">
        <x:v>9</x:v>
      </x:c>
      <x:c r="I64" s="296" t="n">
        <x:f>SUM(B64:F64)</x:f>
        <x:v>168</x:v>
      </x:c>
      <x:c r="J64" s="296" t="n">
        <x:f>MOD(B64,2)+MOD(C64,2)+MOD(D64,2)+MOD(E64,2)+MOD(F64,2)</x:f>
        <x:v>4</x:v>
      </x:c>
      <x:c r="K64" s="296" t="n">
        <x:f>COUNTIF(B64:F64,"&gt;31")</x:f>
        <x:v>3</x:v>
      </x:c>
      <x:c r="L64" s="336" t="n">
        <x:f>1/'Executive Summary'!$B$24</x:f>
        <x:v>7.1511238420185165e-9</x:v>
      </x:c>
      <x:c r="M64" s="342" t="n">
        <x:f>2.5</x:f>
        <x:v>2.5</x:v>
      </x:c>
      <x:c r="N64" s="288" t="str">
        <x:v>Conditional coverage wheel</x:v>
      </x:c>
    </x:row>
    <x:row r="65">
      <x:c r="A65" s="295" t="n">
        <x:v>61</x:v>
      </x:c>
      <x:c r="B65" s="296" t="n">
        <x:v>25</x:v>
      </x:c>
      <x:c r="C65" s="296" t="n">
        <x:v>28</x:v>
      </x:c>
      <x:c r="D65" s="296" t="n">
        <x:v>36</x:v>
      </x:c>
      <x:c r="E65" s="296" t="n">
        <x:v>37</x:v>
      </x:c>
      <x:c r="F65" s="296" t="n">
        <x:v>42</x:v>
      </x:c>
      <x:c r="G65" s="296" t="n">
        <x:v>3</x:v>
      </x:c>
      <x:c r="H65" s="296" t="n">
        <x:v>5</x:v>
      </x:c>
      <x:c r="I65" s="296" t="n">
        <x:f>SUM(B65:F65)</x:f>
        <x:v>168</x:v>
      </x:c>
      <x:c r="J65" s="296" t="n">
        <x:f>MOD(B65,2)+MOD(C65,2)+MOD(D65,2)+MOD(E65,2)+MOD(F65,2)</x:f>
        <x:v>2</x:v>
      </x:c>
      <x:c r="K65" s="296" t="n">
        <x:f>COUNTIF(B65:F65,"&gt;31")</x:f>
        <x:v>3</x:v>
      </x:c>
      <x:c r="L65" s="336" t="n">
        <x:f>1/'Executive Summary'!$B$24</x:f>
        <x:v>7.1511238420185165e-9</x:v>
      </x:c>
      <x:c r="M65" s="342" t="n">
        <x:f>2.5</x:f>
        <x:v>2.5</x:v>
      </x:c>
      <x:c r="N65" s="288" t="str">
        <x:v>Conditional coverage wheel</x:v>
      </x:c>
    </x:row>
    <x:row r="66">
      <x:c r="A66" s="295" t="n">
        <x:v>62</x:v>
      </x:c>
      <x:c r="B66" s="296" t="n">
        <x:v>25</x:v>
      </x:c>
      <x:c r="C66" s="296" t="n">
        <x:v>28</x:v>
      </x:c>
      <x:c r="D66" s="296" t="n">
        <x:v>36</x:v>
      </x:c>
      <x:c r="E66" s="296" t="n">
        <x:v>37</x:v>
      </x:c>
      <x:c r="F66" s="296" t="n">
        <x:v>42</x:v>
      </x:c>
      <x:c r="G66" s="296" t="n">
        <x:v>3</x:v>
      </x:c>
      <x:c r="H66" s="296" t="n">
        <x:v>7</x:v>
      </x:c>
      <x:c r="I66" s="296" t="n">
        <x:f>SUM(B66:F66)</x:f>
        <x:v>168</x:v>
      </x:c>
      <x:c r="J66" s="296" t="n">
        <x:f>MOD(B66,2)+MOD(C66,2)+MOD(D66,2)+MOD(E66,2)+MOD(F66,2)</x:f>
        <x:v>2</x:v>
      </x:c>
      <x:c r="K66" s="296" t="n">
        <x:f>COUNTIF(B66:F66,"&gt;31")</x:f>
        <x:v>3</x:v>
      </x:c>
      <x:c r="L66" s="336" t="n">
        <x:f>1/'Executive Summary'!$B$24</x:f>
        <x:v>7.1511238420185165e-9</x:v>
      </x:c>
      <x:c r="M66" s="342" t="n">
        <x:f>2.5</x:f>
        <x:v>2.5</x:v>
      </x:c>
      <x:c r="N66" s="288" t="str">
        <x:v>Conditional coverage wheel</x:v>
      </x:c>
    </x:row>
    <x:row r="67">
      <x:c r="A67" s="295" t="n">
        <x:v>63</x:v>
      </x:c>
      <x:c r="B67" s="296" t="n">
        <x:v>25</x:v>
      </x:c>
      <x:c r="C67" s="296" t="n">
        <x:v>28</x:v>
      </x:c>
      <x:c r="D67" s="296" t="n">
        <x:v>36</x:v>
      </x:c>
      <x:c r="E67" s="296" t="n">
        <x:v>37</x:v>
      </x:c>
      <x:c r="F67" s="296" t="n">
        <x:v>42</x:v>
      </x:c>
      <x:c r="G67" s="296" t="n">
        <x:v>3</x:v>
      </x:c>
      <x:c r="H67" s="296" t="n">
        <x:v>9</x:v>
      </x:c>
      <x:c r="I67" s="296" t="n">
        <x:f>SUM(B67:F67)</x:f>
        <x:v>168</x:v>
      </x:c>
      <x:c r="J67" s="296" t="n">
        <x:f>MOD(B67,2)+MOD(C67,2)+MOD(D67,2)+MOD(E67,2)+MOD(F67,2)</x:f>
        <x:v>2</x:v>
      </x:c>
      <x:c r="K67" s="296" t="n">
        <x:f>COUNTIF(B67:F67,"&gt;31")</x:f>
        <x:v>3</x:v>
      </x:c>
      <x:c r="L67" s="336" t="n">
        <x:f>1/'Executive Summary'!$B$24</x:f>
        <x:v>7.1511238420185165e-9</x:v>
      </x:c>
      <x:c r="M67" s="342" t="n">
        <x:f>2.5</x:f>
        <x:v>2.5</x:v>
      </x:c>
      <x:c r="N67" s="288" t="str">
        <x:v>Conditional coverage wheel</x:v>
      </x:c>
    </x:row>
    <x:row r="68">
      <x:c r="A68" s="295" t="n">
        <x:v>64</x:v>
      </x:c>
      <x:c r="B68" s="296" t="n">
        <x:v>25</x:v>
      </x:c>
      <x:c r="C68" s="296" t="n">
        <x:v>28</x:v>
      </x:c>
      <x:c r="D68" s="296" t="n">
        <x:v>36</x:v>
      </x:c>
      <x:c r="E68" s="296" t="n">
        <x:v>37</x:v>
      </x:c>
      <x:c r="F68" s="296" t="n">
        <x:v>42</x:v>
      </x:c>
      <x:c r="G68" s="296" t="n">
        <x:v>5</x:v>
      </x:c>
      <x:c r="H68" s="296" t="n">
        <x:v>7</x:v>
      </x:c>
      <x:c r="I68" s="296" t="n">
        <x:f>SUM(B68:F68)</x:f>
        <x:v>168</x:v>
      </x:c>
      <x:c r="J68" s="296" t="n">
        <x:f>MOD(B68,2)+MOD(C68,2)+MOD(D68,2)+MOD(E68,2)+MOD(F68,2)</x:f>
        <x:v>2</x:v>
      </x:c>
      <x:c r="K68" s="296" t="n">
        <x:f>COUNTIF(B68:F68,"&gt;31")</x:f>
        <x:v>3</x:v>
      </x:c>
      <x:c r="L68" s="336" t="n">
        <x:f>1/'Executive Summary'!$B$24</x:f>
        <x:v>7.1511238420185165e-9</x:v>
      </x:c>
      <x:c r="M68" s="342" t="n">
        <x:f>2.5</x:f>
        <x:v>2.5</x:v>
      </x:c>
      <x:c r="N68" s="288" t="str">
        <x:v>Conditional coverage wheel</x:v>
      </x:c>
    </x:row>
    <x:row r="69">
      <x:c r="A69" s="295" t="n">
        <x:v>65</x:v>
      </x:c>
      <x:c r="B69" s="296" t="n">
        <x:v>25</x:v>
      </x:c>
      <x:c r="C69" s="296" t="n">
        <x:v>28</x:v>
      </x:c>
      <x:c r="D69" s="296" t="n">
        <x:v>36</x:v>
      </x:c>
      <x:c r="E69" s="296" t="n">
        <x:v>37</x:v>
      </x:c>
      <x:c r="F69" s="296" t="n">
        <x:v>42</x:v>
      </x:c>
      <x:c r="G69" s="296" t="n">
        <x:v>5</x:v>
      </x:c>
      <x:c r="H69" s="296" t="n">
        <x:v>9</x:v>
      </x:c>
      <x:c r="I69" s="296" t="n">
        <x:f>SUM(B69:F69)</x:f>
        <x:v>168</x:v>
      </x:c>
      <x:c r="J69" s="296" t="n">
        <x:f>MOD(B69,2)+MOD(C69,2)+MOD(D69,2)+MOD(E69,2)+MOD(F69,2)</x:f>
        <x:v>2</x:v>
      </x:c>
      <x:c r="K69" s="296" t="n">
        <x:f>COUNTIF(B69:F69,"&gt;31")</x:f>
        <x:v>3</x:v>
      </x:c>
      <x:c r="L69" s="336" t="n">
        <x:f>1/'Executive Summary'!$B$24</x:f>
        <x:v>7.1511238420185165e-9</x:v>
      </x:c>
      <x:c r="M69" s="342" t="n">
        <x:f>2.5</x:f>
        <x:v>2.5</x:v>
      </x:c>
      <x:c r="N69" s="288" t="str">
        <x:v>Conditional coverage wheel</x:v>
      </x:c>
    </x:row>
    <x:row r="70">
      <x:c r="A70" s="295" t="n">
        <x:v>66</x:v>
      </x:c>
      <x:c r="B70" s="296" t="n">
        <x:v>25</x:v>
      </x:c>
      <x:c r="C70" s="296" t="n">
        <x:v>28</x:v>
      </x:c>
      <x:c r="D70" s="296" t="n">
        <x:v>36</x:v>
      </x:c>
      <x:c r="E70" s="296" t="n">
        <x:v>37</x:v>
      </x:c>
      <x:c r="F70" s="296" t="n">
        <x:v>42</x:v>
      </x:c>
      <x:c r="G70" s="296" t="n">
        <x:v>7</x:v>
      </x:c>
      <x:c r="H70" s="296" t="n">
        <x:v>9</x:v>
      </x:c>
      <x:c r="I70" s="296" t="n">
        <x:f>SUM(B70:F70)</x:f>
        <x:v>168</x:v>
      </x:c>
      <x:c r="J70" s="296" t="n">
        <x:f>MOD(B70,2)+MOD(C70,2)+MOD(D70,2)+MOD(E70,2)+MOD(F70,2)</x:f>
        <x:v>2</x:v>
      </x:c>
      <x:c r="K70" s="296" t="n">
        <x:f>COUNTIF(B70:F70,"&gt;31")</x:f>
        <x:v>3</x:v>
      </x:c>
      <x:c r="L70" s="336" t="n">
        <x:f>1/'Executive Summary'!$B$24</x:f>
        <x:v>7.1511238420185165e-9</x:v>
      </x:c>
      <x:c r="M70" s="342" t="n">
        <x:f>2.5</x:f>
        <x:v>2.5</x:v>
      </x:c>
      <x:c r="N70" s="288" t="str">
        <x:v>Conditional coverage wheel</x:v>
      </x:c>
    </x:row>
    <x:row r="71">
      <x:c r="A71" s="295" t="n">
        <x:v>67</x:v>
      </x:c>
      <x:c r="B71" s="296" t="n">
        <x:v>27</x:v>
      </x:c>
      <x:c r="C71" s="296" t="n">
        <x:v>28</x:v>
      </x:c>
      <x:c r="D71" s="296" t="n">
        <x:v>35</x:v>
      </x:c>
      <x:c r="E71" s="296" t="n">
        <x:v>36</x:v>
      </x:c>
      <x:c r="F71" s="296" t="n">
        <x:v>48</x:v>
      </x:c>
      <x:c r="G71" s="296" t="n">
        <x:v>3</x:v>
      </x:c>
      <x:c r="H71" s="296" t="n">
        <x:v>5</x:v>
      </x:c>
      <x:c r="I71" s="296" t="n">
        <x:f>SUM(B71:F71)</x:f>
        <x:v>174</x:v>
      </x:c>
      <x:c r="J71" s="296" t="n">
        <x:f>MOD(B71,2)+MOD(C71,2)+MOD(D71,2)+MOD(E71,2)+MOD(F71,2)</x:f>
        <x:v>2</x:v>
      </x:c>
      <x:c r="K71" s="296" t="n">
        <x:f>COUNTIF(B71:F71,"&gt;31")</x:f>
        <x:v>3</x:v>
      </x:c>
      <x:c r="L71" s="336" t="n">
        <x:f>1/'Executive Summary'!$B$24</x:f>
        <x:v>7.1511238420185165e-9</x:v>
      </x:c>
      <x:c r="M71" s="342" t="n">
        <x:f>2.5</x:f>
        <x:v>2.5</x:v>
      </x:c>
      <x:c r="N71" s="288" t="str">
        <x:v>Conditional coverage wheel</x:v>
      </x:c>
    </x:row>
    <x:row r="72">
      <x:c r="A72" s="295" t="n">
        <x:v>68</x:v>
      </x:c>
      <x:c r="B72" s="296" t="n">
        <x:v>27</x:v>
      </x:c>
      <x:c r="C72" s="296" t="n">
        <x:v>28</x:v>
      </x:c>
      <x:c r="D72" s="296" t="n">
        <x:v>35</x:v>
      </x:c>
      <x:c r="E72" s="296" t="n">
        <x:v>36</x:v>
      </x:c>
      <x:c r="F72" s="296" t="n">
        <x:v>48</x:v>
      </x:c>
      <x:c r="G72" s="296" t="n">
        <x:v>3</x:v>
      </x:c>
      <x:c r="H72" s="296" t="n">
        <x:v>7</x:v>
      </x:c>
      <x:c r="I72" s="296" t="n">
        <x:f>SUM(B72:F72)</x:f>
        <x:v>174</x:v>
      </x:c>
      <x:c r="J72" s="296" t="n">
        <x:f>MOD(B72,2)+MOD(C72,2)+MOD(D72,2)+MOD(E72,2)+MOD(F72,2)</x:f>
        <x:v>2</x:v>
      </x:c>
      <x:c r="K72" s="296" t="n">
        <x:f>COUNTIF(B72:F72,"&gt;31")</x:f>
        <x:v>3</x:v>
      </x:c>
      <x:c r="L72" s="336" t="n">
        <x:f>1/'Executive Summary'!$B$24</x:f>
        <x:v>7.1511238420185165e-9</x:v>
      </x:c>
      <x:c r="M72" s="342" t="n">
        <x:f>2.5</x:f>
        <x:v>2.5</x:v>
      </x:c>
      <x:c r="N72" s="288" t="str">
        <x:v>Conditional coverage wheel</x:v>
      </x:c>
    </x:row>
    <x:row r="73">
      <x:c r="A73" s="295" t="n">
        <x:v>69</x:v>
      </x:c>
      <x:c r="B73" s="296" t="n">
        <x:v>27</x:v>
      </x:c>
      <x:c r="C73" s="296" t="n">
        <x:v>28</x:v>
      </x:c>
      <x:c r="D73" s="296" t="n">
        <x:v>35</x:v>
      </x:c>
      <x:c r="E73" s="296" t="n">
        <x:v>36</x:v>
      </x:c>
      <x:c r="F73" s="296" t="n">
        <x:v>48</x:v>
      </x:c>
      <x:c r="G73" s="296" t="n">
        <x:v>3</x:v>
      </x:c>
      <x:c r="H73" s="296" t="n">
        <x:v>9</x:v>
      </x:c>
      <x:c r="I73" s="296" t="n">
        <x:f>SUM(B73:F73)</x:f>
        <x:v>174</x:v>
      </x:c>
      <x:c r="J73" s="296" t="n">
        <x:f>MOD(B73,2)+MOD(C73,2)+MOD(D73,2)+MOD(E73,2)+MOD(F73,2)</x:f>
        <x:v>2</x:v>
      </x:c>
      <x:c r="K73" s="296" t="n">
        <x:f>COUNTIF(B73:F73,"&gt;31")</x:f>
        <x:v>3</x:v>
      </x:c>
      <x:c r="L73" s="336" t="n">
        <x:f>1/'Executive Summary'!$B$24</x:f>
        <x:v>7.1511238420185165e-9</x:v>
      </x:c>
      <x:c r="M73" s="342" t="n">
        <x:f>2.5</x:f>
        <x:v>2.5</x:v>
      </x:c>
      <x:c r="N73" s="288" t="str">
        <x:v>Conditional coverage wheel</x:v>
      </x:c>
    </x:row>
    <x:row r="74">
      <x:c r="A74" s="295" t="n">
        <x:v>70</x:v>
      </x:c>
      <x:c r="B74" s="296" t="n">
        <x:v>27</x:v>
      </x:c>
      <x:c r="C74" s="296" t="n">
        <x:v>28</x:v>
      </x:c>
      <x:c r="D74" s="296" t="n">
        <x:v>35</x:v>
      </x:c>
      <x:c r="E74" s="296" t="n">
        <x:v>36</x:v>
      </x:c>
      <x:c r="F74" s="296" t="n">
        <x:v>48</x:v>
      </x:c>
      <x:c r="G74" s="296" t="n">
        <x:v>5</x:v>
      </x:c>
      <x:c r="H74" s="296" t="n">
        <x:v>7</x:v>
      </x:c>
      <x:c r="I74" s="296" t="n">
        <x:f>SUM(B74:F74)</x:f>
        <x:v>174</x:v>
      </x:c>
      <x:c r="J74" s="296" t="n">
        <x:f>MOD(B74,2)+MOD(C74,2)+MOD(D74,2)+MOD(E74,2)+MOD(F74,2)</x:f>
        <x:v>2</x:v>
      </x:c>
      <x:c r="K74" s="296" t="n">
        <x:f>COUNTIF(B74:F74,"&gt;31")</x:f>
        <x:v>3</x:v>
      </x:c>
      <x:c r="L74" s="336" t="n">
        <x:f>1/'Executive Summary'!$B$24</x:f>
        <x:v>7.1511238420185165e-9</x:v>
      </x:c>
      <x:c r="M74" s="342" t="n">
        <x:f>2.5</x:f>
        <x:v>2.5</x:v>
      </x:c>
      <x:c r="N74" s="288" t="str">
        <x:v>Conditional coverage wheel</x:v>
      </x:c>
    </x:row>
    <x:row r="75">
      <x:c r="A75" s="295" t="n">
        <x:v>71</x:v>
      </x:c>
      <x:c r="B75" s="296" t="n">
        <x:v>27</x:v>
      </x:c>
      <x:c r="C75" s="296" t="n">
        <x:v>28</x:v>
      </x:c>
      <x:c r="D75" s="296" t="n">
        <x:v>35</x:v>
      </x:c>
      <x:c r="E75" s="296" t="n">
        <x:v>36</x:v>
      </x:c>
      <x:c r="F75" s="296" t="n">
        <x:v>48</x:v>
      </x:c>
      <x:c r="G75" s="296" t="n">
        <x:v>5</x:v>
      </x:c>
      <x:c r="H75" s="296" t="n">
        <x:v>9</x:v>
      </x:c>
      <x:c r="I75" s="296" t="n">
        <x:f>SUM(B75:F75)</x:f>
        <x:v>174</x:v>
      </x:c>
      <x:c r="J75" s="296" t="n">
        <x:f>MOD(B75,2)+MOD(C75,2)+MOD(D75,2)+MOD(E75,2)+MOD(F75,2)</x:f>
        <x:v>2</x:v>
      </x:c>
      <x:c r="K75" s="296" t="n">
        <x:f>COUNTIF(B75:F75,"&gt;31")</x:f>
        <x:v>3</x:v>
      </x:c>
      <x:c r="L75" s="336" t="n">
        <x:f>1/'Executive Summary'!$B$24</x:f>
        <x:v>7.1511238420185165e-9</x:v>
      </x:c>
      <x:c r="M75" s="342" t="n">
        <x:f>2.5</x:f>
        <x:v>2.5</x:v>
      </x:c>
      <x:c r="N75" s="288" t="str">
        <x:v>Conditional coverage wheel</x:v>
      </x:c>
    </x:row>
    <x:row r="76">
      <x:c r="A76" s="295" t="n">
        <x:v>72</x:v>
      </x:c>
      <x:c r="B76" s="296" t="n">
        <x:v>27</x:v>
      </x:c>
      <x:c r="C76" s="296" t="n">
        <x:v>28</x:v>
      </x:c>
      <x:c r="D76" s="296" t="n">
        <x:v>35</x:v>
      </x:c>
      <x:c r="E76" s="296" t="n">
        <x:v>36</x:v>
      </x:c>
      <x:c r="F76" s="296" t="n">
        <x:v>48</x:v>
      </x:c>
      <x:c r="G76" s="296" t="n">
        <x:v>7</x:v>
      </x:c>
      <x:c r="H76" s="296" t="n">
        <x:v>9</x:v>
      </x:c>
      <x:c r="I76" s="296" t="n">
        <x:f>SUM(B76:F76)</x:f>
        <x:v>174</x:v>
      </x:c>
      <x:c r="J76" s="296" t="n">
        <x:f>MOD(B76,2)+MOD(C76,2)+MOD(D76,2)+MOD(E76,2)+MOD(F76,2)</x:f>
        <x:v>2</x:v>
      </x:c>
      <x:c r="K76" s="296" t="n">
        <x:f>COUNTIF(B76:F76,"&gt;31")</x:f>
        <x:v>3</x:v>
      </x:c>
      <x:c r="L76" s="336" t="n">
        <x:f>1/'Executive Summary'!$B$24</x:f>
        <x:v>7.1511238420185165e-9</x:v>
      </x:c>
      <x:c r="M76" s="342" t="n">
        <x:f>2.5</x:f>
        <x:v>2.5</x:v>
      </x:c>
      <x:c r="N76" s="288" t="str">
        <x:v>Conditional coverage wheel</x:v>
      </x:c>
    </x:row>
    <x:row r="77">
      <x:c r="A77" s="295" t="n">
        <x:v>73</x:v>
      </x:c>
      <x:c r="B77" s="296" t="n">
        <x:v>25</x:v>
      </x:c>
      <x:c r="C77" s="296" t="n">
        <x:v>27</x:v>
      </x:c>
      <x:c r="D77" s="296" t="n">
        <x:v>42</x:v>
      </x:c>
      <x:c r="E77" s="296" t="n">
        <x:v>44</x:v>
      </x:c>
      <x:c r="F77" s="296" t="n">
        <x:v>48</x:v>
      </x:c>
      <x:c r="G77" s="296" t="n">
        <x:v>3</x:v>
      </x:c>
      <x:c r="H77" s="296" t="n">
        <x:v>5</x:v>
      </x:c>
      <x:c r="I77" s="296" t="n">
        <x:f>SUM(B77:F77)</x:f>
        <x:v>186</x:v>
      </x:c>
      <x:c r="J77" s="296" t="n">
        <x:f>MOD(B77,2)+MOD(C77,2)+MOD(D77,2)+MOD(E77,2)+MOD(F77,2)</x:f>
        <x:v>2</x:v>
      </x:c>
      <x:c r="K77" s="296" t="n">
        <x:f>COUNTIF(B77:F77,"&gt;31")</x:f>
        <x:v>3</x:v>
      </x:c>
      <x:c r="L77" s="336" t="n">
        <x:f>1/'Executive Summary'!$B$24</x:f>
        <x:v>7.1511238420185165e-9</x:v>
      </x:c>
      <x:c r="M77" s="342" t="n">
        <x:f>2.5</x:f>
        <x:v>2.5</x:v>
      </x:c>
      <x:c r="N77" s="288" t="str">
        <x:v>Conditional coverage wheel</x:v>
      </x:c>
    </x:row>
    <x:row r="78">
      <x:c r="A78" s="295" t="n">
        <x:v>74</x:v>
      </x:c>
      <x:c r="B78" s="296" t="n">
        <x:v>25</x:v>
      </x:c>
      <x:c r="C78" s="296" t="n">
        <x:v>27</x:v>
      </x:c>
      <x:c r="D78" s="296" t="n">
        <x:v>42</x:v>
      </x:c>
      <x:c r="E78" s="296" t="n">
        <x:v>44</x:v>
      </x:c>
      <x:c r="F78" s="296" t="n">
        <x:v>48</x:v>
      </x:c>
      <x:c r="G78" s="296" t="n">
        <x:v>3</x:v>
      </x:c>
      <x:c r="H78" s="296" t="n">
        <x:v>7</x:v>
      </x:c>
      <x:c r="I78" s="296" t="n">
        <x:f>SUM(B78:F78)</x:f>
        <x:v>186</x:v>
      </x:c>
      <x:c r="J78" s="296" t="n">
        <x:f>MOD(B78,2)+MOD(C78,2)+MOD(D78,2)+MOD(E78,2)+MOD(F78,2)</x:f>
        <x:v>2</x:v>
      </x:c>
      <x:c r="K78" s="296" t="n">
        <x:f>COUNTIF(B78:F78,"&gt;31")</x:f>
        <x:v>3</x:v>
      </x:c>
      <x:c r="L78" s="336" t="n">
        <x:f>1/'Executive Summary'!$B$24</x:f>
        <x:v>7.1511238420185165e-9</x:v>
      </x:c>
      <x:c r="M78" s="342" t="n">
        <x:f>2.5</x:f>
        <x:v>2.5</x:v>
      </x:c>
      <x:c r="N78" s="288" t="str">
        <x:v>Conditional coverage wheel</x:v>
      </x:c>
    </x:row>
    <x:row r="79">
      <x:c r="A79" s="295" t="n">
        <x:v>75</x:v>
      </x:c>
      <x:c r="B79" s="296" t="n">
        <x:v>25</x:v>
      </x:c>
      <x:c r="C79" s="296" t="n">
        <x:v>27</x:v>
      </x:c>
      <x:c r="D79" s="296" t="n">
        <x:v>42</x:v>
      </x:c>
      <x:c r="E79" s="296" t="n">
        <x:v>44</x:v>
      </x:c>
      <x:c r="F79" s="296" t="n">
        <x:v>48</x:v>
      </x:c>
      <x:c r="G79" s="296" t="n">
        <x:v>3</x:v>
      </x:c>
      <x:c r="H79" s="296" t="n">
        <x:v>9</x:v>
      </x:c>
      <x:c r="I79" s="296" t="n">
        <x:f>SUM(B79:F79)</x:f>
        <x:v>186</x:v>
      </x:c>
      <x:c r="J79" s="296" t="n">
        <x:f>MOD(B79,2)+MOD(C79,2)+MOD(D79,2)+MOD(E79,2)+MOD(F79,2)</x:f>
        <x:v>2</x:v>
      </x:c>
      <x:c r="K79" s="296" t="n">
        <x:f>COUNTIF(B79:F79,"&gt;31")</x:f>
        <x:v>3</x:v>
      </x:c>
      <x:c r="L79" s="336" t="n">
        <x:f>1/'Executive Summary'!$B$24</x:f>
        <x:v>7.1511238420185165e-9</x:v>
      </x:c>
      <x:c r="M79" s="342" t="n">
        <x:f>2.5</x:f>
        <x:v>2.5</x:v>
      </x:c>
      <x:c r="N79" s="288" t="str">
        <x:v>Conditional coverage wheel</x:v>
      </x:c>
    </x:row>
    <x:row r="80">
      <x:c r="A80" s="295" t="n">
        <x:v>76</x:v>
      </x:c>
      <x:c r="B80" s="296" t="n">
        <x:v>25</x:v>
      </x:c>
      <x:c r="C80" s="296" t="n">
        <x:v>27</x:v>
      </x:c>
      <x:c r="D80" s="296" t="n">
        <x:v>42</x:v>
      </x:c>
      <x:c r="E80" s="296" t="n">
        <x:v>44</x:v>
      </x:c>
      <x:c r="F80" s="296" t="n">
        <x:v>48</x:v>
      </x:c>
      <x:c r="G80" s="296" t="n">
        <x:v>5</x:v>
      </x:c>
      <x:c r="H80" s="296" t="n">
        <x:v>7</x:v>
      </x:c>
      <x:c r="I80" s="296" t="n">
        <x:f>SUM(B80:F80)</x:f>
        <x:v>186</x:v>
      </x:c>
      <x:c r="J80" s="296" t="n">
        <x:f>MOD(B80,2)+MOD(C80,2)+MOD(D80,2)+MOD(E80,2)+MOD(F80,2)</x:f>
        <x:v>2</x:v>
      </x:c>
      <x:c r="K80" s="296" t="n">
        <x:f>COUNTIF(B80:F80,"&gt;31")</x:f>
        <x:v>3</x:v>
      </x:c>
      <x:c r="L80" s="336" t="n">
        <x:f>1/'Executive Summary'!$B$24</x:f>
        <x:v>7.1511238420185165e-9</x:v>
      </x:c>
      <x:c r="M80" s="342" t="n">
        <x:f>2.5</x:f>
        <x:v>2.5</x:v>
      </x:c>
      <x:c r="N80" s="288" t="str">
        <x:v>Conditional coverage wheel</x:v>
      </x:c>
    </x:row>
    <x:row r="81">
      <x:c r="A81" s="295" t="n">
        <x:v>77</x:v>
      </x:c>
      <x:c r="B81" s="296" t="n">
        <x:v>25</x:v>
      </x:c>
      <x:c r="C81" s="296" t="n">
        <x:v>27</x:v>
      </x:c>
      <x:c r="D81" s="296" t="n">
        <x:v>42</x:v>
      </x:c>
      <x:c r="E81" s="296" t="n">
        <x:v>44</x:v>
      </x:c>
      <x:c r="F81" s="296" t="n">
        <x:v>48</x:v>
      </x:c>
      <x:c r="G81" s="296" t="n">
        <x:v>5</x:v>
      </x:c>
      <x:c r="H81" s="296" t="n">
        <x:v>9</x:v>
      </x:c>
      <x:c r="I81" s="296" t="n">
        <x:f>SUM(B81:F81)</x:f>
        <x:v>186</x:v>
      </x:c>
      <x:c r="J81" s="296" t="n">
        <x:f>MOD(B81,2)+MOD(C81,2)+MOD(D81,2)+MOD(E81,2)+MOD(F81,2)</x:f>
        <x:v>2</x:v>
      </x:c>
      <x:c r="K81" s="296" t="n">
        <x:f>COUNTIF(B81:F81,"&gt;31")</x:f>
        <x:v>3</x:v>
      </x:c>
      <x:c r="L81" s="336" t="n">
        <x:f>1/'Executive Summary'!$B$24</x:f>
        <x:v>7.1511238420185165e-9</x:v>
      </x:c>
      <x:c r="M81" s="342" t="n">
        <x:f>2.5</x:f>
        <x:v>2.5</x:v>
      </x:c>
      <x:c r="N81" s="288" t="str">
        <x:v>Conditional coverage wheel</x:v>
      </x:c>
    </x:row>
    <x:row r="82">
      <x:c r="A82" s="295" t="n">
        <x:v>78</x:v>
      </x:c>
      <x:c r="B82" s="296" t="n">
        <x:v>25</x:v>
      </x:c>
      <x:c r="C82" s="296" t="n">
        <x:v>27</x:v>
      </x:c>
      <x:c r="D82" s="296" t="n">
        <x:v>42</x:v>
      </x:c>
      <x:c r="E82" s="296" t="n">
        <x:v>44</x:v>
      </x:c>
      <x:c r="F82" s="296" t="n">
        <x:v>48</x:v>
      </x:c>
      <x:c r="G82" s="296" t="n">
        <x:v>7</x:v>
      </x:c>
      <x:c r="H82" s="296" t="n">
        <x:v>9</x:v>
      </x:c>
      <x:c r="I82" s="296" t="n">
        <x:f>SUM(B82:F82)</x:f>
        <x:v>186</x:v>
      </x:c>
      <x:c r="J82" s="296" t="n">
        <x:f>MOD(B82,2)+MOD(C82,2)+MOD(D82,2)+MOD(E82,2)+MOD(F82,2)</x:f>
        <x:v>2</x:v>
      </x:c>
      <x:c r="K82" s="296" t="n">
        <x:f>COUNTIF(B82:F82,"&gt;31")</x:f>
        <x:v>3</x:v>
      </x:c>
      <x:c r="L82" s="336" t="n">
        <x:f>1/'Executive Summary'!$B$24</x:f>
        <x:v>7.1511238420185165e-9</x:v>
      </x:c>
      <x:c r="M82" s="342" t="n">
        <x:f>2.5</x:f>
        <x:v>2.5</x:v>
      </x:c>
      <x:c r="N82" s="288" t="str">
        <x:v>Conditional coverage wheel</x:v>
      </x:c>
    </x:row>
    <x:row r="83">
      <x:c r="A83" s="295" t="n">
        <x:v>79</x:v>
      </x:c>
      <x:c r="B83" s="296" t="n">
        <x:v>35</x:v>
      </x:c>
      <x:c r="C83" s="296" t="n">
        <x:v>36</x:v>
      </x:c>
      <x:c r="D83" s="296" t="n">
        <x:v>42</x:v>
      </x:c>
      <x:c r="E83" s="296" t="n">
        <x:v>44</x:v>
      </x:c>
      <x:c r="F83" s="296" t="n">
        <x:v>48</x:v>
      </x:c>
      <x:c r="G83" s="296" t="n">
        <x:v>3</x:v>
      </x:c>
      <x:c r="H83" s="296" t="n">
        <x:v>5</x:v>
      </x:c>
      <x:c r="I83" s="296" t="n">
        <x:f>SUM(B83:F83)</x:f>
        <x:v>205</x:v>
      </x:c>
      <x:c r="J83" s="296" t="n">
        <x:f>MOD(B83,2)+MOD(C83,2)+MOD(D83,2)+MOD(E83,2)+MOD(F83,2)</x:f>
        <x:v>1</x:v>
      </x:c>
      <x:c r="K83" s="296" t="n">
        <x:f>COUNTIF(B83:F83,"&gt;31")</x:f>
        <x:v>5</x:v>
      </x:c>
      <x:c r="L83" s="336" t="n">
        <x:f>1/'Executive Summary'!$B$24</x:f>
        <x:v>7.1511238420185165e-9</x:v>
      </x:c>
      <x:c r="M83" s="342" t="n">
        <x:f>2.5</x:f>
        <x:v>2.5</x:v>
      </x:c>
      <x:c r="N83" s="288" t="str">
        <x:v>Conditional coverage wheel</x:v>
      </x:c>
    </x:row>
    <x:row r="84">
      <x:c r="A84" s="295" t="n">
        <x:v>80</x:v>
      </x:c>
      <x:c r="B84" s="296" t="n">
        <x:v>35</x:v>
      </x:c>
      <x:c r="C84" s="296" t="n">
        <x:v>36</x:v>
      </x:c>
      <x:c r="D84" s="296" t="n">
        <x:v>42</x:v>
      </x:c>
      <x:c r="E84" s="296" t="n">
        <x:v>44</x:v>
      </x:c>
      <x:c r="F84" s="296" t="n">
        <x:v>48</x:v>
      </x:c>
      <x:c r="G84" s="296" t="n">
        <x:v>3</x:v>
      </x:c>
      <x:c r="H84" s="296" t="n">
        <x:v>7</x:v>
      </x:c>
      <x:c r="I84" s="296" t="n">
        <x:f>SUM(B84:F84)</x:f>
        <x:v>205</x:v>
      </x:c>
      <x:c r="J84" s="296" t="n">
        <x:f>MOD(B84,2)+MOD(C84,2)+MOD(D84,2)+MOD(E84,2)+MOD(F84,2)</x:f>
        <x:v>1</x:v>
      </x:c>
      <x:c r="K84" s="296" t="n">
        <x:f>COUNTIF(B84:F84,"&gt;31")</x:f>
        <x:v>5</x:v>
      </x:c>
      <x:c r="L84" s="336" t="n">
        <x:f>1/'Executive Summary'!$B$24</x:f>
        <x:v>7.1511238420185165e-9</x:v>
      </x:c>
      <x:c r="M84" s="342" t="n">
        <x:f>2.5</x:f>
        <x:v>2.5</x:v>
      </x:c>
      <x:c r="N84" s="288" t="str">
        <x:v>Conditional coverage wheel</x:v>
      </x:c>
    </x:row>
    <x:row r="85">
      <x:c r="A85" s="295" t="n">
        <x:v>81</x:v>
      </x:c>
      <x:c r="B85" s="296" t="n">
        <x:v>35</x:v>
      </x:c>
      <x:c r="C85" s="296" t="n">
        <x:v>36</x:v>
      </x:c>
      <x:c r="D85" s="296" t="n">
        <x:v>42</x:v>
      </x:c>
      <x:c r="E85" s="296" t="n">
        <x:v>44</x:v>
      </x:c>
      <x:c r="F85" s="296" t="n">
        <x:v>48</x:v>
      </x:c>
      <x:c r="G85" s="296" t="n">
        <x:v>3</x:v>
      </x:c>
      <x:c r="H85" s="296" t="n">
        <x:v>9</x:v>
      </x:c>
      <x:c r="I85" s="296" t="n">
        <x:f>SUM(B85:F85)</x:f>
        <x:v>205</x:v>
      </x:c>
      <x:c r="J85" s="296" t="n">
        <x:f>MOD(B85,2)+MOD(C85,2)+MOD(D85,2)+MOD(E85,2)+MOD(F85,2)</x:f>
        <x:v>1</x:v>
      </x:c>
      <x:c r="K85" s="296" t="n">
        <x:f>COUNTIF(B85:F85,"&gt;31")</x:f>
        <x:v>5</x:v>
      </x:c>
      <x:c r="L85" s="336" t="n">
        <x:f>1/'Executive Summary'!$B$24</x:f>
        <x:v>7.1511238420185165e-9</x:v>
      </x:c>
      <x:c r="M85" s="342" t="n">
        <x:f>2.5</x:f>
        <x:v>2.5</x:v>
      </x:c>
      <x:c r="N85" s="288" t="str">
        <x:v>Conditional coverage wheel</x:v>
      </x:c>
    </x:row>
    <x:row r="86">
      <x:c r="A86" s="295" t="n">
        <x:v>82</x:v>
      </x:c>
      <x:c r="B86" s="296" t="n">
        <x:v>35</x:v>
      </x:c>
      <x:c r="C86" s="296" t="n">
        <x:v>36</x:v>
      </x:c>
      <x:c r="D86" s="296" t="n">
        <x:v>42</x:v>
      </x:c>
      <x:c r="E86" s="296" t="n">
        <x:v>44</x:v>
      </x:c>
      <x:c r="F86" s="296" t="n">
        <x:v>48</x:v>
      </x:c>
      <x:c r="G86" s="296" t="n">
        <x:v>5</x:v>
      </x:c>
      <x:c r="H86" s="296" t="n">
        <x:v>7</x:v>
      </x:c>
      <x:c r="I86" s="296" t="n">
        <x:f>SUM(B86:F86)</x:f>
        <x:v>205</x:v>
      </x:c>
      <x:c r="J86" s="296" t="n">
        <x:f>MOD(B86,2)+MOD(C86,2)+MOD(D86,2)+MOD(E86,2)+MOD(F86,2)</x:f>
        <x:v>1</x:v>
      </x:c>
      <x:c r="K86" s="296" t="n">
        <x:f>COUNTIF(B86:F86,"&gt;31")</x:f>
        <x:v>5</x:v>
      </x:c>
      <x:c r="L86" s="336" t="n">
        <x:f>1/'Executive Summary'!$B$24</x:f>
        <x:v>7.1511238420185165e-9</x:v>
      </x:c>
      <x:c r="M86" s="342" t="n">
        <x:f>2.5</x:f>
        <x:v>2.5</x:v>
      </x:c>
      <x:c r="N86" s="288" t="str">
        <x:v>Conditional coverage wheel</x:v>
      </x:c>
    </x:row>
    <x:row r="87">
      <x:c r="A87" s="295" t="n">
        <x:v>83</x:v>
      </x:c>
      <x:c r="B87" s="296" t="n">
        <x:v>35</x:v>
      </x:c>
      <x:c r="C87" s="296" t="n">
        <x:v>36</x:v>
      </x:c>
      <x:c r="D87" s="296" t="n">
        <x:v>42</x:v>
      </x:c>
      <x:c r="E87" s="296" t="n">
        <x:v>44</x:v>
      </x:c>
      <x:c r="F87" s="296" t="n">
        <x:v>48</x:v>
      </x:c>
      <x:c r="G87" s="296" t="n">
        <x:v>5</x:v>
      </x:c>
      <x:c r="H87" s="296" t="n">
        <x:v>9</x:v>
      </x:c>
      <x:c r="I87" s="296" t="n">
        <x:f>SUM(B87:F87)</x:f>
        <x:v>205</x:v>
      </x:c>
      <x:c r="J87" s="296" t="n">
        <x:f>MOD(B87,2)+MOD(C87,2)+MOD(D87,2)+MOD(E87,2)+MOD(F87,2)</x:f>
        <x:v>1</x:v>
      </x:c>
      <x:c r="K87" s="296" t="n">
        <x:f>COUNTIF(B87:F87,"&gt;31")</x:f>
        <x:v>5</x:v>
      </x:c>
      <x:c r="L87" s="336" t="n">
        <x:f>1/'Executive Summary'!$B$24</x:f>
        <x:v>7.1511238420185165e-9</x:v>
      </x:c>
      <x:c r="M87" s="342" t="n">
        <x:f>2.5</x:f>
        <x:v>2.5</x:v>
      </x:c>
      <x:c r="N87" s="288" t="str">
        <x:v>Conditional coverage wheel</x:v>
      </x:c>
    </x:row>
    <x:row r="88">
      <x:c r="A88" s="295" t="n">
        <x:v>84</x:v>
      </x:c>
      <x:c r="B88" s="296" t="n">
        <x:v>35</x:v>
      </x:c>
      <x:c r="C88" s="296" t="n">
        <x:v>36</x:v>
      </x:c>
      <x:c r="D88" s="296" t="n">
        <x:v>42</x:v>
      </x:c>
      <x:c r="E88" s="296" t="n">
        <x:v>44</x:v>
      </x:c>
      <x:c r="F88" s="296" t="n">
        <x:v>48</x:v>
      </x:c>
      <x:c r="G88" s="296" t="n">
        <x:v>7</x:v>
      </x:c>
      <x:c r="H88" s="296" t="n">
        <x:v>9</x:v>
      </x:c>
      <x:c r="I88" s="296" t="n">
        <x:f>SUM(B88:F88)</x:f>
        <x:v>205</x:v>
      </x:c>
      <x:c r="J88" s="296" t="n">
        <x:f>MOD(B88,2)+MOD(C88,2)+MOD(D88,2)+MOD(E88,2)+MOD(F88,2)</x:f>
        <x:v>1</x:v>
      </x:c>
      <x:c r="K88" s="296" t="n">
        <x:f>COUNTIF(B88:F88,"&gt;31")</x:f>
        <x:v>5</x:v>
      </x:c>
      <x:c r="L88" s="336" t="n">
        <x:f>1/'Executive Summary'!$B$24</x:f>
        <x:v>7.1511238420185165e-9</x:v>
      </x:c>
      <x:c r="M88" s="342" t="n">
        <x:f>2.5</x:f>
        <x:v>2.5</x:v>
      </x:c>
      <x:c r="N88" s="288" t="str">
        <x:v>Conditional coverage wheel</x:v>
      </x:c>
    </x:row>
    <x:row r="89">
      <x:c r="A89" s="295" t="n">
        <x:v>85</x:v>
      </x:c>
      <x:c r="B89" s="296" t="n">
        <x:v>4</x:v>
      </x:c>
      <x:c r="C89" s="296" t="n">
        <x:v>25</x:v>
      </x:c>
      <x:c r="D89" s="296" t="n">
        <x:v>28</x:v>
      </x:c>
      <x:c r="E89" s="296" t="n">
        <x:v>36</x:v>
      </x:c>
      <x:c r="F89" s="296" t="n">
        <x:v>44</x:v>
      </x:c>
      <x:c r="G89" s="296" t="n">
        <x:v>3</x:v>
      </x:c>
      <x:c r="H89" s="296" t="n">
        <x:v>5</x:v>
      </x:c>
      <x:c r="I89" s="296" t="n">
        <x:f>SUM(B89:F89)</x:f>
        <x:v>137</x:v>
      </x:c>
      <x:c r="J89" s="296" t="n">
        <x:f>MOD(B89,2)+MOD(C89,2)+MOD(D89,2)+MOD(E89,2)+MOD(F89,2)</x:f>
        <x:v>1</x:v>
      </x:c>
      <x:c r="K89" s="296" t="n">
        <x:f>COUNTIF(B89:F89,"&gt;31")</x:f>
        <x:v>2</x:v>
      </x:c>
      <x:c r="L89" s="336" t="n">
        <x:f>1/'Executive Summary'!$B$24</x:f>
        <x:v>7.1511238420185165e-9</x:v>
      </x:c>
      <x:c r="M89" s="342" t="n">
        <x:f>2.5</x:f>
        <x:v>2.5</x:v>
      </x:c>
      <x:c r="N89" s="288" t="str">
        <x:v>Conditional coverage wheel</x:v>
      </x:c>
    </x:row>
    <x:row r="90">
      <x:c r="A90" s="295" t="n">
        <x:v>86</x:v>
      </x:c>
      <x:c r="B90" s="296" t="n">
        <x:v>4</x:v>
      </x:c>
      <x:c r="C90" s="296" t="n">
        <x:v>25</x:v>
      </x:c>
      <x:c r="D90" s="296" t="n">
        <x:v>28</x:v>
      </x:c>
      <x:c r="E90" s="296" t="n">
        <x:v>36</x:v>
      </x:c>
      <x:c r="F90" s="296" t="n">
        <x:v>44</x:v>
      </x:c>
      <x:c r="G90" s="296" t="n">
        <x:v>3</x:v>
      </x:c>
      <x:c r="H90" s="296" t="n">
        <x:v>7</x:v>
      </x:c>
      <x:c r="I90" s="296" t="n">
        <x:f>SUM(B90:F90)</x:f>
        <x:v>137</x:v>
      </x:c>
      <x:c r="J90" s="296" t="n">
        <x:f>MOD(B90,2)+MOD(C90,2)+MOD(D90,2)+MOD(E90,2)+MOD(F90,2)</x:f>
        <x:v>1</x:v>
      </x:c>
      <x:c r="K90" s="296" t="n">
        <x:f>COUNTIF(B90:F90,"&gt;31")</x:f>
        <x:v>2</x:v>
      </x:c>
      <x:c r="L90" s="336" t="n">
        <x:f>1/'Executive Summary'!$B$24</x:f>
        <x:v>7.1511238420185165e-9</x:v>
      </x:c>
      <x:c r="M90" s="342" t="n">
        <x:f>2.5</x:f>
        <x:v>2.5</x:v>
      </x:c>
      <x:c r="N90" s="288" t="str">
        <x:v>Conditional coverage wheel</x:v>
      </x:c>
    </x:row>
    <x:row r="91">
      <x:c r="A91" s="295" t="n">
        <x:v>87</x:v>
      </x:c>
      <x:c r="B91" s="296" t="n">
        <x:v>4</x:v>
      </x:c>
      <x:c r="C91" s="296" t="n">
        <x:v>25</x:v>
      </x:c>
      <x:c r="D91" s="296" t="n">
        <x:v>28</x:v>
      </x:c>
      <x:c r="E91" s="296" t="n">
        <x:v>36</x:v>
      </x:c>
      <x:c r="F91" s="296" t="n">
        <x:v>44</x:v>
      </x:c>
      <x:c r="G91" s="296" t="n">
        <x:v>3</x:v>
      </x:c>
      <x:c r="H91" s="296" t="n">
        <x:v>9</x:v>
      </x:c>
      <x:c r="I91" s="296" t="n">
        <x:f>SUM(B91:F91)</x:f>
        <x:v>137</x:v>
      </x:c>
      <x:c r="J91" s="296" t="n">
        <x:f>MOD(B91,2)+MOD(C91,2)+MOD(D91,2)+MOD(E91,2)+MOD(F91,2)</x:f>
        <x:v>1</x:v>
      </x:c>
      <x:c r="K91" s="296" t="n">
        <x:f>COUNTIF(B91:F91,"&gt;31")</x:f>
        <x:v>2</x:v>
      </x:c>
      <x:c r="L91" s="336" t="n">
        <x:f>1/'Executive Summary'!$B$24</x:f>
        <x:v>7.1511238420185165e-9</x:v>
      </x:c>
      <x:c r="M91" s="342" t="n">
        <x:f>2.5</x:f>
        <x:v>2.5</x:v>
      </x:c>
      <x:c r="N91" s="288" t="str">
        <x:v>Conditional coverage wheel</x:v>
      </x:c>
    </x:row>
    <x:row r="92">
      <x:c r="A92" s="295" t="n">
        <x:v>88</x:v>
      </x:c>
      <x:c r="B92" s="296" t="n">
        <x:v>4</x:v>
      </x:c>
      <x:c r="C92" s="296" t="n">
        <x:v>25</x:v>
      </x:c>
      <x:c r="D92" s="296" t="n">
        <x:v>28</x:v>
      </x:c>
      <x:c r="E92" s="296" t="n">
        <x:v>36</x:v>
      </x:c>
      <x:c r="F92" s="296" t="n">
        <x:v>44</x:v>
      </x:c>
      <x:c r="G92" s="296" t="n">
        <x:v>5</x:v>
      </x:c>
      <x:c r="H92" s="296" t="n">
        <x:v>7</x:v>
      </x:c>
      <x:c r="I92" s="296" t="n">
        <x:f>SUM(B92:F92)</x:f>
        <x:v>137</x:v>
      </x:c>
      <x:c r="J92" s="296" t="n">
        <x:f>MOD(B92,2)+MOD(C92,2)+MOD(D92,2)+MOD(E92,2)+MOD(F92,2)</x:f>
        <x:v>1</x:v>
      </x:c>
      <x:c r="K92" s="296" t="n">
        <x:f>COUNTIF(B92:F92,"&gt;31")</x:f>
        <x:v>2</x:v>
      </x:c>
      <x:c r="L92" s="336" t="n">
        <x:f>1/'Executive Summary'!$B$24</x:f>
        <x:v>7.1511238420185165e-9</x:v>
      </x:c>
      <x:c r="M92" s="342" t="n">
        <x:f>2.5</x:f>
        <x:v>2.5</x:v>
      </x:c>
      <x:c r="N92" s="288" t="str">
        <x:v>Conditional coverage wheel</x:v>
      </x:c>
    </x:row>
    <x:row r="93">
      <x:c r="A93" s="295" t="n">
        <x:v>89</x:v>
      </x:c>
      <x:c r="B93" s="296" t="n">
        <x:v>4</x:v>
      </x:c>
      <x:c r="C93" s="296" t="n">
        <x:v>25</x:v>
      </x:c>
      <x:c r="D93" s="296" t="n">
        <x:v>28</x:v>
      </x:c>
      <x:c r="E93" s="296" t="n">
        <x:v>36</x:v>
      </x:c>
      <x:c r="F93" s="296" t="n">
        <x:v>44</x:v>
      </x:c>
      <x:c r="G93" s="296" t="n">
        <x:v>5</x:v>
      </x:c>
      <x:c r="H93" s="296" t="n">
        <x:v>9</x:v>
      </x:c>
      <x:c r="I93" s="296" t="n">
        <x:f>SUM(B93:F93)</x:f>
        <x:v>137</x:v>
      </x:c>
      <x:c r="J93" s="296" t="n">
        <x:f>MOD(B93,2)+MOD(C93,2)+MOD(D93,2)+MOD(E93,2)+MOD(F93,2)</x:f>
        <x:v>1</x:v>
      </x:c>
      <x:c r="K93" s="296" t="n">
        <x:f>COUNTIF(B93:F93,"&gt;31")</x:f>
        <x:v>2</x:v>
      </x:c>
      <x:c r="L93" s="336" t="n">
        <x:f>1/'Executive Summary'!$B$24</x:f>
        <x:v>7.1511238420185165e-9</x:v>
      </x:c>
      <x:c r="M93" s="342" t="n">
        <x:f>2.5</x:f>
        <x:v>2.5</x:v>
      </x:c>
      <x:c r="N93" s="288" t="str">
        <x:v>Conditional coverage wheel</x:v>
      </x:c>
    </x:row>
    <x:row r="94">
      <x:c r="A94" s="295" t="n">
        <x:v>90</x:v>
      </x:c>
      <x:c r="B94" s="296" t="n">
        <x:v>4</x:v>
      </x:c>
      <x:c r="C94" s="296" t="n">
        <x:v>25</x:v>
      </x:c>
      <x:c r="D94" s="296" t="n">
        <x:v>28</x:v>
      </x:c>
      <x:c r="E94" s="296" t="n">
        <x:v>36</x:v>
      </x:c>
      <x:c r="F94" s="296" t="n">
        <x:v>44</x:v>
      </x:c>
      <x:c r="G94" s="296" t="n">
        <x:v>7</x:v>
      </x:c>
      <x:c r="H94" s="296" t="n">
        <x:v>9</x:v>
      </x:c>
      <x:c r="I94" s="296" t="n">
        <x:f>SUM(B94:F94)</x:f>
        <x:v>137</x:v>
      </x:c>
      <x:c r="J94" s="296" t="n">
        <x:f>MOD(B94,2)+MOD(C94,2)+MOD(D94,2)+MOD(E94,2)+MOD(F94,2)</x:f>
        <x:v>1</x:v>
      </x:c>
      <x:c r="K94" s="296" t="n">
        <x:f>COUNTIF(B94:F94,"&gt;31")</x:f>
        <x:v>2</x:v>
      </x:c>
      <x:c r="L94" s="336" t="n">
        <x:f>1/'Executive Summary'!$B$24</x:f>
        <x:v>7.1511238420185165e-9</x:v>
      </x:c>
      <x:c r="M94" s="342" t="n">
        <x:f>2.5</x:f>
        <x:v>2.5</x:v>
      </x:c>
      <x:c r="N94" s="288" t="str">
        <x:v>Conditional coverage wheel</x:v>
      </x:c>
    </x:row>
    <x:row r="95">
      <x:c r="A95" s="295" t="n">
        <x:v>91</x:v>
      </x:c>
      <x:c r="B95" s="296" t="n">
        <x:v>4</x:v>
      </x:c>
      <x:c r="C95" s="296" t="n">
        <x:v>27</x:v>
      </x:c>
      <x:c r="D95" s="296" t="n">
        <x:v>28</x:v>
      </x:c>
      <x:c r="E95" s="296" t="n">
        <x:v>35</x:v>
      </x:c>
      <x:c r="F95" s="296" t="n">
        <x:v>42</x:v>
      </x:c>
      <x:c r="G95" s="296" t="n">
        <x:v>3</x:v>
      </x:c>
      <x:c r="H95" s="296" t="n">
        <x:v>5</x:v>
      </x:c>
      <x:c r="I95" s="296" t="n">
        <x:f>SUM(B95:F95)</x:f>
        <x:v>136</x:v>
      </x:c>
      <x:c r="J95" s="296" t="n">
        <x:f>MOD(B95,2)+MOD(C95,2)+MOD(D95,2)+MOD(E95,2)+MOD(F95,2)</x:f>
        <x:v>2</x:v>
      </x:c>
      <x:c r="K95" s="296" t="n">
        <x:f>COUNTIF(B95:F95,"&gt;31")</x:f>
        <x:v>2</x:v>
      </x:c>
      <x:c r="L95" s="336" t="n">
        <x:f>1/'Executive Summary'!$B$24</x:f>
        <x:v>7.1511238420185165e-9</x:v>
      </x:c>
      <x:c r="M95" s="342" t="n">
        <x:f>2.5</x:f>
        <x:v>2.5</x:v>
      </x:c>
      <x:c r="N95" s="288" t="str">
        <x:v>Conditional coverage wheel</x:v>
      </x:c>
    </x:row>
    <x:row r="96">
      <x:c r="A96" s="295" t="n">
        <x:v>92</x:v>
      </x:c>
      <x:c r="B96" s="296" t="n">
        <x:v>4</x:v>
      </x:c>
      <x:c r="C96" s="296" t="n">
        <x:v>27</x:v>
      </x:c>
      <x:c r="D96" s="296" t="n">
        <x:v>28</x:v>
      </x:c>
      <x:c r="E96" s="296" t="n">
        <x:v>35</x:v>
      </x:c>
      <x:c r="F96" s="296" t="n">
        <x:v>42</x:v>
      </x:c>
      <x:c r="G96" s="296" t="n">
        <x:v>3</x:v>
      </x:c>
      <x:c r="H96" s="296" t="n">
        <x:v>7</x:v>
      </x:c>
      <x:c r="I96" s="296" t="n">
        <x:f>SUM(B96:F96)</x:f>
        <x:v>136</x:v>
      </x:c>
      <x:c r="J96" s="296" t="n">
        <x:f>MOD(B96,2)+MOD(C96,2)+MOD(D96,2)+MOD(E96,2)+MOD(F96,2)</x:f>
        <x:v>2</x:v>
      </x:c>
      <x:c r="K96" s="296" t="n">
        <x:f>COUNTIF(B96:F96,"&gt;31")</x:f>
        <x:v>2</x:v>
      </x:c>
      <x:c r="L96" s="336" t="n">
        <x:f>1/'Executive Summary'!$B$24</x:f>
        <x:v>7.1511238420185165e-9</x:v>
      </x:c>
      <x:c r="M96" s="342" t="n">
        <x:f>2.5</x:f>
        <x:v>2.5</x:v>
      </x:c>
      <x:c r="N96" s="288" t="str">
        <x:v>Conditional coverage wheel</x:v>
      </x:c>
    </x:row>
    <x:row r="97">
      <x:c r="A97" s="295" t="n">
        <x:v>93</x:v>
      </x:c>
      <x:c r="B97" s="296" t="n">
        <x:v>4</x:v>
      </x:c>
      <x:c r="C97" s="296" t="n">
        <x:v>27</x:v>
      </x:c>
      <x:c r="D97" s="296" t="n">
        <x:v>28</x:v>
      </x:c>
      <x:c r="E97" s="296" t="n">
        <x:v>35</x:v>
      </x:c>
      <x:c r="F97" s="296" t="n">
        <x:v>42</x:v>
      </x:c>
      <x:c r="G97" s="296" t="n">
        <x:v>3</x:v>
      </x:c>
      <x:c r="H97" s="296" t="n">
        <x:v>9</x:v>
      </x:c>
      <x:c r="I97" s="296" t="n">
        <x:f>SUM(B97:F97)</x:f>
        <x:v>136</x:v>
      </x:c>
      <x:c r="J97" s="296" t="n">
        <x:f>MOD(B97,2)+MOD(C97,2)+MOD(D97,2)+MOD(E97,2)+MOD(F97,2)</x:f>
        <x:v>2</x:v>
      </x:c>
      <x:c r="K97" s="296" t="n">
        <x:f>COUNTIF(B97:F97,"&gt;31")</x:f>
        <x:v>2</x:v>
      </x:c>
      <x:c r="L97" s="336" t="n">
        <x:f>1/'Executive Summary'!$B$24</x:f>
        <x:v>7.1511238420185165e-9</x:v>
      </x:c>
      <x:c r="M97" s="342" t="n">
        <x:f>2.5</x:f>
        <x:v>2.5</x:v>
      </x:c>
      <x:c r="N97" s="288" t="str">
        <x:v>Conditional coverage wheel</x:v>
      </x:c>
    </x:row>
    <x:row r="98">
      <x:c r="A98" s="295" t="n">
        <x:v>94</x:v>
      </x:c>
      <x:c r="B98" s="296" t="n">
        <x:v>4</x:v>
      </x:c>
      <x:c r="C98" s="296" t="n">
        <x:v>27</x:v>
      </x:c>
      <x:c r="D98" s="296" t="n">
        <x:v>28</x:v>
      </x:c>
      <x:c r="E98" s="296" t="n">
        <x:v>35</x:v>
      </x:c>
      <x:c r="F98" s="296" t="n">
        <x:v>42</x:v>
      </x:c>
      <x:c r="G98" s="296" t="n">
        <x:v>5</x:v>
      </x:c>
      <x:c r="H98" s="296" t="n">
        <x:v>7</x:v>
      </x:c>
      <x:c r="I98" s="296" t="n">
        <x:f>SUM(B98:F98)</x:f>
        <x:v>136</x:v>
      </x:c>
      <x:c r="J98" s="296" t="n">
        <x:f>MOD(B98,2)+MOD(C98,2)+MOD(D98,2)+MOD(E98,2)+MOD(F98,2)</x:f>
        <x:v>2</x:v>
      </x:c>
      <x:c r="K98" s="296" t="n">
        <x:f>COUNTIF(B98:F98,"&gt;31")</x:f>
        <x:v>2</x:v>
      </x:c>
      <x:c r="L98" s="336" t="n">
        <x:f>1/'Executive Summary'!$B$24</x:f>
        <x:v>7.1511238420185165e-9</x:v>
      </x:c>
      <x:c r="M98" s="342" t="n">
        <x:f>2.5</x:f>
        <x:v>2.5</x:v>
      </x:c>
      <x:c r="N98" s="288" t="str">
        <x:v>Conditional coverage wheel</x:v>
      </x:c>
    </x:row>
    <x:row r="99">
      <x:c r="A99" s="295" t="n">
        <x:v>95</x:v>
      </x:c>
      <x:c r="B99" s="296" t="n">
        <x:v>4</x:v>
      </x:c>
      <x:c r="C99" s="296" t="n">
        <x:v>27</x:v>
      </x:c>
      <x:c r="D99" s="296" t="n">
        <x:v>28</x:v>
      </x:c>
      <x:c r="E99" s="296" t="n">
        <x:v>35</x:v>
      </x:c>
      <x:c r="F99" s="296" t="n">
        <x:v>42</x:v>
      </x:c>
      <x:c r="G99" s="296" t="n">
        <x:v>5</x:v>
      </x:c>
      <x:c r="H99" s="296" t="n">
        <x:v>9</x:v>
      </x:c>
      <x:c r="I99" s="296" t="n">
        <x:f>SUM(B99:F99)</x:f>
        <x:v>136</x:v>
      </x:c>
      <x:c r="J99" s="296" t="n">
        <x:f>MOD(B99,2)+MOD(C99,2)+MOD(D99,2)+MOD(E99,2)+MOD(F99,2)</x:f>
        <x:v>2</x:v>
      </x:c>
      <x:c r="K99" s="296" t="n">
        <x:f>COUNTIF(B99:F99,"&gt;31")</x:f>
        <x:v>2</x:v>
      </x:c>
      <x:c r="L99" s="336" t="n">
        <x:f>1/'Executive Summary'!$B$24</x:f>
        <x:v>7.1511238420185165e-9</x:v>
      </x:c>
      <x:c r="M99" s="342" t="n">
        <x:f>2.5</x:f>
        <x:v>2.5</x:v>
      </x:c>
      <x:c r="N99" s="288" t="str">
        <x:v>Conditional coverage wheel</x:v>
      </x:c>
    </x:row>
    <x:row r="100">
      <x:c r="A100" s="295" t="n">
        <x:v>96</x:v>
      </x:c>
      <x:c r="B100" s="296" t="n">
        <x:v>4</x:v>
      </x:c>
      <x:c r="C100" s="296" t="n">
        <x:v>27</x:v>
      </x:c>
      <x:c r="D100" s="296" t="n">
        <x:v>28</x:v>
      </x:c>
      <x:c r="E100" s="296" t="n">
        <x:v>35</x:v>
      </x:c>
      <x:c r="F100" s="296" t="n">
        <x:v>42</x:v>
      </x:c>
      <x:c r="G100" s="296" t="n">
        <x:v>7</x:v>
      </x:c>
      <x:c r="H100" s="296" t="n">
        <x:v>9</x:v>
      </x:c>
      <x:c r="I100" s="296" t="n">
        <x:f>SUM(B100:F100)</x:f>
        <x:v>136</x:v>
      </x:c>
      <x:c r="J100" s="296" t="n">
        <x:f>MOD(B100,2)+MOD(C100,2)+MOD(D100,2)+MOD(E100,2)+MOD(F100,2)</x:f>
        <x:v>2</x:v>
      </x:c>
      <x:c r="K100" s="296" t="n">
        <x:f>COUNTIF(B100:F100,"&gt;31")</x:f>
        <x:v>2</x:v>
      </x:c>
      <x:c r="L100" s="336" t="n">
        <x:f>1/'Executive Summary'!$B$24</x:f>
        <x:v>7.1511238420185165e-9</x:v>
      </x:c>
      <x:c r="M100" s="342" t="n">
        <x:f>2.5</x:f>
        <x:v>2.5</x:v>
      </x:c>
      <x:c r="N100" s="288" t="str">
        <x:v>Conditional coverage wheel</x:v>
      </x:c>
    </x:row>
    <x:row r="101">
      <x:c r="A101" s="295" t="n">
        <x:v>97</x:v>
      </x:c>
      <x:c r="B101" s="296" t="n">
        <x:v>21</x:v>
      </x:c>
      <x:c r="C101" s="296" t="n">
        <x:v>25</x:v>
      </x:c>
      <x:c r="D101" s="296" t="n">
        <x:v>35</x:v>
      </x:c>
      <x:c r="E101" s="296" t="n">
        <x:v>37</x:v>
      </x:c>
      <x:c r="F101" s="296" t="n">
        <x:v>48</x:v>
      </x:c>
      <x:c r="G101" s="296" t="n">
        <x:v>3</x:v>
      </x:c>
      <x:c r="H101" s="296" t="n">
        <x:v>5</x:v>
      </x:c>
      <x:c r="I101" s="296" t="n">
        <x:f>SUM(B101:F101)</x:f>
        <x:v>166</x:v>
      </x:c>
      <x:c r="J101" s="296" t="n">
        <x:f>MOD(B101,2)+MOD(C101,2)+MOD(D101,2)+MOD(E101,2)+MOD(F101,2)</x:f>
        <x:v>4</x:v>
      </x:c>
      <x:c r="K101" s="296" t="n">
        <x:f>COUNTIF(B101:F101,"&gt;31")</x:f>
        <x:v>3</x:v>
      </x:c>
      <x:c r="L101" s="336" t="n">
        <x:f>1/'Executive Summary'!$B$24</x:f>
        <x:v>7.1511238420185165e-9</x:v>
      </x:c>
      <x:c r="M101" s="342" t="n">
        <x:f>2.5</x:f>
        <x:v>2.5</x:v>
      </x:c>
      <x:c r="N101" s="288" t="str">
        <x:v>Conditional coverage wheel</x:v>
      </x:c>
    </x:row>
    <x:row r="102">
      <x:c r="A102" s="295" t="n">
        <x:v>98</x:v>
      </x:c>
      <x:c r="B102" s="296" t="n">
        <x:v>21</x:v>
      </x:c>
      <x:c r="C102" s="296" t="n">
        <x:v>25</x:v>
      </x:c>
      <x:c r="D102" s="296" t="n">
        <x:v>35</x:v>
      </x:c>
      <x:c r="E102" s="296" t="n">
        <x:v>37</x:v>
      </x:c>
      <x:c r="F102" s="296" t="n">
        <x:v>48</x:v>
      </x:c>
      <x:c r="G102" s="296" t="n">
        <x:v>3</x:v>
      </x:c>
      <x:c r="H102" s="296" t="n">
        <x:v>7</x:v>
      </x:c>
      <x:c r="I102" s="296" t="n">
        <x:f>SUM(B102:F102)</x:f>
        <x:v>166</x:v>
      </x:c>
      <x:c r="J102" s="296" t="n">
        <x:f>MOD(B102,2)+MOD(C102,2)+MOD(D102,2)+MOD(E102,2)+MOD(F102,2)</x:f>
        <x:v>4</x:v>
      </x:c>
      <x:c r="K102" s="296" t="n">
        <x:f>COUNTIF(B102:F102,"&gt;31")</x:f>
        <x:v>3</x:v>
      </x:c>
      <x:c r="L102" s="336" t="n">
        <x:f>1/'Executive Summary'!$B$24</x:f>
        <x:v>7.1511238420185165e-9</x:v>
      </x:c>
      <x:c r="M102" s="342" t="n">
        <x:f>2.5</x:f>
        <x:v>2.5</x:v>
      </x:c>
      <x:c r="N102" s="288" t="str">
        <x:v>Conditional coverage wheel</x:v>
      </x:c>
    </x:row>
    <x:row r="103">
      <x:c r="A103" s="295" t="n">
        <x:v>99</x:v>
      </x:c>
      <x:c r="B103" s="296" t="n">
        <x:v>21</x:v>
      </x:c>
      <x:c r="C103" s="296" t="n">
        <x:v>25</x:v>
      </x:c>
      <x:c r="D103" s="296" t="n">
        <x:v>35</x:v>
      </x:c>
      <x:c r="E103" s="296" t="n">
        <x:v>37</x:v>
      </x:c>
      <x:c r="F103" s="296" t="n">
        <x:v>48</x:v>
      </x:c>
      <x:c r="G103" s="296" t="n">
        <x:v>3</x:v>
      </x:c>
      <x:c r="H103" s="296" t="n">
        <x:v>9</x:v>
      </x:c>
      <x:c r="I103" s="296" t="n">
        <x:f>SUM(B103:F103)</x:f>
        <x:v>166</x:v>
      </x:c>
      <x:c r="J103" s="296" t="n">
        <x:f>MOD(B103,2)+MOD(C103,2)+MOD(D103,2)+MOD(E103,2)+MOD(F103,2)</x:f>
        <x:v>4</x:v>
      </x:c>
      <x:c r="K103" s="296" t="n">
        <x:f>COUNTIF(B103:F103,"&gt;31")</x:f>
        <x:v>3</x:v>
      </x:c>
      <x:c r="L103" s="336" t="n">
        <x:f>1/'Executive Summary'!$B$24</x:f>
        <x:v>7.1511238420185165e-9</x:v>
      </x:c>
      <x:c r="M103" s="342" t="n">
        <x:f>2.5</x:f>
        <x:v>2.5</x:v>
      </x:c>
      <x:c r="N103" s="288" t="str">
        <x:v>Conditional coverage wheel</x:v>
      </x:c>
    </x:row>
    <x:row r="104">
      <x:c r="A104" s="295" t="n">
        <x:v>100</x:v>
      </x:c>
      <x:c r="B104" s="296" t="n">
        <x:v>21</x:v>
      </x:c>
      <x:c r="C104" s="296" t="n">
        <x:v>25</x:v>
      </x:c>
      <x:c r="D104" s="296" t="n">
        <x:v>35</x:v>
      </x:c>
      <x:c r="E104" s="296" t="n">
        <x:v>37</x:v>
      </x:c>
      <x:c r="F104" s="296" t="n">
        <x:v>48</x:v>
      </x:c>
      <x:c r="G104" s="296" t="n">
        <x:v>5</x:v>
      </x:c>
      <x:c r="H104" s="296" t="n">
        <x:v>7</x:v>
      </x:c>
      <x:c r="I104" s="296" t="n">
        <x:f>SUM(B104:F104)</x:f>
        <x:v>166</x:v>
      </x:c>
      <x:c r="J104" s="296" t="n">
        <x:f>MOD(B104,2)+MOD(C104,2)+MOD(D104,2)+MOD(E104,2)+MOD(F104,2)</x:f>
        <x:v>4</x:v>
      </x:c>
      <x:c r="K104" s="296" t="n">
        <x:f>COUNTIF(B104:F104,"&gt;31")</x:f>
        <x:v>3</x:v>
      </x:c>
      <x:c r="L104" s="336" t="n">
        <x:f>1/'Executive Summary'!$B$24</x:f>
        <x:v>7.1511238420185165e-9</x:v>
      </x:c>
      <x:c r="M104" s="342" t="n">
        <x:f>2.5</x:f>
        <x:v>2.5</x:v>
      </x:c>
      <x:c r="N104" s="288" t="str">
        <x:v>Conditional coverage wheel</x:v>
      </x:c>
    </x:row>
    <x:row r="105">
      <x:c r="A105" s="295" t="n">
        <x:v>101</x:v>
      </x:c>
      <x:c r="B105" s="296" t="n">
        <x:v>21</x:v>
      </x:c>
      <x:c r="C105" s="296" t="n">
        <x:v>25</x:v>
      </x:c>
      <x:c r="D105" s="296" t="n">
        <x:v>35</x:v>
      </x:c>
      <x:c r="E105" s="296" t="n">
        <x:v>37</x:v>
      </x:c>
      <x:c r="F105" s="296" t="n">
        <x:v>48</x:v>
      </x:c>
      <x:c r="G105" s="296" t="n">
        <x:v>5</x:v>
      </x:c>
      <x:c r="H105" s="296" t="n">
        <x:v>9</x:v>
      </x:c>
      <x:c r="I105" s="296" t="n">
        <x:f>SUM(B105:F105)</x:f>
        <x:v>166</x:v>
      </x:c>
      <x:c r="J105" s="296" t="n">
        <x:f>MOD(B105,2)+MOD(C105,2)+MOD(D105,2)+MOD(E105,2)+MOD(F105,2)</x:f>
        <x:v>4</x:v>
      </x:c>
      <x:c r="K105" s="296" t="n">
        <x:f>COUNTIF(B105:F105,"&gt;31")</x:f>
        <x:v>3</x:v>
      </x:c>
      <x:c r="L105" s="336" t="n">
        <x:f>1/'Executive Summary'!$B$24</x:f>
        <x:v>7.1511238420185165e-9</x:v>
      </x:c>
      <x:c r="M105" s="342" t="n">
        <x:f>2.5</x:f>
        <x:v>2.5</x:v>
      </x:c>
      <x:c r="N105" s="288" t="str">
        <x:v>Conditional coverage wheel</x:v>
      </x:c>
    </x:row>
    <x:row r="106">
      <x:c r="A106" s="295" t="n">
        <x:v>102</x:v>
      </x:c>
      <x:c r="B106" s="296" t="n">
        <x:v>21</x:v>
      </x:c>
      <x:c r="C106" s="296" t="n">
        <x:v>25</x:v>
      </x:c>
      <x:c r="D106" s="296" t="n">
        <x:v>35</x:v>
      </x:c>
      <x:c r="E106" s="296" t="n">
        <x:v>37</x:v>
      </x:c>
      <x:c r="F106" s="296" t="n">
        <x:v>48</x:v>
      </x:c>
      <x:c r="G106" s="296" t="n">
        <x:v>7</x:v>
      </x:c>
      <x:c r="H106" s="296" t="n">
        <x:v>9</x:v>
      </x:c>
      <x:c r="I106" s="296" t="n">
        <x:f>SUM(B106:F106)</x:f>
        <x:v>166</x:v>
      </x:c>
      <x:c r="J106" s="296" t="n">
        <x:f>MOD(B106,2)+MOD(C106,2)+MOD(D106,2)+MOD(E106,2)+MOD(F106,2)</x:f>
        <x:v>4</x:v>
      </x:c>
      <x:c r="K106" s="296" t="n">
        <x:f>COUNTIF(B106:F106,"&gt;31")</x:f>
        <x:v>3</x:v>
      </x:c>
      <x:c r="L106" s="336" t="n">
        <x:f>1/'Executive Summary'!$B$24</x:f>
        <x:v>7.1511238420185165e-9</x:v>
      </x:c>
      <x:c r="M106" s="342" t="n">
        <x:f>2.5</x:f>
        <x:v>2.5</x:v>
      </x:c>
      <x:c r="N106" s="288" t="str">
        <x:v>Conditional coverage wheel</x:v>
      </x:c>
    </x:row>
    <x:row r="107">
      <x:c r="A107" s="295" t="n">
        <x:v>103</x:v>
      </x:c>
      <x:c r="B107" s="296" t="n">
        <x:v>28</x:v>
      </x:c>
      <x:c r="C107" s="296" t="n">
        <x:v>37</x:v>
      </x:c>
      <x:c r="D107" s="296" t="n">
        <x:v>42</x:v>
      </x:c>
      <x:c r="E107" s="296" t="n">
        <x:v>44</x:v>
      </x:c>
      <x:c r="F107" s="296" t="n">
        <x:v>48</x:v>
      </x:c>
      <x:c r="G107" s="296" t="n">
        <x:v>3</x:v>
      </x:c>
      <x:c r="H107" s="296" t="n">
        <x:v>5</x:v>
      </x:c>
      <x:c r="I107" s="296" t="n">
        <x:f>SUM(B107:F107)</x:f>
        <x:v>199</x:v>
      </x:c>
      <x:c r="J107" s="296" t="n">
        <x:f>MOD(B107,2)+MOD(C107,2)+MOD(D107,2)+MOD(E107,2)+MOD(F107,2)</x:f>
        <x:v>1</x:v>
      </x:c>
      <x:c r="K107" s="296" t="n">
        <x:f>COUNTIF(B107:F107,"&gt;31")</x:f>
        <x:v>4</x:v>
      </x:c>
      <x:c r="L107" s="336" t="n">
        <x:f>1/'Executive Summary'!$B$24</x:f>
        <x:v>7.1511238420185165e-9</x:v>
      </x:c>
      <x:c r="M107" s="342" t="n">
        <x:f>2.5</x:f>
        <x:v>2.5</x:v>
      </x:c>
      <x:c r="N107" s="288" t="str">
        <x:v>Conditional coverage wheel</x:v>
      </x:c>
    </x:row>
    <x:row r="108">
      <x:c r="A108" s="295" t="n">
        <x:v>104</x:v>
      </x:c>
      <x:c r="B108" s="296" t="n">
        <x:v>28</x:v>
      </x:c>
      <x:c r="C108" s="296" t="n">
        <x:v>37</x:v>
      </x:c>
      <x:c r="D108" s="296" t="n">
        <x:v>42</x:v>
      </x:c>
      <x:c r="E108" s="296" t="n">
        <x:v>44</x:v>
      </x:c>
      <x:c r="F108" s="296" t="n">
        <x:v>48</x:v>
      </x:c>
      <x:c r="G108" s="296" t="n">
        <x:v>3</x:v>
      </x:c>
      <x:c r="H108" s="296" t="n">
        <x:v>7</x:v>
      </x:c>
      <x:c r="I108" s="296" t="n">
        <x:f>SUM(B108:F108)</x:f>
        <x:v>199</x:v>
      </x:c>
      <x:c r="J108" s="296" t="n">
        <x:f>MOD(B108,2)+MOD(C108,2)+MOD(D108,2)+MOD(E108,2)+MOD(F108,2)</x:f>
        <x:v>1</x:v>
      </x:c>
      <x:c r="K108" s="296" t="n">
        <x:f>COUNTIF(B108:F108,"&gt;31")</x:f>
        <x:v>4</x:v>
      </x:c>
      <x:c r="L108" s="336" t="n">
        <x:f>1/'Executive Summary'!$B$24</x:f>
        <x:v>7.1511238420185165e-9</x:v>
      </x:c>
      <x:c r="M108" s="342" t="n">
        <x:f>2.5</x:f>
        <x:v>2.5</x:v>
      </x:c>
      <x:c r="N108" s="288" t="str">
        <x:v>Conditional coverage wheel</x:v>
      </x:c>
    </x:row>
    <x:row r="109">
      <x:c r="A109" s="295" t="n">
        <x:v>105</x:v>
      </x:c>
      <x:c r="B109" s="296" t="n">
        <x:v>28</x:v>
      </x:c>
      <x:c r="C109" s="296" t="n">
        <x:v>37</x:v>
      </x:c>
      <x:c r="D109" s="296" t="n">
        <x:v>42</x:v>
      </x:c>
      <x:c r="E109" s="296" t="n">
        <x:v>44</x:v>
      </x:c>
      <x:c r="F109" s="296" t="n">
        <x:v>48</x:v>
      </x:c>
      <x:c r="G109" s="296" t="n">
        <x:v>3</x:v>
      </x:c>
      <x:c r="H109" s="296" t="n">
        <x:v>9</x:v>
      </x:c>
      <x:c r="I109" s="296" t="n">
        <x:f>SUM(B109:F109)</x:f>
        <x:v>199</x:v>
      </x:c>
      <x:c r="J109" s="296" t="n">
        <x:f>MOD(B109,2)+MOD(C109,2)+MOD(D109,2)+MOD(E109,2)+MOD(F109,2)</x:f>
        <x:v>1</x:v>
      </x:c>
      <x:c r="K109" s="296" t="n">
        <x:f>COUNTIF(B109:F109,"&gt;31")</x:f>
        <x:v>4</x:v>
      </x:c>
      <x:c r="L109" s="336" t="n">
        <x:f>1/'Executive Summary'!$B$24</x:f>
        <x:v>7.1511238420185165e-9</x:v>
      </x:c>
      <x:c r="M109" s="342" t="n">
        <x:f>2.5</x:f>
        <x:v>2.5</x:v>
      </x:c>
      <x:c r="N109" s="288" t="str">
        <x:v>Conditional coverage wheel</x:v>
      </x:c>
    </x:row>
    <x:row r="110">
      <x:c r="A110" s="295" t="n">
        <x:v>106</x:v>
      </x:c>
      <x:c r="B110" s="296" t="n">
        <x:v>28</x:v>
      </x:c>
      <x:c r="C110" s="296" t="n">
        <x:v>37</x:v>
      </x:c>
      <x:c r="D110" s="296" t="n">
        <x:v>42</x:v>
      </x:c>
      <x:c r="E110" s="296" t="n">
        <x:v>44</x:v>
      </x:c>
      <x:c r="F110" s="296" t="n">
        <x:v>48</x:v>
      </x:c>
      <x:c r="G110" s="296" t="n">
        <x:v>5</x:v>
      </x:c>
      <x:c r="H110" s="296" t="n">
        <x:v>7</x:v>
      </x:c>
      <x:c r="I110" s="296" t="n">
        <x:f>SUM(B110:F110)</x:f>
        <x:v>199</x:v>
      </x:c>
      <x:c r="J110" s="296" t="n">
        <x:f>MOD(B110,2)+MOD(C110,2)+MOD(D110,2)+MOD(E110,2)+MOD(F110,2)</x:f>
        <x:v>1</x:v>
      </x:c>
      <x:c r="K110" s="296" t="n">
        <x:f>COUNTIF(B110:F110,"&gt;31")</x:f>
        <x:v>4</x:v>
      </x:c>
      <x:c r="L110" s="336" t="n">
        <x:f>1/'Executive Summary'!$B$24</x:f>
        <x:v>7.1511238420185165e-9</x:v>
      </x:c>
      <x:c r="M110" s="342" t="n">
        <x:f>2.5</x:f>
        <x:v>2.5</x:v>
      </x:c>
      <x:c r="N110" s="288" t="str">
        <x:v>Conditional coverage wheel</x:v>
      </x:c>
    </x:row>
    <x:row r="111">
      <x:c r="A111" s="295" t="n">
        <x:v>107</x:v>
      </x:c>
      <x:c r="B111" s="296" t="n">
        <x:v>28</x:v>
      </x:c>
      <x:c r="C111" s="296" t="n">
        <x:v>37</x:v>
      </x:c>
      <x:c r="D111" s="296" t="n">
        <x:v>42</x:v>
      </x:c>
      <x:c r="E111" s="296" t="n">
        <x:v>44</x:v>
      </x:c>
      <x:c r="F111" s="296" t="n">
        <x:v>48</x:v>
      </x:c>
      <x:c r="G111" s="296" t="n">
        <x:v>5</x:v>
      </x:c>
      <x:c r="H111" s="296" t="n">
        <x:v>9</x:v>
      </x:c>
      <x:c r="I111" s="296" t="n">
        <x:f>SUM(B111:F111)</x:f>
        <x:v>199</x:v>
      </x:c>
      <x:c r="J111" s="296" t="n">
        <x:f>MOD(B111,2)+MOD(C111,2)+MOD(D111,2)+MOD(E111,2)+MOD(F111,2)</x:f>
        <x:v>1</x:v>
      </x:c>
      <x:c r="K111" s="296" t="n">
        <x:f>COUNTIF(B111:F111,"&gt;31")</x:f>
        <x:v>4</x:v>
      </x:c>
      <x:c r="L111" s="336" t="n">
        <x:f>1/'Executive Summary'!$B$24</x:f>
        <x:v>7.1511238420185165e-9</x:v>
      </x:c>
      <x:c r="M111" s="342" t="n">
        <x:f>2.5</x:f>
        <x:v>2.5</x:v>
      </x:c>
      <x:c r="N111" s="288" t="str">
        <x:v>Conditional coverage wheel</x:v>
      </x:c>
    </x:row>
    <x:row r="112">
      <x:c r="A112" s="295" t="n">
        <x:v>108</x:v>
      </x:c>
      <x:c r="B112" s="296" t="n">
        <x:v>28</x:v>
      </x:c>
      <x:c r="C112" s="296" t="n">
        <x:v>37</x:v>
      </x:c>
      <x:c r="D112" s="296" t="n">
        <x:v>42</x:v>
      </x:c>
      <x:c r="E112" s="296" t="n">
        <x:v>44</x:v>
      </x:c>
      <x:c r="F112" s="296" t="n">
        <x:v>48</x:v>
      </x:c>
      <x:c r="G112" s="296" t="n">
        <x:v>7</x:v>
      </x:c>
      <x:c r="H112" s="296" t="n">
        <x:v>9</x:v>
      </x:c>
      <x:c r="I112" s="296" t="n">
        <x:f>SUM(B112:F112)</x:f>
        <x:v>199</x:v>
      </x:c>
      <x:c r="J112" s="296" t="n">
        <x:f>MOD(B112,2)+MOD(C112,2)+MOD(D112,2)+MOD(E112,2)+MOD(F112,2)</x:f>
        <x:v>1</x:v>
      </x:c>
      <x:c r="K112" s="296" t="n">
        <x:f>COUNTIF(B112:F112,"&gt;31")</x:f>
        <x:v>4</x:v>
      </x:c>
      <x:c r="L112" s="336" t="n">
        <x:f>1/'Executive Summary'!$B$24</x:f>
        <x:v>7.1511238420185165e-9</x:v>
      </x:c>
      <x:c r="M112" s="342" t="n">
        <x:f>2.5</x:f>
        <x:v>2.5</x:v>
      </x:c>
      <x:c r="N112" s="288" t="str">
        <x:v>Conditional coverage wheel</x:v>
      </x:c>
    </x:row>
    <x:row r="113">
      <x:c r="A113" s="295" t="n">
        <x:v>109</x:v>
      </x:c>
      <x:c r="B113" s="296" t="n">
        <x:v>4</x:v>
      </x:c>
      <x:c r="C113" s="296" t="n">
        <x:v>27</x:v>
      </x:c>
      <x:c r="D113" s="296" t="n">
        <x:v>36</x:v>
      </x:c>
      <x:c r="E113" s="296" t="n">
        <x:v>37</x:v>
      </x:c>
      <x:c r="F113" s="296" t="n">
        <x:v>48</x:v>
      </x:c>
      <x:c r="G113" s="296" t="n">
        <x:v>3</x:v>
      </x:c>
      <x:c r="H113" s="296" t="n">
        <x:v>5</x:v>
      </x:c>
      <x:c r="I113" s="296" t="n">
        <x:f>SUM(B113:F113)</x:f>
        <x:v>152</x:v>
      </x:c>
      <x:c r="J113" s="296" t="n">
        <x:f>MOD(B113,2)+MOD(C113,2)+MOD(D113,2)+MOD(E113,2)+MOD(F113,2)</x:f>
        <x:v>2</x:v>
      </x:c>
      <x:c r="K113" s="296" t="n">
        <x:f>COUNTIF(B113:F113,"&gt;31")</x:f>
        <x:v>3</x:v>
      </x:c>
      <x:c r="L113" s="336" t="n">
        <x:f>1/'Executive Summary'!$B$24</x:f>
        <x:v>7.1511238420185165e-9</x:v>
      </x:c>
      <x:c r="M113" s="342" t="n">
        <x:f>2.5</x:f>
        <x:v>2.5</x:v>
      </x:c>
      <x:c r="N113" s="288" t="str">
        <x:v>Conditional coverage wheel</x:v>
      </x:c>
    </x:row>
    <x:row r="114">
      <x:c r="A114" s="295" t="n">
        <x:v>110</x:v>
      </x:c>
      <x:c r="B114" s="296" t="n">
        <x:v>4</x:v>
      </x:c>
      <x:c r="C114" s="296" t="n">
        <x:v>27</x:v>
      </x:c>
      <x:c r="D114" s="296" t="n">
        <x:v>36</x:v>
      </x:c>
      <x:c r="E114" s="296" t="n">
        <x:v>37</x:v>
      </x:c>
      <x:c r="F114" s="296" t="n">
        <x:v>48</x:v>
      </x:c>
      <x:c r="G114" s="296" t="n">
        <x:v>3</x:v>
      </x:c>
      <x:c r="H114" s="296" t="n">
        <x:v>7</x:v>
      </x:c>
      <x:c r="I114" s="296" t="n">
        <x:f>SUM(B114:F114)</x:f>
        <x:v>152</x:v>
      </x:c>
      <x:c r="J114" s="296" t="n">
        <x:f>MOD(B114,2)+MOD(C114,2)+MOD(D114,2)+MOD(E114,2)+MOD(F114,2)</x:f>
        <x:v>2</x:v>
      </x:c>
      <x:c r="K114" s="296" t="n">
        <x:f>COUNTIF(B114:F114,"&gt;31")</x:f>
        <x:v>3</x:v>
      </x:c>
      <x:c r="L114" s="336" t="n">
        <x:f>1/'Executive Summary'!$B$24</x:f>
        <x:v>7.1511238420185165e-9</x:v>
      </x:c>
      <x:c r="M114" s="342" t="n">
        <x:f>2.5</x:f>
        <x:v>2.5</x:v>
      </x:c>
      <x:c r="N114" s="288" t="str">
        <x:v>Conditional coverage wheel</x:v>
      </x:c>
    </x:row>
    <x:row r="115">
      <x:c r="A115" s="295" t="n">
        <x:v>111</x:v>
      </x:c>
      <x:c r="B115" s="296" t="n">
        <x:v>4</x:v>
      </x:c>
      <x:c r="C115" s="296" t="n">
        <x:v>27</x:v>
      </x:c>
      <x:c r="D115" s="296" t="n">
        <x:v>36</x:v>
      </x:c>
      <x:c r="E115" s="296" t="n">
        <x:v>37</x:v>
      </x:c>
      <x:c r="F115" s="296" t="n">
        <x:v>48</x:v>
      </x:c>
      <x:c r="G115" s="296" t="n">
        <x:v>3</x:v>
      </x:c>
      <x:c r="H115" s="296" t="n">
        <x:v>9</x:v>
      </x:c>
      <x:c r="I115" s="296" t="n">
        <x:f>SUM(B115:F115)</x:f>
        <x:v>152</x:v>
      </x:c>
      <x:c r="J115" s="296" t="n">
        <x:f>MOD(B115,2)+MOD(C115,2)+MOD(D115,2)+MOD(E115,2)+MOD(F115,2)</x:f>
        <x:v>2</x:v>
      </x:c>
      <x:c r="K115" s="296" t="n">
        <x:f>COUNTIF(B115:F115,"&gt;31")</x:f>
        <x:v>3</x:v>
      </x:c>
      <x:c r="L115" s="336" t="n">
        <x:f>1/'Executive Summary'!$B$24</x:f>
        <x:v>7.1511238420185165e-9</x:v>
      </x:c>
      <x:c r="M115" s="342" t="n">
        <x:f>2.5</x:f>
        <x:v>2.5</x:v>
      </x:c>
      <x:c r="N115" s="288" t="str">
        <x:v>Conditional coverage wheel</x:v>
      </x:c>
    </x:row>
    <x:row r="116">
      <x:c r="A116" s="295" t="n">
        <x:v>112</x:v>
      </x:c>
      <x:c r="B116" s="296" t="n">
        <x:v>4</x:v>
      </x:c>
      <x:c r="C116" s="296" t="n">
        <x:v>27</x:v>
      </x:c>
      <x:c r="D116" s="296" t="n">
        <x:v>36</x:v>
      </x:c>
      <x:c r="E116" s="296" t="n">
        <x:v>37</x:v>
      </x:c>
      <x:c r="F116" s="296" t="n">
        <x:v>48</x:v>
      </x:c>
      <x:c r="G116" s="296" t="n">
        <x:v>5</x:v>
      </x:c>
      <x:c r="H116" s="296" t="n">
        <x:v>7</x:v>
      </x:c>
      <x:c r="I116" s="296" t="n">
        <x:f>SUM(B116:F116)</x:f>
        <x:v>152</x:v>
      </x:c>
      <x:c r="J116" s="296" t="n">
        <x:f>MOD(B116,2)+MOD(C116,2)+MOD(D116,2)+MOD(E116,2)+MOD(F116,2)</x:f>
        <x:v>2</x:v>
      </x:c>
      <x:c r="K116" s="296" t="n">
        <x:f>COUNTIF(B116:F116,"&gt;31")</x:f>
        <x:v>3</x:v>
      </x:c>
      <x:c r="L116" s="336" t="n">
        <x:f>1/'Executive Summary'!$B$24</x:f>
        <x:v>7.1511238420185165e-9</x:v>
      </x:c>
      <x:c r="M116" s="342" t="n">
        <x:f>2.5</x:f>
        <x:v>2.5</x:v>
      </x:c>
      <x:c r="N116" s="288" t="str">
        <x:v>Conditional coverage wheel</x:v>
      </x:c>
    </x:row>
    <x:row r="117">
      <x:c r="A117" s="295" t="n">
        <x:v>113</x:v>
      </x:c>
      <x:c r="B117" s="296" t="n">
        <x:v>4</x:v>
      </x:c>
      <x:c r="C117" s="296" t="n">
        <x:v>27</x:v>
      </x:c>
      <x:c r="D117" s="296" t="n">
        <x:v>36</x:v>
      </x:c>
      <x:c r="E117" s="296" t="n">
        <x:v>37</x:v>
      </x:c>
      <x:c r="F117" s="296" t="n">
        <x:v>48</x:v>
      </x:c>
      <x:c r="G117" s="296" t="n">
        <x:v>5</x:v>
      </x:c>
      <x:c r="H117" s="296" t="n">
        <x:v>9</x:v>
      </x:c>
      <x:c r="I117" s="296" t="n">
        <x:f>SUM(B117:F117)</x:f>
        <x:v>152</x:v>
      </x:c>
      <x:c r="J117" s="296" t="n">
        <x:f>MOD(B117,2)+MOD(C117,2)+MOD(D117,2)+MOD(E117,2)+MOD(F117,2)</x:f>
        <x:v>2</x:v>
      </x:c>
      <x:c r="K117" s="296" t="n">
        <x:f>COUNTIF(B117:F117,"&gt;31")</x:f>
        <x:v>3</x:v>
      </x:c>
      <x:c r="L117" s="336" t="n">
        <x:f>1/'Executive Summary'!$B$24</x:f>
        <x:v>7.1511238420185165e-9</x:v>
      </x:c>
      <x:c r="M117" s="342" t="n">
        <x:f>2.5</x:f>
        <x:v>2.5</x:v>
      </x:c>
      <x:c r="N117" s="288" t="str">
        <x:v>Conditional coverage wheel</x:v>
      </x:c>
    </x:row>
    <x:row r="118">
      <x:c r="A118" s="295" t="n">
        <x:v>114</x:v>
      </x:c>
      <x:c r="B118" s="296" t="n">
        <x:v>4</x:v>
      </x:c>
      <x:c r="C118" s="296" t="n">
        <x:v>27</x:v>
      </x:c>
      <x:c r="D118" s="296" t="n">
        <x:v>36</x:v>
      </x:c>
      <x:c r="E118" s="296" t="n">
        <x:v>37</x:v>
      </x:c>
      <x:c r="F118" s="296" t="n">
        <x:v>48</x:v>
      </x:c>
      <x:c r="G118" s="296" t="n">
        <x:v>7</x:v>
      </x:c>
      <x:c r="H118" s="296" t="n">
        <x:v>9</x:v>
      </x:c>
      <x:c r="I118" s="296" t="n">
        <x:f>SUM(B118:F118)</x:f>
        <x:v>152</x:v>
      </x:c>
      <x:c r="J118" s="296" t="n">
        <x:f>MOD(B118,2)+MOD(C118,2)+MOD(D118,2)+MOD(E118,2)+MOD(F118,2)</x:f>
        <x:v>2</x:v>
      </x:c>
      <x:c r="K118" s="296" t="n">
        <x:f>COUNTIF(B118:F118,"&gt;31")</x:f>
        <x:v>3</x:v>
      </x:c>
      <x:c r="L118" s="336" t="n">
        <x:f>1/'Executive Summary'!$B$24</x:f>
        <x:v>7.1511238420185165e-9</x:v>
      </x:c>
      <x:c r="M118" s="342" t="n">
        <x:f>2.5</x:f>
        <x:v>2.5</x:v>
      </x:c>
      <x:c r="N118" s="288" t="str">
        <x:v>Conditional coverage wheel</x:v>
      </x:c>
    </x:row>
    <x:row r="119">
      <x:c r="A119" s="295" t="n">
        <x:v>115</x:v>
      </x:c>
      <x:c r="B119" s="296" t="n">
        <x:v>21</x:v>
      </x:c>
      <x:c r="C119" s="296" t="n">
        <x:v>28</x:v>
      </x:c>
      <x:c r="D119" s="296" t="n">
        <x:v>36</x:v>
      </x:c>
      <x:c r="E119" s="296" t="n">
        <x:v>42</x:v>
      </x:c>
      <x:c r="F119" s="296" t="n">
        <x:v>50</x:v>
      </x:c>
      <x:c r="G119" s="296" t="n">
        <x:v>3</x:v>
      </x:c>
      <x:c r="H119" s="296" t="n">
        <x:v>5</x:v>
      </x:c>
      <x:c r="I119" s="296" t="n">
        <x:f>SUM(B119:F119)</x:f>
        <x:v>177</x:v>
      </x:c>
      <x:c r="J119" s="296" t="n">
        <x:f>MOD(B119,2)+MOD(C119,2)+MOD(D119,2)+MOD(E119,2)+MOD(F119,2)</x:f>
        <x:v>1</x:v>
      </x:c>
      <x:c r="K119" s="296" t="n">
        <x:f>COUNTIF(B119:F119,"&gt;31")</x:f>
        <x:v>3</x:v>
      </x:c>
      <x:c r="L119" s="336" t="n">
        <x:f>1/'Executive Summary'!$B$24</x:f>
        <x:v>7.1511238420185165e-9</x:v>
      </x:c>
      <x:c r="M119" s="342" t="n">
        <x:f>2.5</x:f>
        <x:v>2.5</x:v>
      </x:c>
      <x:c r="N119" s="288" t="str">
        <x:v>Conditional coverage wheel</x:v>
      </x:c>
    </x:row>
    <x:row r="120">
      <x:c r="A120" s="295" t="n">
        <x:v>116</x:v>
      </x:c>
      <x:c r="B120" s="296" t="n">
        <x:v>21</x:v>
      </x:c>
      <x:c r="C120" s="296" t="n">
        <x:v>28</x:v>
      </x:c>
      <x:c r="D120" s="296" t="n">
        <x:v>36</x:v>
      </x:c>
      <x:c r="E120" s="296" t="n">
        <x:v>42</x:v>
      </x:c>
      <x:c r="F120" s="296" t="n">
        <x:v>50</x:v>
      </x:c>
      <x:c r="G120" s="296" t="n">
        <x:v>3</x:v>
      </x:c>
      <x:c r="H120" s="296" t="n">
        <x:v>7</x:v>
      </x:c>
      <x:c r="I120" s="296" t="n">
        <x:f>SUM(B120:F120)</x:f>
        <x:v>177</x:v>
      </x:c>
      <x:c r="J120" s="296" t="n">
        <x:f>MOD(B120,2)+MOD(C120,2)+MOD(D120,2)+MOD(E120,2)+MOD(F120,2)</x:f>
        <x:v>1</x:v>
      </x:c>
      <x:c r="K120" s="296" t="n">
        <x:f>COUNTIF(B120:F120,"&gt;31")</x:f>
        <x:v>3</x:v>
      </x:c>
      <x:c r="L120" s="336" t="n">
        <x:f>1/'Executive Summary'!$B$24</x:f>
        <x:v>7.1511238420185165e-9</x:v>
      </x:c>
      <x:c r="M120" s="342" t="n">
        <x:f>2.5</x:f>
        <x:v>2.5</x:v>
      </x:c>
      <x:c r="N120" s="288" t="str">
        <x:v>Conditional coverage wheel</x:v>
      </x:c>
    </x:row>
    <x:row r="121">
      <x:c r="A121" s="295" t="n">
        <x:v>117</x:v>
      </x:c>
      <x:c r="B121" s="296" t="n">
        <x:v>21</x:v>
      </x:c>
      <x:c r="C121" s="296" t="n">
        <x:v>28</x:v>
      </x:c>
      <x:c r="D121" s="296" t="n">
        <x:v>36</x:v>
      </x:c>
      <x:c r="E121" s="296" t="n">
        <x:v>42</x:v>
      </x:c>
      <x:c r="F121" s="296" t="n">
        <x:v>50</x:v>
      </x:c>
      <x:c r="G121" s="296" t="n">
        <x:v>3</x:v>
      </x:c>
      <x:c r="H121" s="296" t="n">
        <x:v>9</x:v>
      </x:c>
      <x:c r="I121" s="296" t="n">
        <x:f>SUM(B121:F121)</x:f>
        <x:v>177</x:v>
      </x:c>
      <x:c r="J121" s="296" t="n">
        <x:f>MOD(B121,2)+MOD(C121,2)+MOD(D121,2)+MOD(E121,2)+MOD(F121,2)</x:f>
        <x:v>1</x:v>
      </x:c>
      <x:c r="K121" s="296" t="n">
        <x:f>COUNTIF(B121:F121,"&gt;31")</x:f>
        <x:v>3</x:v>
      </x:c>
      <x:c r="L121" s="336" t="n">
        <x:f>1/'Executive Summary'!$B$24</x:f>
        <x:v>7.1511238420185165e-9</x:v>
      </x:c>
      <x:c r="M121" s="342" t="n">
        <x:f>2.5</x:f>
        <x:v>2.5</x:v>
      </x:c>
      <x:c r="N121" s="288" t="str">
        <x:v>Conditional coverage wheel</x:v>
      </x:c>
    </x:row>
    <x:row r="122">
      <x:c r="A122" s="295" t="n">
        <x:v>118</x:v>
      </x:c>
      <x:c r="B122" s="296" t="n">
        <x:v>21</x:v>
      </x:c>
      <x:c r="C122" s="296" t="n">
        <x:v>28</x:v>
      </x:c>
      <x:c r="D122" s="296" t="n">
        <x:v>36</x:v>
      </x:c>
      <x:c r="E122" s="296" t="n">
        <x:v>42</x:v>
      </x:c>
      <x:c r="F122" s="296" t="n">
        <x:v>50</x:v>
      </x:c>
      <x:c r="G122" s="296" t="n">
        <x:v>5</x:v>
      </x:c>
      <x:c r="H122" s="296" t="n">
        <x:v>7</x:v>
      </x:c>
      <x:c r="I122" s="296" t="n">
        <x:f>SUM(B122:F122)</x:f>
        <x:v>177</x:v>
      </x:c>
      <x:c r="J122" s="296" t="n">
        <x:f>MOD(B122,2)+MOD(C122,2)+MOD(D122,2)+MOD(E122,2)+MOD(F122,2)</x:f>
        <x:v>1</x:v>
      </x:c>
      <x:c r="K122" s="296" t="n">
        <x:f>COUNTIF(B122:F122,"&gt;31")</x:f>
        <x:v>3</x:v>
      </x:c>
      <x:c r="L122" s="336" t="n">
        <x:f>1/'Executive Summary'!$B$24</x:f>
        <x:v>7.1511238420185165e-9</x:v>
      </x:c>
      <x:c r="M122" s="342" t="n">
        <x:f>2.5</x:f>
        <x:v>2.5</x:v>
      </x:c>
      <x:c r="N122" s="288" t="str">
        <x:v>Conditional coverage wheel</x:v>
      </x:c>
    </x:row>
    <x:row r="123">
      <x:c r="A123" s="295" t="n">
        <x:v>119</x:v>
      </x:c>
      <x:c r="B123" s="296" t="n">
        <x:v>21</x:v>
      </x:c>
      <x:c r="C123" s="296" t="n">
        <x:v>28</x:v>
      </x:c>
      <x:c r="D123" s="296" t="n">
        <x:v>36</x:v>
      </x:c>
      <x:c r="E123" s="296" t="n">
        <x:v>42</x:v>
      </x:c>
      <x:c r="F123" s="296" t="n">
        <x:v>50</x:v>
      </x:c>
      <x:c r="G123" s="296" t="n">
        <x:v>5</x:v>
      </x:c>
      <x:c r="H123" s="296" t="n">
        <x:v>9</x:v>
      </x:c>
      <x:c r="I123" s="296" t="n">
        <x:f>SUM(B123:F123)</x:f>
        <x:v>177</x:v>
      </x:c>
      <x:c r="J123" s="296" t="n">
        <x:f>MOD(B123,2)+MOD(C123,2)+MOD(D123,2)+MOD(E123,2)+MOD(F123,2)</x:f>
        <x:v>1</x:v>
      </x:c>
      <x:c r="K123" s="296" t="n">
        <x:f>COUNTIF(B123:F123,"&gt;31")</x:f>
        <x:v>3</x:v>
      </x:c>
      <x:c r="L123" s="336" t="n">
        <x:f>1/'Executive Summary'!$B$24</x:f>
        <x:v>7.1511238420185165e-9</x:v>
      </x:c>
      <x:c r="M123" s="342" t="n">
        <x:f>2.5</x:f>
        <x:v>2.5</x:v>
      </x:c>
      <x:c r="N123" s="288" t="str">
        <x:v>Conditional coverage wheel</x:v>
      </x:c>
    </x:row>
    <x:row r="124">
      <x:c r="A124" s="295" t="n">
        <x:v>120</x:v>
      </x:c>
      <x:c r="B124" s="296" t="n">
        <x:v>21</x:v>
      </x:c>
      <x:c r="C124" s="296" t="n">
        <x:v>28</x:v>
      </x:c>
      <x:c r="D124" s="296" t="n">
        <x:v>36</x:v>
      </x:c>
      <x:c r="E124" s="296" t="n">
        <x:v>42</x:v>
      </x:c>
      <x:c r="F124" s="296" t="n">
        <x:v>50</x:v>
      </x:c>
      <x:c r="G124" s="296" t="n">
        <x:v>7</x:v>
      </x:c>
      <x:c r="H124" s="296" t="n">
        <x:v>9</x:v>
      </x:c>
      <x:c r="I124" s="296" t="n">
        <x:f>SUM(B124:F124)</x:f>
        <x:v>177</x:v>
      </x:c>
      <x:c r="J124" s="296" t="n">
        <x:f>MOD(B124,2)+MOD(C124,2)+MOD(D124,2)+MOD(E124,2)+MOD(F124,2)</x:f>
        <x:v>1</x:v>
      </x:c>
      <x:c r="K124" s="296" t="n">
        <x:f>COUNTIF(B124:F124,"&gt;31")</x:f>
        <x:v>3</x:v>
      </x:c>
      <x:c r="L124" s="336" t="n">
        <x:f>1/'Executive Summary'!$B$24</x:f>
        <x:v>7.1511238420185165e-9</x:v>
      </x:c>
      <x:c r="M124" s="342" t="n">
        <x:f>2.5</x:f>
        <x:v>2.5</x:v>
      </x:c>
      <x:c r="N124" s="288" t="str">
        <x:v>Conditional coverage wheel</x:v>
      </x:c>
    </x:row>
    <x:row r="125">
      <x:c r="A125" s="295" t="n">
        <x:v>121</x:v>
      </x:c>
      <x:c r="B125" s="296" t="n">
        <x:v>4</x:v>
      </x:c>
      <x:c r="C125" s="296" t="n">
        <x:v>25</x:v>
      </x:c>
      <x:c r="D125" s="296" t="n">
        <x:v>37</x:v>
      </x:c>
      <x:c r="E125" s="296" t="n">
        <x:v>44</x:v>
      </x:c>
      <x:c r="F125" s="296" t="n">
        <x:v>50</x:v>
      </x:c>
      <x:c r="G125" s="296" t="n">
        <x:v>3</x:v>
      </x:c>
      <x:c r="H125" s="296" t="n">
        <x:v>5</x:v>
      </x:c>
      <x:c r="I125" s="296" t="n">
        <x:f>SUM(B125:F125)</x:f>
        <x:v>160</x:v>
      </x:c>
      <x:c r="J125" s="296" t="n">
        <x:f>MOD(B125,2)+MOD(C125,2)+MOD(D125,2)+MOD(E125,2)+MOD(F125,2)</x:f>
        <x:v>2</x:v>
      </x:c>
      <x:c r="K125" s="296" t="n">
        <x:f>COUNTIF(B125:F125,"&gt;31")</x:f>
        <x:v>3</x:v>
      </x:c>
      <x:c r="L125" s="336" t="n">
        <x:f>1/'Executive Summary'!$B$24</x:f>
        <x:v>7.1511238420185165e-9</x:v>
      </x:c>
      <x:c r="M125" s="342" t="n">
        <x:f>2.5</x:f>
        <x:v>2.5</x:v>
      </x:c>
      <x:c r="N125" s="288" t="str">
        <x:v>Conditional coverage wheel</x:v>
      </x:c>
    </x:row>
    <x:row r="126">
      <x:c r="A126" s="295" t="n">
        <x:v>122</x:v>
      </x:c>
      <x:c r="B126" s="296" t="n">
        <x:v>4</x:v>
      </x:c>
      <x:c r="C126" s="296" t="n">
        <x:v>25</x:v>
      </x:c>
      <x:c r="D126" s="296" t="n">
        <x:v>37</x:v>
      </x:c>
      <x:c r="E126" s="296" t="n">
        <x:v>44</x:v>
      </x:c>
      <x:c r="F126" s="296" t="n">
        <x:v>50</x:v>
      </x:c>
      <x:c r="G126" s="296" t="n">
        <x:v>3</x:v>
      </x:c>
      <x:c r="H126" s="296" t="n">
        <x:v>7</x:v>
      </x:c>
      <x:c r="I126" s="296" t="n">
        <x:f>SUM(B126:F126)</x:f>
        <x:v>160</x:v>
      </x:c>
      <x:c r="J126" s="296" t="n">
        <x:f>MOD(B126,2)+MOD(C126,2)+MOD(D126,2)+MOD(E126,2)+MOD(F126,2)</x:f>
        <x:v>2</x:v>
      </x:c>
      <x:c r="K126" s="296" t="n">
        <x:f>COUNTIF(B126:F126,"&gt;31")</x:f>
        <x:v>3</x:v>
      </x:c>
      <x:c r="L126" s="336" t="n">
        <x:f>1/'Executive Summary'!$B$24</x:f>
        <x:v>7.1511238420185165e-9</x:v>
      </x:c>
      <x:c r="M126" s="342" t="n">
        <x:f>2.5</x:f>
        <x:v>2.5</x:v>
      </x:c>
      <x:c r="N126" s="288" t="str">
        <x:v>Conditional coverage wheel</x:v>
      </x:c>
    </x:row>
    <x:row r="127">
      <x:c r="A127" s="295" t="n">
        <x:v>123</x:v>
      </x:c>
      <x:c r="B127" s="296" t="n">
        <x:v>4</x:v>
      </x:c>
      <x:c r="C127" s="296" t="n">
        <x:v>25</x:v>
      </x:c>
      <x:c r="D127" s="296" t="n">
        <x:v>37</x:v>
      </x:c>
      <x:c r="E127" s="296" t="n">
        <x:v>44</x:v>
      </x:c>
      <x:c r="F127" s="296" t="n">
        <x:v>50</x:v>
      </x:c>
      <x:c r="G127" s="296" t="n">
        <x:v>3</x:v>
      </x:c>
      <x:c r="H127" s="296" t="n">
        <x:v>9</x:v>
      </x:c>
      <x:c r="I127" s="296" t="n">
        <x:f>SUM(B127:F127)</x:f>
        <x:v>160</x:v>
      </x:c>
      <x:c r="J127" s="296" t="n">
        <x:f>MOD(B127,2)+MOD(C127,2)+MOD(D127,2)+MOD(E127,2)+MOD(F127,2)</x:f>
        <x:v>2</x:v>
      </x:c>
      <x:c r="K127" s="296" t="n">
        <x:f>COUNTIF(B127:F127,"&gt;31")</x:f>
        <x:v>3</x:v>
      </x:c>
      <x:c r="L127" s="336" t="n">
        <x:f>1/'Executive Summary'!$B$24</x:f>
        <x:v>7.1511238420185165e-9</x:v>
      </x:c>
      <x:c r="M127" s="342" t="n">
        <x:f>2.5</x:f>
        <x:v>2.5</x:v>
      </x:c>
      <x:c r="N127" s="288" t="str">
        <x:v>Conditional coverage wheel</x:v>
      </x:c>
    </x:row>
    <x:row r="128">
      <x:c r="A128" s="295" t="n">
        <x:v>124</x:v>
      </x:c>
      <x:c r="B128" s="296" t="n">
        <x:v>4</x:v>
      </x:c>
      <x:c r="C128" s="296" t="n">
        <x:v>25</x:v>
      </x:c>
      <x:c r="D128" s="296" t="n">
        <x:v>37</x:v>
      </x:c>
      <x:c r="E128" s="296" t="n">
        <x:v>44</x:v>
      </x:c>
      <x:c r="F128" s="296" t="n">
        <x:v>50</x:v>
      </x:c>
      <x:c r="G128" s="296" t="n">
        <x:v>5</x:v>
      </x:c>
      <x:c r="H128" s="296" t="n">
        <x:v>7</x:v>
      </x:c>
      <x:c r="I128" s="296" t="n">
        <x:f>SUM(B128:F128)</x:f>
        <x:v>160</x:v>
      </x:c>
      <x:c r="J128" s="296" t="n">
        <x:f>MOD(B128,2)+MOD(C128,2)+MOD(D128,2)+MOD(E128,2)+MOD(F128,2)</x:f>
        <x:v>2</x:v>
      </x:c>
      <x:c r="K128" s="296" t="n">
        <x:f>COUNTIF(B128:F128,"&gt;31")</x:f>
        <x:v>3</x:v>
      </x:c>
      <x:c r="L128" s="336" t="n">
        <x:f>1/'Executive Summary'!$B$24</x:f>
        <x:v>7.1511238420185165e-9</x:v>
      </x:c>
      <x:c r="M128" s="342" t="n">
        <x:f>2.5</x:f>
        <x:v>2.5</x:v>
      </x:c>
      <x:c r="N128" s="288" t="str">
        <x:v>Conditional coverage wheel</x:v>
      </x:c>
    </x:row>
    <x:row r="129">
      <x:c r="A129" s="295" t="n">
        <x:v>125</x:v>
      </x:c>
      <x:c r="B129" s="296" t="n">
        <x:v>4</x:v>
      </x:c>
      <x:c r="C129" s="296" t="n">
        <x:v>25</x:v>
      </x:c>
      <x:c r="D129" s="296" t="n">
        <x:v>37</x:v>
      </x:c>
      <x:c r="E129" s="296" t="n">
        <x:v>44</x:v>
      </x:c>
      <x:c r="F129" s="296" t="n">
        <x:v>50</x:v>
      </x:c>
      <x:c r="G129" s="296" t="n">
        <x:v>5</x:v>
      </x:c>
      <x:c r="H129" s="296" t="n">
        <x:v>9</x:v>
      </x:c>
      <x:c r="I129" s="296" t="n">
        <x:f>SUM(B129:F129)</x:f>
        <x:v>160</x:v>
      </x:c>
      <x:c r="J129" s="296" t="n">
        <x:f>MOD(B129,2)+MOD(C129,2)+MOD(D129,2)+MOD(E129,2)+MOD(F129,2)</x:f>
        <x:v>2</x:v>
      </x:c>
      <x:c r="K129" s="296" t="n">
        <x:f>COUNTIF(B129:F129,"&gt;31")</x:f>
        <x:v>3</x:v>
      </x:c>
      <x:c r="L129" s="336" t="n">
        <x:f>1/'Executive Summary'!$B$24</x:f>
        <x:v>7.1511238420185165e-9</x:v>
      </x:c>
      <x:c r="M129" s="342" t="n">
        <x:f>2.5</x:f>
        <x:v>2.5</x:v>
      </x:c>
      <x:c r="N129" s="288" t="str">
        <x:v>Conditional coverage wheel</x:v>
      </x:c>
    </x:row>
    <x:row r="130">
      <x:c r="A130" s="295" t="n">
        <x:v>126</x:v>
      </x:c>
      <x:c r="B130" s="296" t="n">
        <x:v>4</x:v>
      </x:c>
      <x:c r="C130" s="296" t="n">
        <x:v>25</x:v>
      </x:c>
      <x:c r="D130" s="296" t="n">
        <x:v>37</x:v>
      </x:c>
      <x:c r="E130" s="296" t="n">
        <x:v>44</x:v>
      </x:c>
      <x:c r="F130" s="296" t="n">
        <x:v>50</x:v>
      </x:c>
      <x:c r="G130" s="296" t="n">
        <x:v>7</x:v>
      </x:c>
      <x:c r="H130" s="296" t="n">
        <x:v>9</x:v>
      </x:c>
      <x:c r="I130" s="296" t="n">
        <x:f>SUM(B130:F130)</x:f>
        <x:v>160</x:v>
      </x:c>
      <x:c r="J130" s="296" t="n">
        <x:f>MOD(B130,2)+MOD(C130,2)+MOD(D130,2)+MOD(E130,2)+MOD(F130,2)</x:f>
        <x:v>2</x:v>
      </x:c>
      <x:c r="K130" s="296" t="n">
        <x:f>COUNTIF(B130:F130,"&gt;31")</x:f>
        <x:v>3</x:v>
      </x:c>
      <x:c r="L130" s="336" t="n">
        <x:f>1/'Executive Summary'!$B$24</x:f>
        <x:v>7.1511238420185165e-9</x:v>
      </x:c>
      <x:c r="M130" s="342" t="n">
        <x:f>2.5</x:f>
        <x:v>2.5</x:v>
      </x:c>
      <x:c r="N130" s="288" t="str">
        <x:v>Conditional coverage wheel</x:v>
      </x:c>
    </x:row>
    <x:row r="131">
      <x:c r="A131" s="295" t="n">
        <x:v>127</x:v>
      </x:c>
      <x:c r="B131" s="296" t="n">
        <x:v>21</x:v>
      </x:c>
      <x:c r="C131" s="296" t="n">
        <x:v>25</x:v>
      </x:c>
      <x:c r="D131" s="296" t="n">
        <x:v>27</x:v>
      </x:c>
      <x:c r="E131" s="296" t="n">
        <x:v>36</x:v>
      </x:c>
      <x:c r="F131" s="296" t="n">
        <x:v>44</x:v>
      </x:c>
      <x:c r="G131" s="296" t="n">
        <x:v>3</x:v>
      </x:c>
      <x:c r="H131" s="296" t="n">
        <x:v>5</x:v>
      </x:c>
      <x:c r="I131" s="296" t="n">
        <x:f>SUM(B131:F131)</x:f>
        <x:v>153</x:v>
      </x:c>
      <x:c r="J131" s="296" t="n">
        <x:f>MOD(B131,2)+MOD(C131,2)+MOD(D131,2)+MOD(E131,2)+MOD(F131,2)</x:f>
        <x:v>3</x:v>
      </x:c>
      <x:c r="K131" s="296" t="n">
        <x:f>COUNTIF(B131:F131,"&gt;31")</x:f>
        <x:v>2</x:v>
      </x:c>
      <x:c r="L131" s="336" t="n">
        <x:f>1/'Executive Summary'!$B$24</x:f>
        <x:v>7.1511238420185165e-9</x:v>
      </x:c>
      <x:c r="M131" s="342" t="n">
        <x:f>2.5</x:f>
        <x:v>2.5</x:v>
      </x:c>
      <x:c r="N131" s="288" t="str">
        <x:v>Conditional coverage wheel</x:v>
      </x:c>
    </x:row>
    <x:row r="132">
      <x:c r="A132" s="295" t="n">
        <x:v>128</x:v>
      </x:c>
      <x:c r="B132" s="296" t="n">
        <x:v>21</x:v>
      </x:c>
      <x:c r="C132" s="296" t="n">
        <x:v>25</x:v>
      </x:c>
      <x:c r="D132" s="296" t="n">
        <x:v>27</x:v>
      </x:c>
      <x:c r="E132" s="296" t="n">
        <x:v>36</x:v>
      </x:c>
      <x:c r="F132" s="296" t="n">
        <x:v>44</x:v>
      </x:c>
      <x:c r="G132" s="296" t="n">
        <x:v>3</x:v>
      </x:c>
      <x:c r="H132" s="296" t="n">
        <x:v>7</x:v>
      </x:c>
      <x:c r="I132" s="296" t="n">
        <x:f>SUM(B132:F132)</x:f>
        <x:v>153</x:v>
      </x:c>
      <x:c r="J132" s="296" t="n">
        <x:f>MOD(B132,2)+MOD(C132,2)+MOD(D132,2)+MOD(E132,2)+MOD(F132,2)</x:f>
        <x:v>3</x:v>
      </x:c>
      <x:c r="K132" s="296" t="n">
        <x:f>COUNTIF(B132:F132,"&gt;31")</x:f>
        <x:v>2</x:v>
      </x:c>
      <x:c r="L132" s="336" t="n">
        <x:f>1/'Executive Summary'!$B$24</x:f>
        <x:v>7.1511238420185165e-9</x:v>
      </x:c>
      <x:c r="M132" s="342" t="n">
        <x:f>2.5</x:f>
        <x:v>2.5</x:v>
      </x:c>
      <x:c r="N132" s="288" t="str">
        <x:v>Conditional coverage wheel</x:v>
      </x:c>
    </x:row>
    <x:row r="133">
      <x:c r="A133" s="295" t="n">
        <x:v>129</x:v>
      </x:c>
      <x:c r="B133" s="296" t="n">
        <x:v>21</x:v>
      </x:c>
      <x:c r="C133" s="296" t="n">
        <x:v>25</x:v>
      </x:c>
      <x:c r="D133" s="296" t="n">
        <x:v>27</x:v>
      </x:c>
      <x:c r="E133" s="296" t="n">
        <x:v>36</x:v>
      </x:c>
      <x:c r="F133" s="296" t="n">
        <x:v>44</x:v>
      </x:c>
      <x:c r="G133" s="296" t="n">
        <x:v>3</x:v>
      </x:c>
      <x:c r="H133" s="296" t="n">
        <x:v>9</x:v>
      </x:c>
      <x:c r="I133" s="296" t="n">
        <x:f>SUM(B133:F133)</x:f>
        <x:v>153</x:v>
      </x:c>
      <x:c r="J133" s="296" t="n">
        <x:f>MOD(B133,2)+MOD(C133,2)+MOD(D133,2)+MOD(E133,2)+MOD(F133,2)</x:f>
        <x:v>3</x:v>
      </x:c>
      <x:c r="K133" s="296" t="n">
        <x:f>COUNTIF(B133:F133,"&gt;31")</x:f>
        <x:v>2</x:v>
      </x:c>
      <x:c r="L133" s="336" t="n">
        <x:f>1/'Executive Summary'!$B$24</x:f>
        <x:v>7.1511238420185165e-9</x:v>
      </x:c>
      <x:c r="M133" s="342" t="n">
        <x:f>2.5</x:f>
        <x:v>2.5</x:v>
      </x:c>
      <x:c r="N133" s="288" t="str">
        <x:v>Conditional coverage wheel</x:v>
      </x:c>
    </x:row>
    <x:row r="134">
      <x:c r="A134" s="295" t="n">
        <x:v>130</x:v>
      </x:c>
      <x:c r="B134" s="296" t="n">
        <x:v>21</x:v>
      </x:c>
      <x:c r="C134" s="296" t="n">
        <x:v>25</x:v>
      </x:c>
      <x:c r="D134" s="296" t="n">
        <x:v>27</x:v>
      </x:c>
      <x:c r="E134" s="296" t="n">
        <x:v>36</x:v>
      </x:c>
      <x:c r="F134" s="296" t="n">
        <x:v>44</x:v>
      </x:c>
      <x:c r="G134" s="296" t="n">
        <x:v>5</x:v>
      </x:c>
      <x:c r="H134" s="296" t="n">
        <x:v>7</x:v>
      </x:c>
      <x:c r="I134" s="296" t="n">
        <x:f>SUM(B134:F134)</x:f>
        <x:v>153</x:v>
      </x:c>
      <x:c r="J134" s="296" t="n">
        <x:f>MOD(B134,2)+MOD(C134,2)+MOD(D134,2)+MOD(E134,2)+MOD(F134,2)</x:f>
        <x:v>3</x:v>
      </x:c>
      <x:c r="K134" s="296" t="n">
        <x:f>COUNTIF(B134:F134,"&gt;31")</x:f>
        <x:v>2</x:v>
      </x:c>
      <x:c r="L134" s="336" t="n">
        <x:f>1/'Executive Summary'!$B$24</x:f>
        <x:v>7.1511238420185165e-9</x:v>
      </x:c>
      <x:c r="M134" s="342" t="n">
        <x:f>2.5</x:f>
        <x:v>2.5</x:v>
      </x:c>
      <x:c r="N134" s="288" t="str">
        <x:v>Conditional coverage wheel</x:v>
      </x:c>
    </x:row>
    <x:row r="135">
      <x:c r="A135" s="295" t="n">
        <x:v>131</x:v>
      </x:c>
      <x:c r="B135" s="296" t="n">
        <x:v>21</x:v>
      </x:c>
      <x:c r="C135" s="296" t="n">
        <x:v>25</x:v>
      </x:c>
      <x:c r="D135" s="296" t="n">
        <x:v>27</x:v>
      </x:c>
      <x:c r="E135" s="296" t="n">
        <x:v>36</x:v>
      </x:c>
      <x:c r="F135" s="296" t="n">
        <x:v>44</x:v>
      </x:c>
      <x:c r="G135" s="296" t="n">
        <x:v>5</x:v>
      </x:c>
      <x:c r="H135" s="296" t="n">
        <x:v>9</x:v>
      </x:c>
      <x:c r="I135" s="296" t="n">
        <x:f>SUM(B135:F135)</x:f>
        <x:v>153</x:v>
      </x:c>
      <x:c r="J135" s="296" t="n">
        <x:f>MOD(B135,2)+MOD(C135,2)+MOD(D135,2)+MOD(E135,2)+MOD(F135,2)</x:f>
        <x:v>3</x:v>
      </x:c>
      <x:c r="K135" s="296" t="n">
        <x:f>COUNTIF(B135:F135,"&gt;31")</x:f>
        <x:v>2</x:v>
      </x:c>
      <x:c r="L135" s="336" t="n">
        <x:f>1/'Executive Summary'!$B$24</x:f>
        <x:v>7.1511238420185165e-9</x:v>
      </x:c>
      <x:c r="M135" s="342" t="n">
        <x:f>2.5</x:f>
        <x:v>2.5</x:v>
      </x:c>
      <x:c r="N135" s="288" t="str">
        <x:v>Conditional coverage wheel</x:v>
      </x:c>
    </x:row>
    <x:row r="136">
      <x:c r="A136" s="295" t="n">
        <x:v>132</x:v>
      </x:c>
      <x:c r="B136" s="296" t="n">
        <x:v>21</x:v>
      </x:c>
      <x:c r="C136" s="296" t="n">
        <x:v>25</x:v>
      </x:c>
      <x:c r="D136" s="296" t="n">
        <x:v>27</x:v>
      </x:c>
      <x:c r="E136" s="296" t="n">
        <x:v>36</x:v>
      </x:c>
      <x:c r="F136" s="296" t="n">
        <x:v>44</x:v>
      </x:c>
      <x:c r="G136" s="296" t="n">
        <x:v>7</x:v>
      </x:c>
      <x:c r="H136" s="296" t="n">
        <x:v>9</x:v>
      </x:c>
      <x:c r="I136" s="296" t="n">
        <x:f>SUM(B136:F136)</x:f>
        <x:v>153</x:v>
      </x:c>
      <x:c r="J136" s="296" t="n">
        <x:f>MOD(B136,2)+MOD(C136,2)+MOD(D136,2)+MOD(E136,2)+MOD(F136,2)</x:f>
        <x:v>3</x:v>
      </x:c>
      <x:c r="K136" s="296" t="n">
        <x:f>COUNTIF(B136:F136,"&gt;31")</x:f>
        <x:v>2</x:v>
      </x:c>
      <x:c r="L136" s="336" t="n">
        <x:f>1/'Executive Summary'!$B$24</x:f>
        <x:v>7.1511238420185165e-9</x:v>
      </x:c>
      <x:c r="M136" s="342" t="n">
        <x:f>2.5</x:f>
        <x:v>2.5</x:v>
      </x:c>
      <x:c r="N136" s="288" t="str">
        <x:v>Conditional coverage wheel</x:v>
      </x:c>
    </x:row>
    <x:row r="137">
      <x:c r="A137" s="295" t="n">
        <x:v>133</x:v>
      </x:c>
      <x:c r="B137" s="296" t="n">
        <x:v>21</x:v>
      </x:c>
      <x:c r="C137" s="296" t="n">
        <x:v>27</x:v>
      </x:c>
      <x:c r="D137" s="296" t="n">
        <x:v>35</x:v>
      </x:c>
      <x:c r="E137" s="296" t="n">
        <x:v>48</x:v>
      </x:c>
      <x:c r="F137" s="296" t="n">
        <x:v>50</x:v>
      </x:c>
      <x:c r="G137" s="296" t="n">
        <x:v>3</x:v>
      </x:c>
      <x:c r="H137" s="296" t="n">
        <x:v>5</x:v>
      </x:c>
      <x:c r="I137" s="296" t="n">
        <x:f>SUM(B137:F137)</x:f>
        <x:v>181</x:v>
      </x:c>
      <x:c r="J137" s="296" t="n">
        <x:f>MOD(B137,2)+MOD(C137,2)+MOD(D137,2)+MOD(E137,2)+MOD(F137,2)</x:f>
        <x:v>3</x:v>
      </x:c>
      <x:c r="K137" s="296" t="n">
        <x:f>COUNTIF(B137:F137,"&gt;31")</x:f>
        <x:v>3</x:v>
      </x:c>
      <x:c r="L137" s="336" t="n">
        <x:f>1/'Executive Summary'!$B$24</x:f>
        <x:v>7.1511238420185165e-9</x:v>
      </x:c>
      <x:c r="M137" s="342" t="n">
        <x:f>2.5</x:f>
        <x:v>2.5</x:v>
      </x:c>
      <x:c r="N137" s="288" t="str">
        <x:v>Conditional coverage wheel</x:v>
      </x:c>
    </x:row>
    <x:row r="138">
      <x:c r="A138" s="295" t="n">
        <x:v>134</x:v>
      </x:c>
      <x:c r="B138" s="296" t="n">
        <x:v>21</x:v>
      </x:c>
      <x:c r="C138" s="296" t="n">
        <x:v>27</x:v>
      </x:c>
      <x:c r="D138" s="296" t="n">
        <x:v>35</x:v>
      </x:c>
      <x:c r="E138" s="296" t="n">
        <x:v>48</x:v>
      </x:c>
      <x:c r="F138" s="296" t="n">
        <x:v>50</x:v>
      </x:c>
      <x:c r="G138" s="296" t="n">
        <x:v>3</x:v>
      </x:c>
      <x:c r="H138" s="296" t="n">
        <x:v>7</x:v>
      </x:c>
      <x:c r="I138" s="296" t="n">
        <x:f>SUM(B138:F138)</x:f>
        <x:v>181</x:v>
      </x:c>
      <x:c r="J138" s="296" t="n">
        <x:f>MOD(B138,2)+MOD(C138,2)+MOD(D138,2)+MOD(E138,2)+MOD(F138,2)</x:f>
        <x:v>3</x:v>
      </x:c>
      <x:c r="K138" s="296" t="n">
        <x:f>COUNTIF(B138:F138,"&gt;31")</x:f>
        <x:v>3</x:v>
      </x:c>
      <x:c r="L138" s="336" t="n">
        <x:f>1/'Executive Summary'!$B$24</x:f>
        <x:v>7.1511238420185165e-9</x:v>
      </x:c>
      <x:c r="M138" s="342" t="n">
        <x:f>2.5</x:f>
        <x:v>2.5</x:v>
      </x:c>
      <x:c r="N138" s="288" t="str">
        <x:v>Conditional coverage wheel</x:v>
      </x:c>
    </x:row>
    <x:row r="139">
      <x:c r="A139" s="295" t="n">
        <x:v>135</x:v>
      </x:c>
      <x:c r="B139" s="296" t="n">
        <x:v>21</x:v>
      </x:c>
      <x:c r="C139" s="296" t="n">
        <x:v>27</x:v>
      </x:c>
      <x:c r="D139" s="296" t="n">
        <x:v>35</x:v>
      </x:c>
      <x:c r="E139" s="296" t="n">
        <x:v>48</x:v>
      </x:c>
      <x:c r="F139" s="296" t="n">
        <x:v>50</x:v>
      </x:c>
      <x:c r="G139" s="296" t="n">
        <x:v>3</x:v>
      </x:c>
      <x:c r="H139" s="296" t="n">
        <x:v>9</x:v>
      </x:c>
      <x:c r="I139" s="296" t="n">
        <x:f>SUM(B139:F139)</x:f>
        <x:v>181</x:v>
      </x:c>
      <x:c r="J139" s="296" t="n">
        <x:f>MOD(B139,2)+MOD(C139,2)+MOD(D139,2)+MOD(E139,2)+MOD(F139,2)</x:f>
        <x:v>3</x:v>
      </x:c>
      <x:c r="K139" s="296" t="n">
        <x:f>COUNTIF(B139:F139,"&gt;31")</x:f>
        <x:v>3</x:v>
      </x:c>
      <x:c r="L139" s="336" t="n">
        <x:f>1/'Executive Summary'!$B$24</x:f>
        <x:v>7.1511238420185165e-9</x:v>
      </x:c>
      <x:c r="M139" s="342" t="n">
        <x:f>2.5</x:f>
        <x:v>2.5</x:v>
      </x:c>
      <x:c r="N139" s="288" t="str">
        <x:v>Conditional coverage wheel</x:v>
      </x:c>
    </x:row>
    <x:row r="140">
      <x:c r="A140" s="295" t="n">
        <x:v>136</x:v>
      </x:c>
      <x:c r="B140" s="296" t="n">
        <x:v>21</x:v>
      </x:c>
      <x:c r="C140" s="296" t="n">
        <x:v>27</x:v>
      </x:c>
      <x:c r="D140" s="296" t="n">
        <x:v>35</x:v>
      </x:c>
      <x:c r="E140" s="296" t="n">
        <x:v>48</x:v>
      </x:c>
      <x:c r="F140" s="296" t="n">
        <x:v>50</x:v>
      </x:c>
      <x:c r="G140" s="296" t="n">
        <x:v>5</x:v>
      </x:c>
      <x:c r="H140" s="296" t="n">
        <x:v>7</x:v>
      </x:c>
      <x:c r="I140" s="296" t="n">
        <x:f>SUM(B140:F140)</x:f>
        <x:v>181</x:v>
      </x:c>
      <x:c r="J140" s="296" t="n">
        <x:f>MOD(B140,2)+MOD(C140,2)+MOD(D140,2)+MOD(E140,2)+MOD(F140,2)</x:f>
        <x:v>3</x:v>
      </x:c>
      <x:c r="K140" s="296" t="n">
        <x:f>COUNTIF(B140:F140,"&gt;31")</x:f>
        <x:v>3</x:v>
      </x:c>
      <x:c r="L140" s="336" t="n">
        <x:f>1/'Executive Summary'!$B$24</x:f>
        <x:v>7.1511238420185165e-9</x:v>
      </x:c>
      <x:c r="M140" s="342" t="n">
        <x:f>2.5</x:f>
        <x:v>2.5</x:v>
      </x:c>
      <x:c r="N140" s="288" t="str">
        <x:v>Conditional coverage wheel</x:v>
      </x:c>
    </x:row>
    <x:row r="141">
      <x:c r="A141" s="295" t="n">
        <x:v>137</x:v>
      </x:c>
      <x:c r="B141" s="296" t="n">
        <x:v>21</x:v>
      </x:c>
      <x:c r="C141" s="296" t="n">
        <x:v>27</x:v>
      </x:c>
      <x:c r="D141" s="296" t="n">
        <x:v>35</x:v>
      </x:c>
      <x:c r="E141" s="296" t="n">
        <x:v>48</x:v>
      </x:c>
      <x:c r="F141" s="296" t="n">
        <x:v>50</x:v>
      </x:c>
      <x:c r="G141" s="296" t="n">
        <x:v>5</x:v>
      </x:c>
      <x:c r="H141" s="296" t="n">
        <x:v>9</x:v>
      </x:c>
      <x:c r="I141" s="296" t="n">
        <x:f>SUM(B141:F141)</x:f>
        <x:v>181</x:v>
      </x:c>
      <x:c r="J141" s="296" t="n">
        <x:f>MOD(B141,2)+MOD(C141,2)+MOD(D141,2)+MOD(E141,2)+MOD(F141,2)</x:f>
        <x:v>3</x:v>
      </x:c>
      <x:c r="K141" s="296" t="n">
        <x:f>COUNTIF(B141:F141,"&gt;31")</x:f>
        <x:v>3</x:v>
      </x:c>
      <x:c r="L141" s="336" t="n">
        <x:f>1/'Executive Summary'!$B$24</x:f>
        <x:v>7.1511238420185165e-9</x:v>
      </x:c>
      <x:c r="M141" s="342" t="n">
        <x:f>2.5</x:f>
        <x:v>2.5</x:v>
      </x:c>
      <x:c r="N141" s="288" t="str">
        <x:v>Conditional coverage wheel</x:v>
      </x:c>
    </x:row>
    <x:row r="142">
      <x:c r="A142" s="295" t="n">
        <x:v>138</x:v>
      </x:c>
      <x:c r="B142" s="296" t="n">
        <x:v>21</x:v>
      </x:c>
      <x:c r="C142" s="296" t="n">
        <x:v>27</x:v>
      </x:c>
      <x:c r="D142" s="296" t="n">
        <x:v>35</x:v>
      </x:c>
      <x:c r="E142" s="296" t="n">
        <x:v>48</x:v>
      </x:c>
      <x:c r="F142" s="296" t="n">
        <x:v>50</x:v>
      </x:c>
      <x:c r="G142" s="296" t="n">
        <x:v>7</x:v>
      </x:c>
      <x:c r="H142" s="296" t="n">
        <x:v>9</x:v>
      </x:c>
      <x:c r="I142" s="296" t="n">
        <x:f>SUM(B142:F142)</x:f>
        <x:v>181</x:v>
      </x:c>
      <x:c r="J142" s="296" t="n">
        <x:f>MOD(B142,2)+MOD(C142,2)+MOD(D142,2)+MOD(E142,2)+MOD(F142,2)</x:f>
        <x:v>3</x:v>
      </x:c>
      <x:c r="K142" s="296" t="n">
        <x:f>COUNTIF(B142:F142,"&gt;31")</x:f>
        <x:v>3</x:v>
      </x:c>
      <x:c r="L142" s="336" t="n">
        <x:f>1/'Executive Summary'!$B$24</x:f>
        <x:v>7.1511238420185165e-9</x:v>
      </x:c>
      <x:c r="M142" s="342" t="n">
        <x:f>2.5</x:f>
        <x:v>2.5</x:v>
      </x:c>
      <x:c r="N142" s="288" t="str">
        <x:v>Conditional coverage wheel</x:v>
      </x:c>
    </x:row>
    <x:row r="143">
      <x:c r="A143" s="295" t="n">
        <x:v>139</x:v>
      </x:c>
      <x:c r="B143" s="296" t="n">
        <x:v>4</x:v>
      </x:c>
      <x:c r="C143" s="296" t="n">
        <x:v>25</x:v>
      </x:c>
      <x:c r="D143" s="296" t="n">
        <x:v>28</x:v>
      </x:c>
      <x:c r="E143" s="296" t="n">
        <x:v>35</x:v>
      </x:c>
      <x:c r="F143" s="296" t="n">
        <x:v>48</x:v>
      </x:c>
      <x:c r="G143" s="296" t="n">
        <x:v>3</x:v>
      </x:c>
      <x:c r="H143" s="296" t="n">
        <x:v>5</x:v>
      </x:c>
      <x:c r="I143" s="296" t="n">
        <x:f>SUM(B143:F143)</x:f>
        <x:v>140</x:v>
      </x:c>
      <x:c r="J143" s="296" t="n">
        <x:f>MOD(B143,2)+MOD(C143,2)+MOD(D143,2)+MOD(E143,2)+MOD(F143,2)</x:f>
        <x:v>2</x:v>
      </x:c>
      <x:c r="K143" s="296" t="n">
        <x:f>COUNTIF(B143:F143,"&gt;31")</x:f>
        <x:v>2</x:v>
      </x:c>
      <x:c r="L143" s="336" t="n">
        <x:f>1/'Executive Summary'!$B$24</x:f>
        <x:v>7.1511238420185165e-9</x:v>
      </x:c>
      <x:c r="M143" s="342" t="n">
        <x:f>2.5</x:f>
        <x:v>2.5</x:v>
      </x:c>
      <x:c r="N143" s="288" t="str">
        <x:v>Conditional coverage wheel</x:v>
      </x:c>
    </x:row>
    <x:row r="144">
      <x:c r="A144" s="295" t="n">
        <x:v>140</x:v>
      </x:c>
      <x:c r="B144" s="296" t="n">
        <x:v>4</x:v>
      </x:c>
      <x:c r="C144" s="296" t="n">
        <x:v>25</x:v>
      </x:c>
      <x:c r="D144" s="296" t="n">
        <x:v>28</x:v>
      </x:c>
      <x:c r="E144" s="296" t="n">
        <x:v>35</x:v>
      </x:c>
      <x:c r="F144" s="296" t="n">
        <x:v>48</x:v>
      </x:c>
      <x:c r="G144" s="296" t="n">
        <x:v>3</x:v>
      </x:c>
      <x:c r="H144" s="296" t="n">
        <x:v>7</x:v>
      </x:c>
      <x:c r="I144" s="296" t="n">
        <x:f>SUM(B144:F144)</x:f>
        <x:v>140</x:v>
      </x:c>
      <x:c r="J144" s="296" t="n">
        <x:f>MOD(B144,2)+MOD(C144,2)+MOD(D144,2)+MOD(E144,2)+MOD(F144,2)</x:f>
        <x:v>2</x:v>
      </x:c>
      <x:c r="K144" s="296" t="n">
        <x:f>COUNTIF(B144:F144,"&gt;31")</x:f>
        <x:v>2</x:v>
      </x:c>
      <x:c r="L144" s="336" t="n">
        <x:f>1/'Executive Summary'!$B$24</x:f>
        <x:v>7.1511238420185165e-9</x:v>
      </x:c>
      <x:c r="M144" s="342" t="n">
        <x:f>2.5</x:f>
        <x:v>2.5</x:v>
      </x:c>
      <x:c r="N144" s="288" t="str">
        <x:v>Conditional coverage wheel</x:v>
      </x:c>
    </x:row>
    <x:row r="145">
      <x:c r="A145" s="295" t="n">
        <x:v>141</x:v>
      </x:c>
      <x:c r="B145" s="296" t="n">
        <x:v>4</x:v>
      </x:c>
      <x:c r="C145" s="296" t="n">
        <x:v>25</x:v>
      </x:c>
      <x:c r="D145" s="296" t="n">
        <x:v>28</x:v>
      </x:c>
      <x:c r="E145" s="296" t="n">
        <x:v>35</x:v>
      </x:c>
      <x:c r="F145" s="296" t="n">
        <x:v>48</x:v>
      </x:c>
      <x:c r="G145" s="296" t="n">
        <x:v>3</x:v>
      </x:c>
      <x:c r="H145" s="296" t="n">
        <x:v>9</x:v>
      </x:c>
      <x:c r="I145" s="296" t="n">
        <x:f>SUM(B145:F145)</x:f>
        <x:v>140</x:v>
      </x:c>
      <x:c r="J145" s="296" t="n">
        <x:f>MOD(B145,2)+MOD(C145,2)+MOD(D145,2)+MOD(E145,2)+MOD(F145,2)</x:f>
        <x:v>2</x:v>
      </x:c>
      <x:c r="K145" s="296" t="n">
        <x:f>COUNTIF(B145:F145,"&gt;31")</x:f>
        <x:v>2</x:v>
      </x:c>
      <x:c r="L145" s="336" t="n">
        <x:f>1/'Executive Summary'!$B$24</x:f>
        <x:v>7.1511238420185165e-9</x:v>
      </x:c>
      <x:c r="M145" s="342" t="n">
        <x:f>2.5</x:f>
        <x:v>2.5</x:v>
      </x:c>
      <x:c r="N145" s="288" t="str">
        <x:v>Conditional coverage wheel</x:v>
      </x:c>
    </x:row>
    <x:row r="146">
      <x:c r="A146" s="295" t="n">
        <x:v>142</x:v>
      </x:c>
      <x:c r="B146" s="296" t="n">
        <x:v>4</x:v>
      </x:c>
      <x:c r="C146" s="296" t="n">
        <x:v>25</x:v>
      </x:c>
      <x:c r="D146" s="296" t="n">
        <x:v>28</x:v>
      </x:c>
      <x:c r="E146" s="296" t="n">
        <x:v>35</x:v>
      </x:c>
      <x:c r="F146" s="296" t="n">
        <x:v>48</x:v>
      </x:c>
      <x:c r="G146" s="296" t="n">
        <x:v>5</x:v>
      </x:c>
      <x:c r="H146" s="296" t="n">
        <x:v>7</x:v>
      </x:c>
      <x:c r="I146" s="296" t="n">
        <x:f>SUM(B146:F146)</x:f>
        <x:v>140</x:v>
      </x:c>
      <x:c r="J146" s="296" t="n">
        <x:f>MOD(B146,2)+MOD(C146,2)+MOD(D146,2)+MOD(E146,2)+MOD(F146,2)</x:f>
        <x:v>2</x:v>
      </x:c>
      <x:c r="K146" s="296" t="n">
        <x:f>COUNTIF(B146:F146,"&gt;31")</x:f>
        <x:v>2</x:v>
      </x:c>
      <x:c r="L146" s="336" t="n">
        <x:f>1/'Executive Summary'!$B$24</x:f>
        <x:v>7.1511238420185165e-9</x:v>
      </x:c>
      <x:c r="M146" s="342" t="n">
        <x:f>2.5</x:f>
        <x:v>2.5</x:v>
      </x:c>
      <x:c r="N146" s="288" t="str">
        <x:v>Conditional coverage wheel</x:v>
      </x:c>
    </x:row>
    <x:row r="147">
      <x:c r="A147" s="295" t="n">
        <x:v>143</x:v>
      </x:c>
      <x:c r="B147" s="296" t="n">
        <x:v>4</x:v>
      </x:c>
      <x:c r="C147" s="296" t="n">
        <x:v>25</x:v>
      </x:c>
      <x:c r="D147" s="296" t="n">
        <x:v>28</x:v>
      </x:c>
      <x:c r="E147" s="296" t="n">
        <x:v>35</x:v>
      </x:c>
      <x:c r="F147" s="296" t="n">
        <x:v>48</x:v>
      </x:c>
      <x:c r="G147" s="296" t="n">
        <x:v>5</x:v>
      </x:c>
      <x:c r="H147" s="296" t="n">
        <x:v>9</x:v>
      </x:c>
      <x:c r="I147" s="296" t="n">
        <x:f>SUM(B147:F147)</x:f>
        <x:v>140</x:v>
      </x:c>
      <x:c r="J147" s="296" t="n">
        <x:f>MOD(B147,2)+MOD(C147,2)+MOD(D147,2)+MOD(E147,2)+MOD(F147,2)</x:f>
        <x:v>2</x:v>
      </x:c>
      <x:c r="K147" s="296" t="n">
        <x:f>COUNTIF(B147:F147,"&gt;31")</x:f>
        <x:v>2</x:v>
      </x:c>
      <x:c r="L147" s="336" t="n">
        <x:f>1/'Executive Summary'!$B$24</x:f>
        <x:v>7.1511238420185165e-9</x:v>
      </x:c>
      <x:c r="M147" s="342" t="n">
        <x:f>2.5</x:f>
        <x:v>2.5</x:v>
      </x:c>
      <x:c r="N147" s="288" t="str">
        <x:v>Conditional coverage wheel</x:v>
      </x:c>
    </x:row>
    <x:row r="148">
      <x:c r="A148" s="295" t="n">
        <x:v>144</x:v>
      </x:c>
      <x:c r="B148" s="296" t="n">
        <x:v>4</x:v>
      </x:c>
      <x:c r="C148" s="296" t="n">
        <x:v>25</x:v>
      </x:c>
      <x:c r="D148" s="296" t="n">
        <x:v>28</x:v>
      </x:c>
      <x:c r="E148" s="296" t="n">
        <x:v>35</x:v>
      </x:c>
      <x:c r="F148" s="296" t="n">
        <x:v>48</x:v>
      </x:c>
      <x:c r="G148" s="296" t="n">
        <x:v>7</x:v>
      </x:c>
      <x:c r="H148" s="296" t="n">
        <x:v>9</x:v>
      </x:c>
      <x:c r="I148" s="296" t="n">
        <x:f>SUM(B148:F148)</x:f>
        <x:v>140</x:v>
      </x:c>
      <x:c r="J148" s="296" t="n">
        <x:f>MOD(B148,2)+MOD(C148,2)+MOD(D148,2)+MOD(E148,2)+MOD(F148,2)</x:f>
        <x:v>2</x:v>
      </x:c>
      <x:c r="K148" s="296" t="n">
        <x:f>COUNTIF(B148:F148,"&gt;31")</x:f>
        <x:v>2</x:v>
      </x:c>
      <x:c r="L148" s="336" t="n">
        <x:f>1/'Executive Summary'!$B$24</x:f>
        <x:v>7.1511238420185165e-9</x:v>
      </x:c>
      <x:c r="M148" s="342" t="n">
        <x:f>2.5</x:f>
        <x:v>2.5</x:v>
      </x:c>
      <x:c r="N148" s="288" t="str">
        <x:v>Conditional coverage wheel</x:v>
      </x:c>
    </x:row>
    <x:row r="149">
      <x:c r="A149" s="295" t="n">
        <x:v>145</x:v>
      </x:c>
      <x:c r="B149" s="296" t="n">
        <x:v>21</x:v>
      </x:c>
      <x:c r="C149" s="296" t="n">
        <x:v>27</x:v>
      </x:c>
      <x:c r="D149" s="296" t="n">
        <x:v>28</x:v>
      </x:c>
      <x:c r="E149" s="296" t="n">
        <x:v>37</x:v>
      </x:c>
      <x:c r="F149" s="296" t="n">
        <x:v>44</x:v>
      </x:c>
      <x:c r="G149" s="296" t="n">
        <x:v>3</x:v>
      </x:c>
      <x:c r="H149" s="296" t="n">
        <x:v>5</x:v>
      </x:c>
      <x:c r="I149" s="296" t="n">
        <x:f>SUM(B149:F149)</x:f>
        <x:v>157</x:v>
      </x:c>
      <x:c r="J149" s="296" t="n">
        <x:f>MOD(B149,2)+MOD(C149,2)+MOD(D149,2)+MOD(E149,2)+MOD(F149,2)</x:f>
        <x:v>3</x:v>
      </x:c>
      <x:c r="K149" s="296" t="n">
        <x:f>COUNTIF(B149:F149,"&gt;31")</x:f>
        <x:v>2</x:v>
      </x:c>
      <x:c r="L149" s="336" t="n">
        <x:f>1/'Executive Summary'!$B$24</x:f>
        <x:v>7.1511238420185165e-9</x:v>
      </x:c>
      <x:c r="M149" s="342" t="n">
        <x:f>2.5</x:f>
        <x:v>2.5</x:v>
      </x:c>
      <x:c r="N149" s="288" t="str">
        <x:v>Conditional coverage wheel</x:v>
      </x:c>
    </x:row>
    <x:row r="150">
      <x:c r="A150" s="295" t="n">
        <x:v>146</x:v>
      </x:c>
      <x:c r="B150" s="296" t="n">
        <x:v>21</x:v>
      </x:c>
      <x:c r="C150" s="296" t="n">
        <x:v>27</x:v>
      </x:c>
      <x:c r="D150" s="296" t="n">
        <x:v>28</x:v>
      </x:c>
      <x:c r="E150" s="296" t="n">
        <x:v>37</x:v>
      </x:c>
      <x:c r="F150" s="296" t="n">
        <x:v>44</x:v>
      </x:c>
      <x:c r="G150" s="296" t="n">
        <x:v>3</x:v>
      </x:c>
      <x:c r="H150" s="296" t="n">
        <x:v>7</x:v>
      </x:c>
      <x:c r="I150" s="296" t="n">
        <x:f>SUM(B150:F150)</x:f>
        <x:v>157</x:v>
      </x:c>
      <x:c r="J150" s="296" t="n">
        <x:f>MOD(B150,2)+MOD(C150,2)+MOD(D150,2)+MOD(E150,2)+MOD(F150,2)</x:f>
        <x:v>3</x:v>
      </x:c>
      <x:c r="K150" s="296" t="n">
        <x:f>COUNTIF(B150:F150,"&gt;31")</x:f>
        <x:v>2</x:v>
      </x:c>
      <x:c r="L150" s="336" t="n">
        <x:f>1/'Executive Summary'!$B$24</x:f>
        <x:v>7.1511238420185165e-9</x:v>
      </x:c>
      <x:c r="M150" s="342" t="n">
        <x:f>2.5</x:f>
        <x:v>2.5</x:v>
      </x:c>
      <x:c r="N150" s="288" t="str">
        <x:v>Conditional coverage wheel</x:v>
      </x:c>
    </x:row>
    <x:row r="151">
      <x:c r="A151" s="295" t="n">
        <x:v>147</x:v>
      </x:c>
      <x:c r="B151" s="296" t="n">
        <x:v>21</x:v>
      </x:c>
      <x:c r="C151" s="296" t="n">
        <x:v>27</x:v>
      </x:c>
      <x:c r="D151" s="296" t="n">
        <x:v>28</x:v>
      </x:c>
      <x:c r="E151" s="296" t="n">
        <x:v>37</x:v>
      </x:c>
      <x:c r="F151" s="296" t="n">
        <x:v>44</x:v>
      </x:c>
      <x:c r="G151" s="296" t="n">
        <x:v>3</x:v>
      </x:c>
      <x:c r="H151" s="296" t="n">
        <x:v>9</x:v>
      </x:c>
      <x:c r="I151" s="296" t="n">
        <x:f>SUM(B151:F151)</x:f>
        <x:v>157</x:v>
      </x:c>
      <x:c r="J151" s="296" t="n">
        <x:f>MOD(B151,2)+MOD(C151,2)+MOD(D151,2)+MOD(E151,2)+MOD(F151,2)</x:f>
        <x:v>3</x:v>
      </x:c>
      <x:c r="K151" s="296" t="n">
        <x:f>COUNTIF(B151:F151,"&gt;31")</x:f>
        <x:v>2</x:v>
      </x:c>
      <x:c r="L151" s="336" t="n">
        <x:f>1/'Executive Summary'!$B$24</x:f>
        <x:v>7.1511238420185165e-9</x:v>
      </x:c>
      <x:c r="M151" s="342" t="n">
        <x:f>2.5</x:f>
        <x:v>2.5</x:v>
      </x:c>
      <x:c r="N151" s="288" t="str">
        <x:v>Conditional coverage wheel</x:v>
      </x:c>
    </x:row>
    <x:row r="152">
      <x:c r="A152" s="295" t="n">
        <x:v>148</x:v>
      </x:c>
      <x:c r="B152" s="296" t="n">
        <x:v>21</x:v>
      </x:c>
      <x:c r="C152" s="296" t="n">
        <x:v>27</x:v>
      </x:c>
      <x:c r="D152" s="296" t="n">
        <x:v>28</x:v>
      </x:c>
      <x:c r="E152" s="296" t="n">
        <x:v>37</x:v>
      </x:c>
      <x:c r="F152" s="296" t="n">
        <x:v>44</x:v>
      </x:c>
      <x:c r="G152" s="296" t="n">
        <x:v>5</x:v>
      </x:c>
      <x:c r="H152" s="296" t="n">
        <x:v>7</x:v>
      </x:c>
      <x:c r="I152" s="296" t="n">
        <x:f>SUM(B152:F152)</x:f>
        <x:v>157</x:v>
      </x:c>
      <x:c r="J152" s="296" t="n">
        <x:f>MOD(B152,2)+MOD(C152,2)+MOD(D152,2)+MOD(E152,2)+MOD(F152,2)</x:f>
        <x:v>3</x:v>
      </x:c>
      <x:c r="K152" s="296" t="n">
        <x:f>COUNTIF(B152:F152,"&gt;31")</x:f>
        <x:v>2</x:v>
      </x:c>
      <x:c r="L152" s="336" t="n">
        <x:f>1/'Executive Summary'!$B$24</x:f>
        <x:v>7.1511238420185165e-9</x:v>
      </x:c>
      <x:c r="M152" s="342" t="n">
        <x:f>2.5</x:f>
        <x:v>2.5</x:v>
      </x:c>
      <x:c r="N152" s="288" t="str">
        <x:v>Conditional coverage wheel</x:v>
      </x:c>
    </x:row>
    <x:row r="153">
      <x:c r="A153" s="295" t="n">
        <x:v>149</x:v>
      </x:c>
      <x:c r="B153" s="296" t="n">
        <x:v>21</x:v>
      </x:c>
      <x:c r="C153" s="296" t="n">
        <x:v>27</x:v>
      </x:c>
      <x:c r="D153" s="296" t="n">
        <x:v>28</x:v>
      </x:c>
      <x:c r="E153" s="296" t="n">
        <x:v>37</x:v>
      </x:c>
      <x:c r="F153" s="296" t="n">
        <x:v>44</x:v>
      </x:c>
      <x:c r="G153" s="296" t="n">
        <x:v>5</x:v>
      </x:c>
      <x:c r="H153" s="296" t="n">
        <x:v>9</x:v>
      </x:c>
      <x:c r="I153" s="296" t="n">
        <x:f>SUM(B153:F153)</x:f>
        <x:v>157</x:v>
      </x:c>
      <x:c r="J153" s="296" t="n">
        <x:f>MOD(B153,2)+MOD(C153,2)+MOD(D153,2)+MOD(E153,2)+MOD(F153,2)</x:f>
        <x:v>3</x:v>
      </x:c>
      <x:c r="K153" s="296" t="n">
        <x:f>COUNTIF(B153:F153,"&gt;31")</x:f>
        <x:v>2</x:v>
      </x:c>
      <x:c r="L153" s="336" t="n">
        <x:f>1/'Executive Summary'!$B$24</x:f>
        <x:v>7.1511238420185165e-9</x:v>
      </x:c>
      <x:c r="M153" s="342" t="n">
        <x:f>2.5</x:f>
        <x:v>2.5</x:v>
      </x:c>
      <x:c r="N153" s="288" t="str">
        <x:v>Conditional coverage wheel</x:v>
      </x:c>
    </x:row>
    <x:row r="154">
      <x:c r="A154" s="295" t="n">
        <x:v>150</x:v>
      </x:c>
      <x:c r="B154" s="296" t="n">
        <x:v>21</x:v>
      </x:c>
      <x:c r="C154" s="296" t="n">
        <x:v>27</x:v>
      </x:c>
      <x:c r="D154" s="296" t="n">
        <x:v>28</x:v>
      </x:c>
      <x:c r="E154" s="296" t="n">
        <x:v>37</x:v>
      </x:c>
      <x:c r="F154" s="296" t="n">
        <x:v>44</x:v>
      </x:c>
      <x:c r="G154" s="296" t="n">
        <x:v>7</x:v>
      </x:c>
      <x:c r="H154" s="296" t="n">
        <x:v>9</x:v>
      </x:c>
      <x:c r="I154" s="296" t="n">
        <x:f>SUM(B154:F154)</x:f>
        <x:v>157</x:v>
      </x:c>
      <x:c r="J154" s="296" t="n">
        <x:f>MOD(B154,2)+MOD(C154,2)+MOD(D154,2)+MOD(E154,2)+MOD(F154,2)</x:f>
        <x:v>3</x:v>
      </x:c>
      <x:c r="K154" s="296" t="n">
        <x:f>COUNTIF(B154:F154,"&gt;31")</x:f>
        <x:v>2</x:v>
      </x:c>
      <x:c r="L154" s="336" t="n">
        <x:f>1/'Executive Summary'!$B$24</x:f>
        <x:v>7.1511238420185165e-9</x:v>
      </x:c>
      <x:c r="M154" s="342" t="n">
        <x:f>2.5</x:f>
        <x:v>2.5</x:v>
      </x:c>
      <x:c r="N154" s="288" t="str">
        <x:v>Conditional coverage wheel</x:v>
      </x:c>
    </x:row>
    <x:row r="155">
      <x:c r="A155" s="295" t="n">
        <x:v>151</x:v>
      </x:c>
      <x:c r="B155" s="296" t="n">
        <x:v>25</x:v>
      </x:c>
      <x:c r="C155" s="296" t="n">
        <x:v>35</x:v>
      </x:c>
      <x:c r="D155" s="296" t="n">
        <x:v>36</x:v>
      </x:c>
      <x:c r="E155" s="296" t="n">
        <x:v>37</x:v>
      </x:c>
      <x:c r="F155" s="296" t="n">
        <x:v>50</x:v>
      </x:c>
      <x:c r="G155" s="296" t="n">
        <x:v>3</x:v>
      </x:c>
      <x:c r="H155" s="296" t="n">
        <x:v>5</x:v>
      </x:c>
      <x:c r="I155" s="296" t="n">
        <x:f>SUM(B155:F155)</x:f>
        <x:v>183</x:v>
      </x:c>
      <x:c r="J155" s="296" t="n">
        <x:f>MOD(B155,2)+MOD(C155,2)+MOD(D155,2)+MOD(E155,2)+MOD(F155,2)</x:f>
        <x:v>3</x:v>
      </x:c>
      <x:c r="K155" s="296" t="n">
        <x:f>COUNTIF(B155:F155,"&gt;31")</x:f>
        <x:v>4</x:v>
      </x:c>
      <x:c r="L155" s="336" t="n">
        <x:f>1/'Executive Summary'!$B$24</x:f>
        <x:v>7.1511238420185165e-9</x:v>
      </x:c>
      <x:c r="M155" s="342" t="n">
        <x:f>2.5</x:f>
        <x:v>2.5</x:v>
      </x:c>
      <x:c r="N155" s="288" t="str">
        <x:v>Conditional coverage wheel</x:v>
      </x:c>
    </x:row>
    <x:row r="156">
      <x:c r="A156" s="295" t="n">
        <x:v>152</x:v>
      </x:c>
      <x:c r="B156" s="296" t="n">
        <x:v>25</x:v>
      </x:c>
      <x:c r="C156" s="296" t="n">
        <x:v>35</x:v>
      </x:c>
      <x:c r="D156" s="296" t="n">
        <x:v>36</x:v>
      </x:c>
      <x:c r="E156" s="296" t="n">
        <x:v>37</x:v>
      </x:c>
      <x:c r="F156" s="296" t="n">
        <x:v>50</x:v>
      </x:c>
      <x:c r="G156" s="296" t="n">
        <x:v>3</x:v>
      </x:c>
      <x:c r="H156" s="296" t="n">
        <x:v>7</x:v>
      </x:c>
      <x:c r="I156" s="296" t="n">
        <x:f>SUM(B156:F156)</x:f>
        <x:v>183</x:v>
      </x:c>
      <x:c r="J156" s="296" t="n">
        <x:f>MOD(B156,2)+MOD(C156,2)+MOD(D156,2)+MOD(E156,2)+MOD(F156,2)</x:f>
        <x:v>3</x:v>
      </x:c>
      <x:c r="K156" s="296" t="n">
        <x:f>COUNTIF(B156:F156,"&gt;31")</x:f>
        <x:v>4</x:v>
      </x:c>
      <x:c r="L156" s="336" t="n">
        <x:f>1/'Executive Summary'!$B$24</x:f>
        <x:v>7.1511238420185165e-9</x:v>
      </x:c>
      <x:c r="M156" s="342" t="n">
        <x:f>2.5</x:f>
        <x:v>2.5</x:v>
      </x:c>
      <x:c r="N156" s="288" t="str">
        <x:v>Conditional coverage wheel</x:v>
      </x:c>
    </x:row>
    <x:row r="157">
      <x:c r="A157" s="295" t="n">
        <x:v>153</x:v>
      </x:c>
      <x:c r="B157" s="296" t="n">
        <x:v>25</x:v>
      </x:c>
      <x:c r="C157" s="296" t="n">
        <x:v>35</x:v>
      </x:c>
      <x:c r="D157" s="296" t="n">
        <x:v>36</x:v>
      </x:c>
      <x:c r="E157" s="296" t="n">
        <x:v>37</x:v>
      </x:c>
      <x:c r="F157" s="296" t="n">
        <x:v>50</x:v>
      </x:c>
      <x:c r="G157" s="296" t="n">
        <x:v>3</x:v>
      </x:c>
      <x:c r="H157" s="296" t="n">
        <x:v>9</x:v>
      </x:c>
      <x:c r="I157" s="296" t="n">
        <x:f>SUM(B157:F157)</x:f>
        <x:v>183</x:v>
      </x:c>
      <x:c r="J157" s="296" t="n">
        <x:f>MOD(B157,2)+MOD(C157,2)+MOD(D157,2)+MOD(E157,2)+MOD(F157,2)</x:f>
        <x:v>3</x:v>
      </x:c>
      <x:c r="K157" s="296" t="n">
        <x:f>COUNTIF(B157:F157,"&gt;31")</x:f>
        <x:v>4</x:v>
      </x:c>
      <x:c r="L157" s="336" t="n">
        <x:f>1/'Executive Summary'!$B$24</x:f>
        <x:v>7.1511238420185165e-9</x:v>
      </x:c>
      <x:c r="M157" s="342" t="n">
        <x:f>2.5</x:f>
        <x:v>2.5</x:v>
      </x:c>
      <x:c r="N157" s="288" t="str">
        <x:v>Conditional coverage wheel</x:v>
      </x:c>
    </x:row>
    <x:row r="158">
      <x:c r="A158" s="295" t="n">
        <x:v>154</x:v>
      </x:c>
      <x:c r="B158" s="296" t="n">
        <x:v>25</x:v>
      </x:c>
      <x:c r="C158" s="296" t="n">
        <x:v>35</x:v>
      </x:c>
      <x:c r="D158" s="296" t="n">
        <x:v>36</x:v>
      </x:c>
      <x:c r="E158" s="296" t="n">
        <x:v>37</x:v>
      </x:c>
      <x:c r="F158" s="296" t="n">
        <x:v>50</x:v>
      </x:c>
      <x:c r="G158" s="296" t="n">
        <x:v>5</x:v>
      </x:c>
      <x:c r="H158" s="296" t="n">
        <x:v>7</x:v>
      </x:c>
      <x:c r="I158" s="296" t="n">
        <x:f>SUM(B158:F158)</x:f>
        <x:v>183</x:v>
      </x:c>
      <x:c r="J158" s="296" t="n">
        <x:f>MOD(B158,2)+MOD(C158,2)+MOD(D158,2)+MOD(E158,2)+MOD(F158,2)</x:f>
        <x:v>3</x:v>
      </x:c>
      <x:c r="K158" s="296" t="n">
        <x:f>COUNTIF(B158:F158,"&gt;31")</x:f>
        <x:v>4</x:v>
      </x:c>
      <x:c r="L158" s="336" t="n">
        <x:f>1/'Executive Summary'!$B$24</x:f>
        <x:v>7.1511238420185165e-9</x:v>
      </x:c>
      <x:c r="M158" s="342" t="n">
        <x:f>2.5</x:f>
        <x:v>2.5</x:v>
      </x:c>
      <x:c r="N158" s="288" t="str">
        <x:v>Conditional coverage wheel</x:v>
      </x:c>
    </x:row>
    <x:row r="159">
      <x:c r="A159" s="295" t="n">
        <x:v>155</x:v>
      </x:c>
      <x:c r="B159" s="296" t="n">
        <x:v>25</x:v>
      </x:c>
      <x:c r="C159" s="296" t="n">
        <x:v>35</x:v>
      </x:c>
      <x:c r="D159" s="296" t="n">
        <x:v>36</x:v>
      </x:c>
      <x:c r="E159" s="296" t="n">
        <x:v>37</x:v>
      </x:c>
      <x:c r="F159" s="296" t="n">
        <x:v>50</x:v>
      </x:c>
      <x:c r="G159" s="296" t="n">
        <x:v>5</x:v>
      </x:c>
      <x:c r="H159" s="296" t="n">
        <x:v>9</x:v>
      </x:c>
      <x:c r="I159" s="296" t="n">
        <x:f>SUM(B159:F159)</x:f>
        <x:v>183</x:v>
      </x:c>
      <x:c r="J159" s="296" t="n">
        <x:f>MOD(B159,2)+MOD(C159,2)+MOD(D159,2)+MOD(E159,2)+MOD(F159,2)</x:f>
        <x:v>3</x:v>
      </x:c>
      <x:c r="K159" s="296" t="n">
        <x:f>COUNTIF(B159:F159,"&gt;31")</x:f>
        <x:v>4</x:v>
      </x:c>
      <x:c r="L159" s="336" t="n">
        <x:f>1/'Executive Summary'!$B$24</x:f>
        <x:v>7.1511238420185165e-9</x:v>
      </x:c>
      <x:c r="M159" s="342" t="n">
        <x:f>2.5</x:f>
        <x:v>2.5</x:v>
      </x:c>
      <x:c r="N159" s="288" t="str">
        <x:v>Conditional coverage wheel</x:v>
      </x:c>
    </x:row>
    <x:row r="160">
      <x:c r="A160" s="295" t="n">
        <x:v>156</x:v>
      </x:c>
      <x:c r="B160" s="296" t="n">
        <x:v>25</x:v>
      </x:c>
      <x:c r="C160" s="296" t="n">
        <x:v>35</x:v>
      </x:c>
      <x:c r="D160" s="296" t="n">
        <x:v>36</x:v>
      </x:c>
      <x:c r="E160" s="296" t="n">
        <x:v>37</x:v>
      </x:c>
      <x:c r="F160" s="296" t="n">
        <x:v>50</x:v>
      </x:c>
      <x:c r="G160" s="296" t="n">
        <x:v>7</x:v>
      </x:c>
      <x:c r="H160" s="296" t="n">
        <x:v>9</x:v>
      </x:c>
      <x:c r="I160" s="296" t="n">
        <x:f>SUM(B160:F160)</x:f>
        <x:v>183</x:v>
      </x:c>
      <x:c r="J160" s="296" t="n">
        <x:f>MOD(B160,2)+MOD(C160,2)+MOD(D160,2)+MOD(E160,2)+MOD(F160,2)</x:f>
        <x:v>3</x:v>
      </x:c>
      <x:c r="K160" s="296" t="n">
        <x:f>COUNTIF(B160:F160,"&gt;31")</x:f>
        <x:v>4</x:v>
      </x:c>
      <x:c r="L160" s="336" t="n">
        <x:f>1/'Executive Summary'!$B$24</x:f>
        <x:v>7.1511238420185165e-9</x:v>
      </x:c>
      <x:c r="M160" s="342" t="n">
        <x:f>2.5</x:f>
        <x:v>2.5</x:v>
      </x:c>
      <x:c r="N160" s="288" t="str">
        <x:v>Conditional coverage wheel</x:v>
      </x:c>
    </x:row>
    <x:row r="161">
      <x:c r="A161" s="295" t="n">
        <x:v>157</x:v>
      </x:c>
      <x:c r="B161" s="296" t="n">
        <x:v>4</x:v>
      </x:c>
      <x:c r="C161" s="296" t="n">
        <x:v>21</x:v>
      </x:c>
      <x:c r="D161" s="296" t="n">
        <x:v>35</x:v>
      </x:c>
      <x:c r="E161" s="296" t="n">
        <x:v>37</x:v>
      </x:c>
      <x:c r="F161" s="296" t="n">
        <x:v>42</x:v>
      </x:c>
      <x:c r="G161" s="296" t="n">
        <x:v>3</x:v>
      </x:c>
      <x:c r="H161" s="296" t="n">
        <x:v>5</x:v>
      </x:c>
      <x:c r="I161" s="296" t="n">
        <x:f>SUM(B161:F161)</x:f>
        <x:v>139</x:v>
      </x:c>
      <x:c r="J161" s="296" t="n">
        <x:f>MOD(B161,2)+MOD(C161,2)+MOD(D161,2)+MOD(E161,2)+MOD(F161,2)</x:f>
        <x:v>3</x:v>
      </x:c>
      <x:c r="K161" s="296" t="n">
        <x:f>COUNTIF(B161:F161,"&gt;31")</x:f>
        <x:v>3</x:v>
      </x:c>
      <x:c r="L161" s="336" t="n">
        <x:f>1/'Executive Summary'!$B$24</x:f>
        <x:v>7.1511238420185165e-9</x:v>
      </x:c>
      <x:c r="M161" s="342" t="n">
        <x:f>2.5</x:f>
        <x:v>2.5</x:v>
      </x:c>
      <x:c r="N161" s="288" t="str">
        <x:v>Conditional coverage wheel</x:v>
      </x:c>
    </x:row>
    <x:row r="162">
      <x:c r="A162" s="295" t="n">
        <x:v>158</x:v>
      </x:c>
      <x:c r="B162" s="296" t="n">
        <x:v>4</x:v>
      </x:c>
      <x:c r="C162" s="296" t="n">
        <x:v>21</x:v>
      </x:c>
      <x:c r="D162" s="296" t="n">
        <x:v>35</x:v>
      </x:c>
      <x:c r="E162" s="296" t="n">
        <x:v>37</x:v>
      </x:c>
      <x:c r="F162" s="296" t="n">
        <x:v>42</x:v>
      </x:c>
      <x:c r="G162" s="296" t="n">
        <x:v>3</x:v>
      </x:c>
      <x:c r="H162" s="296" t="n">
        <x:v>7</x:v>
      </x:c>
      <x:c r="I162" s="296" t="n">
        <x:f>SUM(B162:F162)</x:f>
        <x:v>139</x:v>
      </x:c>
      <x:c r="J162" s="296" t="n">
        <x:f>MOD(B162,2)+MOD(C162,2)+MOD(D162,2)+MOD(E162,2)+MOD(F162,2)</x:f>
        <x:v>3</x:v>
      </x:c>
      <x:c r="K162" s="296" t="n">
        <x:f>COUNTIF(B162:F162,"&gt;31")</x:f>
        <x:v>3</x:v>
      </x:c>
      <x:c r="L162" s="336" t="n">
        <x:f>1/'Executive Summary'!$B$24</x:f>
        <x:v>7.1511238420185165e-9</x:v>
      </x:c>
      <x:c r="M162" s="342" t="n">
        <x:f>2.5</x:f>
        <x:v>2.5</x:v>
      </x:c>
      <x:c r="N162" s="288" t="str">
        <x:v>Conditional coverage wheel</x:v>
      </x:c>
    </x:row>
    <x:row r="163">
      <x:c r="A163" s="295" t="n">
        <x:v>159</x:v>
      </x:c>
      <x:c r="B163" s="296" t="n">
        <x:v>4</x:v>
      </x:c>
      <x:c r="C163" s="296" t="n">
        <x:v>21</x:v>
      </x:c>
      <x:c r="D163" s="296" t="n">
        <x:v>35</x:v>
      </x:c>
      <x:c r="E163" s="296" t="n">
        <x:v>37</x:v>
      </x:c>
      <x:c r="F163" s="296" t="n">
        <x:v>42</x:v>
      </x:c>
      <x:c r="G163" s="296" t="n">
        <x:v>3</x:v>
      </x:c>
      <x:c r="H163" s="296" t="n">
        <x:v>9</x:v>
      </x:c>
      <x:c r="I163" s="296" t="n">
        <x:f>SUM(B163:F163)</x:f>
        <x:v>139</x:v>
      </x:c>
      <x:c r="J163" s="296" t="n">
        <x:f>MOD(B163,2)+MOD(C163,2)+MOD(D163,2)+MOD(E163,2)+MOD(F163,2)</x:f>
        <x:v>3</x:v>
      </x:c>
      <x:c r="K163" s="296" t="n">
        <x:f>COUNTIF(B163:F163,"&gt;31")</x:f>
        <x:v>3</x:v>
      </x:c>
      <x:c r="L163" s="336" t="n">
        <x:f>1/'Executive Summary'!$B$24</x:f>
        <x:v>7.1511238420185165e-9</x:v>
      </x:c>
      <x:c r="M163" s="342" t="n">
        <x:f>2.5</x:f>
        <x:v>2.5</x:v>
      </x:c>
      <x:c r="N163" s="288" t="str">
        <x:v>Conditional coverage wheel</x:v>
      </x:c>
    </x:row>
    <x:row r="164">
      <x:c r="A164" s="295" t="n">
        <x:v>160</x:v>
      </x:c>
      <x:c r="B164" s="296" t="n">
        <x:v>4</x:v>
      </x:c>
      <x:c r="C164" s="296" t="n">
        <x:v>21</x:v>
      </x:c>
      <x:c r="D164" s="296" t="n">
        <x:v>35</x:v>
      </x:c>
      <x:c r="E164" s="296" t="n">
        <x:v>37</x:v>
      </x:c>
      <x:c r="F164" s="296" t="n">
        <x:v>42</x:v>
      </x:c>
      <x:c r="G164" s="296" t="n">
        <x:v>5</x:v>
      </x:c>
      <x:c r="H164" s="296" t="n">
        <x:v>7</x:v>
      </x:c>
      <x:c r="I164" s="296" t="n">
        <x:f>SUM(B164:F164)</x:f>
        <x:v>139</x:v>
      </x:c>
      <x:c r="J164" s="296" t="n">
        <x:f>MOD(B164,2)+MOD(C164,2)+MOD(D164,2)+MOD(E164,2)+MOD(F164,2)</x:f>
        <x:v>3</x:v>
      </x:c>
      <x:c r="K164" s="296" t="n">
        <x:f>COUNTIF(B164:F164,"&gt;31")</x:f>
        <x:v>3</x:v>
      </x:c>
      <x:c r="L164" s="336" t="n">
        <x:f>1/'Executive Summary'!$B$24</x:f>
        <x:v>7.1511238420185165e-9</x:v>
      </x:c>
      <x:c r="M164" s="342" t="n">
        <x:f>2.5</x:f>
        <x:v>2.5</x:v>
      </x:c>
      <x:c r="N164" s="288" t="str">
        <x:v>Conditional coverage wheel</x:v>
      </x:c>
    </x:row>
    <x:row r="165">
      <x:c r="A165" s="295" t="n">
        <x:v>161</x:v>
      </x:c>
      <x:c r="B165" s="296" t="n">
        <x:v>4</x:v>
      </x:c>
      <x:c r="C165" s="296" t="n">
        <x:v>21</x:v>
      </x:c>
      <x:c r="D165" s="296" t="n">
        <x:v>35</x:v>
      </x:c>
      <x:c r="E165" s="296" t="n">
        <x:v>37</x:v>
      </x:c>
      <x:c r="F165" s="296" t="n">
        <x:v>42</x:v>
      </x:c>
      <x:c r="G165" s="296" t="n">
        <x:v>5</x:v>
      </x:c>
      <x:c r="H165" s="296" t="n">
        <x:v>9</x:v>
      </x:c>
      <x:c r="I165" s="296" t="n">
        <x:f>SUM(B165:F165)</x:f>
        <x:v>139</x:v>
      </x:c>
      <x:c r="J165" s="296" t="n">
        <x:f>MOD(B165,2)+MOD(C165,2)+MOD(D165,2)+MOD(E165,2)+MOD(F165,2)</x:f>
        <x:v>3</x:v>
      </x:c>
      <x:c r="K165" s="296" t="n">
        <x:f>COUNTIF(B165:F165,"&gt;31")</x:f>
        <x:v>3</x:v>
      </x:c>
      <x:c r="L165" s="336" t="n">
        <x:f>1/'Executive Summary'!$B$24</x:f>
        <x:v>7.1511238420185165e-9</x:v>
      </x:c>
      <x:c r="M165" s="342" t="n">
        <x:f>2.5</x:f>
        <x:v>2.5</x:v>
      </x:c>
      <x:c r="N165" s="288" t="str">
        <x:v>Conditional coverage wheel</x:v>
      </x:c>
    </x:row>
    <x:row r="166">
      <x:c r="A166" s="295" t="n">
        <x:v>162</x:v>
      </x:c>
      <x:c r="B166" s="296" t="n">
        <x:v>4</x:v>
      </x:c>
      <x:c r="C166" s="296" t="n">
        <x:v>21</x:v>
      </x:c>
      <x:c r="D166" s="296" t="n">
        <x:v>35</x:v>
      </x:c>
      <x:c r="E166" s="296" t="n">
        <x:v>37</x:v>
      </x:c>
      <x:c r="F166" s="296" t="n">
        <x:v>42</x:v>
      </x:c>
      <x:c r="G166" s="296" t="n">
        <x:v>7</x:v>
      </x:c>
      <x:c r="H166" s="296" t="n">
        <x:v>9</x:v>
      </x:c>
      <x:c r="I166" s="296" t="n">
        <x:f>SUM(B166:F166)</x:f>
        <x:v>139</x:v>
      </x:c>
      <x:c r="J166" s="296" t="n">
        <x:f>MOD(B166,2)+MOD(C166,2)+MOD(D166,2)+MOD(E166,2)+MOD(F166,2)</x:f>
        <x:v>3</x:v>
      </x:c>
      <x:c r="K166" s="296" t="n">
        <x:f>COUNTIF(B166:F166,"&gt;31")</x:f>
        <x:v>3</x:v>
      </x:c>
      <x:c r="L166" s="336" t="n">
        <x:f>1/'Executive Summary'!$B$24</x:f>
        <x:v>7.1511238420185165e-9</x:v>
      </x:c>
      <x:c r="M166" s="342" t="n">
        <x:f>2.5</x:f>
        <x:v>2.5</x:v>
      </x:c>
      <x:c r="N166" s="288" t="str">
        <x:v>Conditional coverage wheel</x:v>
      </x:c>
    </x:row>
    <x:row r="167">
      <x:c r="A167" s="295" t="n">
        <x:v>163</x:v>
      </x:c>
      <x:c r="B167" s="296" t="n">
        <x:v>4</x:v>
      </x:c>
      <x:c r="C167" s="296" t="n">
        <x:v>25</x:v>
      </x:c>
      <x:c r="D167" s="296" t="n">
        <x:v>27</x:v>
      </x:c>
      <x:c r="E167" s="296" t="n">
        <x:v>28</x:v>
      </x:c>
      <x:c r="F167" s="296" t="n">
        <x:v>50</x:v>
      </x:c>
      <x:c r="G167" s="296" t="n">
        <x:v>3</x:v>
      </x:c>
      <x:c r="H167" s="296" t="n">
        <x:v>5</x:v>
      </x:c>
      <x:c r="I167" s="296" t="n">
        <x:f>SUM(B167:F167)</x:f>
        <x:v>134</x:v>
      </x:c>
      <x:c r="J167" s="296" t="n">
        <x:f>MOD(B167,2)+MOD(C167,2)+MOD(D167,2)+MOD(E167,2)+MOD(F167,2)</x:f>
        <x:v>2</x:v>
      </x:c>
      <x:c r="K167" s="296" t="n">
        <x:f>COUNTIF(B167:F167,"&gt;31")</x:f>
        <x:v>1</x:v>
      </x:c>
      <x:c r="L167" s="336" t="n">
        <x:f>1/'Executive Summary'!$B$24</x:f>
        <x:v>7.1511238420185165e-9</x:v>
      </x:c>
      <x:c r="M167" s="342" t="n">
        <x:f>2.5</x:f>
        <x:v>2.5</x:v>
      </x:c>
      <x:c r="N167" s="288" t="str">
        <x:v>Conditional coverage wheel</x:v>
      </x:c>
    </x:row>
    <x:row r="168">
      <x:c r="A168" s="295" t="n">
        <x:v>164</x:v>
      </x:c>
      <x:c r="B168" s="296" t="n">
        <x:v>4</x:v>
      </x:c>
      <x:c r="C168" s="296" t="n">
        <x:v>25</x:v>
      </x:c>
      <x:c r="D168" s="296" t="n">
        <x:v>27</x:v>
      </x:c>
      <x:c r="E168" s="296" t="n">
        <x:v>28</x:v>
      </x:c>
      <x:c r="F168" s="296" t="n">
        <x:v>50</x:v>
      </x:c>
      <x:c r="G168" s="296" t="n">
        <x:v>3</x:v>
      </x:c>
      <x:c r="H168" s="296" t="n">
        <x:v>7</x:v>
      </x:c>
      <x:c r="I168" s="296" t="n">
        <x:f>SUM(B168:F168)</x:f>
        <x:v>134</x:v>
      </x:c>
      <x:c r="J168" s="296" t="n">
        <x:f>MOD(B168,2)+MOD(C168,2)+MOD(D168,2)+MOD(E168,2)+MOD(F168,2)</x:f>
        <x:v>2</x:v>
      </x:c>
      <x:c r="K168" s="296" t="n">
        <x:f>COUNTIF(B168:F168,"&gt;31")</x:f>
        <x:v>1</x:v>
      </x:c>
      <x:c r="L168" s="336" t="n">
        <x:f>1/'Executive Summary'!$B$24</x:f>
        <x:v>7.1511238420185165e-9</x:v>
      </x:c>
      <x:c r="M168" s="342" t="n">
        <x:f>2.5</x:f>
        <x:v>2.5</x:v>
      </x:c>
      <x:c r="N168" s="288" t="str">
        <x:v>Conditional coverage wheel</x:v>
      </x:c>
    </x:row>
    <x:row r="169">
      <x:c r="A169" s="295" t="n">
        <x:v>165</x:v>
      </x:c>
      <x:c r="B169" s="296" t="n">
        <x:v>4</x:v>
      </x:c>
      <x:c r="C169" s="296" t="n">
        <x:v>25</x:v>
      </x:c>
      <x:c r="D169" s="296" t="n">
        <x:v>27</x:v>
      </x:c>
      <x:c r="E169" s="296" t="n">
        <x:v>28</x:v>
      </x:c>
      <x:c r="F169" s="296" t="n">
        <x:v>50</x:v>
      </x:c>
      <x:c r="G169" s="296" t="n">
        <x:v>3</x:v>
      </x:c>
      <x:c r="H169" s="296" t="n">
        <x:v>9</x:v>
      </x:c>
      <x:c r="I169" s="296" t="n">
        <x:f>SUM(B169:F169)</x:f>
        <x:v>134</x:v>
      </x:c>
      <x:c r="J169" s="296" t="n">
        <x:f>MOD(B169,2)+MOD(C169,2)+MOD(D169,2)+MOD(E169,2)+MOD(F169,2)</x:f>
        <x:v>2</x:v>
      </x:c>
      <x:c r="K169" s="296" t="n">
        <x:f>COUNTIF(B169:F169,"&gt;31")</x:f>
        <x:v>1</x:v>
      </x:c>
      <x:c r="L169" s="336" t="n">
        <x:f>1/'Executive Summary'!$B$24</x:f>
        <x:v>7.1511238420185165e-9</x:v>
      </x:c>
      <x:c r="M169" s="342" t="n">
        <x:f>2.5</x:f>
        <x:v>2.5</x:v>
      </x:c>
      <x:c r="N169" s="288" t="str">
        <x:v>Conditional coverage wheel</x:v>
      </x:c>
    </x:row>
    <x:row r="170">
      <x:c r="A170" s="295" t="n">
        <x:v>166</x:v>
      </x:c>
      <x:c r="B170" s="296" t="n">
        <x:v>4</x:v>
      </x:c>
      <x:c r="C170" s="296" t="n">
        <x:v>25</x:v>
      </x:c>
      <x:c r="D170" s="296" t="n">
        <x:v>27</x:v>
      </x:c>
      <x:c r="E170" s="296" t="n">
        <x:v>28</x:v>
      </x:c>
      <x:c r="F170" s="296" t="n">
        <x:v>50</x:v>
      </x:c>
      <x:c r="G170" s="296" t="n">
        <x:v>5</x:v>
      </x:c>
      <x:c r="H170" s="296" t="n">
        <x:v>7</x:v>
      </x:c>
      <x:c r="I170" s="296" t="n">
        <x:f>SUM(B170:F170)</x:f>
        <x:v>134</x:v>
      </x:c>
      <x:c r="J170" s="296" t="n">
        <x:f>MOD(B170,2)+MOD(C170,2)+MOD(D170,2)+MOD(E170,2)+MOD(F170,2)</x:f>
        <x:v>2</x:v>
      </x:c>
      <x:c r="K170" s="296" t="n">
        <x:f>COUNTIF(B170:F170,"&gt;31")</x:f>
        <x:v>1</x:v>
      </x:c>
      <x:c r="L170" s="336" t="n">
        <x:f>1/'Executive Summary'!$B$24</x:f>
        <x:v>7.1511238420185165e-9</x:v>
      </x:c>
      <x:c r="M170" s="342" t="n">
        <x:f>2.5</x:f>
        <x:v>2.5</x:v>
      </x:c>
      <x:c r="N170" s="288" t="str">
        <x:v>Conditional coverage wheel</x:v>
      </x:c>
    </x:row>
    <x:row r="171">
      <x:c r="A171" s="295" t="n">
        <x:v>167</x:v>
      </x:c>
      <x:c r="B171" s="296" t="n">
        <x:v>4</x:v>
      </x:c>
      <x:c r="C171" s="296" t="n">
        <x:v>25</x:v>
      </x:c>
      <x:c r="D171" s="296" t="n">
        <x:v>27</x:v>
      </x:c>
      <x:c r="E171" s="296" t="n">
        <x:v>28</x:v>
      </x:c>
      <x:c r="F171" s="296" t="n">
        <x:v>50</x:v>
      </x:c>
      <x:c r="G171" s="296" t="n">
        <x:v>5</x:v>
      </x:c>
      <x:c r="H171" s="296" t="n">
        <x:v>9</x:v>
      </x:c>
      <x:c r="I171" s="296" t="n">
        <x:f>SUM(B171:F171)</x:f>
        <x:v>134</x:v>
      </x:c>
      <x:c r="J171" s="296" t="n">
        <x:f>MOD(B171,2)+MOD(C171,2)+MOD(D171,2)+MOD(E171,2)+MOD(F171,2)</x:f>
        <x:v>2</x:v>
      </x:c>
      <x:c r="K171" s="296" t="n">
        <x:f>COUNTIF(B171:F171,"&gt;31")</x:f>
        <x:v>1</x:v>
      </x:c>
      <x:c r="L171" s="336" t="n">
        <x:f>1/'Executive Summary'!$B$24</x:f>
        <x:v>7.1511238420185165e-9</x:v>
      </x:c>
      <x:c r="M171" s="342" t="n">
        <x:f>2.5</x:f>
        <x:v>2.5</x:v>
      </x:c>
      <x:c r="N171" s="288" t="str">
        <x:v>Conditional coverage wheel</x:v>
      </x:c>
    </x:row>
    <x:row r="172">
      <x:c r="A172" s="295" t="n">
        <x:v>168</x:v>
      </x:c>
      <x:c r="B172" s="296" t="n">
        <x:v>4</x:v>
      </x:c>
      <x:c r="C172" s="296" t="n">
        <x:v>25</x:v>
      </x:c>
      <x:c r="D172" s="296" t="n">
        <x:v>27</x:v>
      </x:c>
      <x:c r="E172" s="296" t="n">
        <x:v>28</x:v>
      </x:c>
      <x:c r="F172" s="296" t="n">
        <x:v>50</x:v>
      </x:c>
      <x:c r="G172" s="296" t="n">
        <x:v>7</x:v>
      </x:c>
      <x:c r="H172" s="296" t="n">
        <x:v>9</x:v>
      </x:c>
      <x:c r="I172" s="296" t="n">
        <x:f>SUM(B172:F172)</x:f>
        <x:v>134</x:v>
      </x:c>
      <x:c r="J172" s="296" t="n">
        <x:f>MOD(B172,2)+MOD(C172,2)+MOD(D172,2)+MOD(E172,2)+MOD(F172,2)</x:f>
        <x:v>2</x:v>
      </x:c>
      <x:c r="K172" s="296" t="n">
        <x:f>COUNTIF(B172:F172,"&gt;31")</x:f>
        <x:v>1</x:v>
      </x:c>
      <x:c r="L172" s="336" t="n">
        <x:f>1/'Executive Summary'!$B$24</x:f>
        <x:v>7.1511238420185165e-9</x:v>
      </x:c>
      <x:c r="M172" s="342" t="n">
        <x:f>2.5</x:f>
        <x:v>2.5</x:v>
      </x:c>
      <x:c r="N172" s="288" t="str">
        <x:v>Conditional coverage wheel</x:v>
      </x:c>
    </x:row>
    <x:row r="173">
      <x:c r="A173" s="295" t="n">
        <x:v>169</x:v>
      </x:c>
      <x:c r="B173" s="296" t="n">
        <x:v>4</x:v>
      </x:c>
      <x:c r="C173" s="296" t="n">
        <x:v>42</x:v>
      </x:c>
      <x:c r="D173" s="296" t="n">
        <x:v>44</x:v>
      </x:c>
      <x:c r="E173" s="296" t="n">
        <x:v>48</x:v>
      </x:c>
      <x:c r="F173" s="296" t="n">
        <x:v>50</x:v>
      </x:c>
      <x:c r="G173" s="296" t="n">
        <x:v>3</x:v>
      </x:c>
      <x:c r="H173" s="296" t="n">
        <x:v>5</x:v>
      </x:c>
      <x:c r="I173" s="296" t="n">
        <x:f>SUM(B173:F173)</x:f>
        <x:v>188</x:v>
      </x:c>
      <x:c r="J173" s="296" t="n">
        <x:f>MOD(B173,2)+MOD(C173,2)+MOD(D173,2)+MOD(E173,2)+MOD(F173,2)</x:f>
        <x:v>0</x:v>
      </x:c>
      <x:c r="K173" s="296" t="n">
        <x:f>COUNTIF(B173:F173,"&gt;31")</x:f>
        <x:v>4</x:v>
      </x:c>
      <x:c r="L173" s="336" t="n">
        <x:f>1/'Executive Summary'!$B$24</x:f>
        <x:v>7.1511238420185165e-9</x:v>
      </x:c>
      <x:c r="M173" s="342" t="n">
        <x:f>2.5</x:f>
        <x:v>2.5</x:v>
      </x:c>
      <x:c r="N173" s="288" t="str">
        <x:v>Conditional coverage wheel</x:v>
      </x:c>
    </x:row>
    <x:row r="174">
      <x:c r="A174" s="295" t="n">
        <x:v>170</x:v>
      </x:c>
      <x:c r="B174" s="296" t="n">
        <x:v>4</x:v>
      </x:c>
      <x:c r="C174" s="296" t="n">
        <x:v>42</x:v>
      </x:c>
      <x:c r="D174" s="296" t="n">
        <x:v>44</x:v>
      </x:c>
      <x:c r="E174" s="296" t="n">
        <x:v>48</x:v>
      </x:c>
      <x:c r="F174" s="296" t="n">
        <x:v>50</x:v>
      </x:c>
      <x:c r="G174" s="296" t="n">
        <x:v>3</x:v>
      </x:c>
      <x:c r="H174" s="296" t="n">
        <x:v>7</x:v>
      </x:c>
      <x:c r="I174" s="296" t="n">
        <x:f>SUM(B174:F174)</x:f>
        <x:v>188</x:v>
      </x:c>
      <x:c r="J174" s="296" t="n">
        <x:f>MOD(B174,2)+MOD(C174,2)+MOD(D174,2)+MOD(E174,2)+MOD(F174,2)</x:f>
        <x:v>0</x:v>
      </x:c>
      <x:c r="K174" s="296" t="n">
        <x:f>COUNTIF(B174:F174,"&gt;31")</x:f>
        <x:v>4</x:v>
      </x:c>
      <x:c r="L174" s="336" t="n">
        <x:f>1/'Executive Summary'!$B$24</x:f>
        <x:v>7.1511238420185165e-9</x:v>
      </x:c>
      <x:c r="M174" s="342" t="n">
        <x:f>2.5</x:f>
        <x:v>2.5</x:v>
      </x:c>
      <x:c r="N174" s="288" t="str">
        <x:v>Conditional coverage wheel</x:v>
      </x:c>
    </x:row>
    <x:row r="175">
      <x:c r="A175" s="295" t="n">
        <x:v>171</x:v>
      </x:c>
      <x:c r="B175" s="296" t="n">
        <x:v>4</x:v>
      </x:c>
      <x:c r="C175" s="296" t="n">
        <x:v>42</x:v>
      </x:c>
      <x:c r="D175" s="296" t="n">
        <x:v>44</x:v>
      </x:c>
      <x:c r="E175" s="296" t="n">
        <x:v>48</x:v>
      </x:c>
      <x:c r="F175" s="296" t="n">
        <x:v>50</x:v>
      </x:c>
      <x:c r="G175" s="296" t="n">
        <x:v>3</x:v>
      </x:c>
      <x:c r="H175" s="296" t="n">
        <x:v>9</x:v>
      </x:c>
      <x:c r="I175" s="296" t="n">
        <x:f>SUM(B175:F175)</x:f>
        <x:v>188</x:v>
      </x:c>
      <x:c r="J175" s="296" t="n">
        <x:f>MOD(B175,2)+MOD(C175,2)+MOD(D175,2)+MOD(E175,2)+MOD(F175,2)</x:f>
        <x:v>0</x:v>
      </x:c>
      <x:c r="K175" s="296" t="n">
        <x:f>COUNTIF(B175:F175,"&gt;31")</x:f>
        <x:v>4</x:v>
      </x:c>
      <x:c r="L175" s="336" t="n">
        <x:f>1/'Executive Summary'!$B$24</x:f>
        <x:v>7.1511238420185165e-9</x:v>
      </x:c>
      <x:c r="M175" s="342" t="n">
        <x:f>2.5</x:f>
        <x:v>2.5</x:v>
      </x:c>
      <x:c r="N175" s="288" t="str">
        <x:v>Conditional coverage wheel</x:v>
      </x:c>
    </x:row>
    <x:row r="176">
      <x:c r="A176" s="295" t="n">
        <x:v>172</x:v>
      </x:c>
      <x:c r="B176" s="296" t="n">
        <x:v>4</x:v>
      </x:c>
      <x:c r="C176" s="296" t="n">
        <x:v>42</x:v>
      </x:c>
      <x:c r="D176" s="296" t="n">
        <x:v>44</x:v>
      </x:c>
      <x:c r="E176" s="296" t="n">
        <x:v>48</x:v>
      </x:c>
      <x:c r="F176" s="296" t="n">
        <x:v>50</x:v>
      </x:c>
      <x:c r="G176" s="296" t="n">
        <x:v>5</x:v>
      </x:c>
      <x:c r="H176" s="296" t="n">
        <x:v>7</x:v>
      </x:c>
      <x:c r="I176" s="296" t="n">
        <x:f>SUM(B176:F176)</x:f>
        <x:v>188</x:v>
      </x:c>
      <x:c r="J176" s="296" t="n">
        <x:f>MOD(B176,2)+MOD(C176,2)+MOD(D176,2)+MOD(E176,2)+MOD(F176,2)</x:f>
        <x:v>0</x:v>
      </x:c>
      <x:c r="K176" s="296" t="n">
        <x:f>COUNTIF(B176:F176,"&gt;31")</x:f>
        <x:v>4</x:v>
      </x:c>
      <x:c r="L176" s="336" t="n">
        <x:f>1/'Executive Summary'!$B$24</x:f>
        <x:v>7.1511238420185165e-9</x:v>
      </x:c>
      <x:c r="M176" s="342" t="n">
        <x:f>2.5</x:f>
        <x:v>2.5</x:v>
      </x:c>
      <x:c r="N176" s="288" t="str">
        <x:v>Conditional coverage wheel</x:v>
      </x:c>
    </x:row>
    <x:row r="177">
      <x:c r="A177" s="295" t="n">
        <x:v>173</x:v>
      </x:c>
      <x:c r="B177" s="296" t="n">
        <x:v>4</x:v>
      </x:c>
      <x:c r="C177" s="296" t="n">
        <x:v>42</x:v>
      </x:c>
      <x:c r="D177" s="296" t="n">
        <x:v>44</x:v>
      </x:c>
      <x:c r="E177" s="296" t="n">
        <x:v>48</x:v>
      </x:c>
      <x:c r="F177" s="296" t="n">
        <x:v>50</x:v>
      </x:c>
      <x:c r="G177" s="296" t="n">
        <x:v>5</x:v>
      </x:c>
      <x:c r="H177" s="296" t="n">
        <x:v>9</x:v>
      </x:c>
      <x:c r="I177" s="296" t="n">
        <x:f>SUM(B177:F177)</x:f>
        <x:v>188</x:v>
      </x:c>
      <x:c r="J177" s="296" t="n">
        <x:f>MOD(B177,2)+MOD(C177,2)+MOD(D177,2)+MOD(E177,2)+MOD(F177,2)</x:f>
        <x:v>0</x:v>
      </x:c>
      <x:c r="K177" s="296" t="n">
        <x:f>COUNTIF(B177:F177,"&gt;31")</x:f>
        <x:v>4</x:v>
      </x:c>
      <x:c r="L177" s="336" t="n">
        <x:f>1/'Executive Summary'!$B$24</x:f>
        <x:v>7.1511238420185165e-9</x:v>
      </x:c>
      <x:c r="M177" s="342" t="n">
        <x:f>2.5</x:f>
        <x:v>2.5</x:v>
      </x:c>
      <x:c r="N177" s="288" t="str">
        <x:v>Conditional coverage wheel</x:v>
      </x:c>
    </x:row>
    <x:row r="178">
      <x:c r="A178" s="295" t="n">
        <x:v>174</x:v>
      </x:c>
      <x:c r="B178" s="296" t="n">
        <x:v>4</x:v>
      </x:c>
      <x:c r="C178" s="296" t="n">
        <x:v>42</x:v>
      </x:c>
      <x:c r="D178" s="296" t="n">
        <x:v>44</x:v>
      </x:c>
      <x:c r="E178" s="296" t="n">
        <x:v>48</x:v>
      </x:c>
      <x:c r="F178" s="296" t="n">
        <x:v>50</x:v>
      </x:c>
      <x:c r="G178" s="296" t="n">
        <x:v>7</x:v>
      </x:c>
      <x:c r="H178" s="296" t="n">
        <x:v>9</x:v>
      </x:c>
      <x:c r="I178" s="296" t="n">
        <x:f>SUM(B178:F178)</x:f>
        <x:v>188</x:v>
      </x:c>
      <x:c r="J178" s="296" t="n">
        <x:f>MOD(B178,2)+MOD(C178,2)+MOD(D178,2)+MOD(E178,2)+MOD(F178,2)</x:f>
        <x:v>0</x:v>
      </x:c>
      <x:c r="K178" s="296" t="n">
        <x:f>COUNTIF(B178:F178,"&gt;31")</x:f>
        <x:v>4</x:v>
      </x:c>
      <x:c r="L178" s="336" t="n">
        <x:f>1/'Executive Summary'!$B$24</x:f>
        <x:v>7.1511238420185165e-9</x:v>
      </x:c>
      <x:c r="M178" s="342" t="n">
        <x:f>2.5</x:f>
        <x:v>2.5</x:v>
      </x:c>
      <x:c r="N178" s="288" t="str">
        <x:v>Conditional coverage wheel</x:v>
      </x:c>
    </x:row>
    <x:row r="179">
      <x:c r="A179" s="295" t="n">
        <x:v>175</x:v>
      </x:c>
      <x:c r="B179" s="296" t="n">
        <x:v>4</x:v>
      </x:c>
      <x:c r="C179" s="296" t="n">
        <x:v>21</x:v>
      </x:c>
      <x:c r="D179" s="296" t="n">
        <x:v>25</x:v>
      </x:c>
      <x:c r="E179" s="296" t="n">
        <x:v>36</x:v>
      </x:c>
      <x:c r="F179" s="296" t="n">
        <x:v>42</x:v>
      </x:c>
      <x:c r="G179" s="296" t="n">
        <x:v>3</x:v>
      </x:c>
      <x:c r="H179" s="296" t="n">
        <x:v>5</x:v>
      </x:c>
      <x:c r="I179" s="296" t="n">
        <x:f>SUM(B179:F179)</x:f>
        <x:v>128</x:v>
      </x:c>
      <x:c r="J179" s="296" t="n">
        <x:f>MOD(B179,2)+MOD(C179,2)+MOD(D179,2)+MOD(E179,2)+MOD(F179,2)</x:f>
        <x:v>2</x:v>
      </x:c>
      <x:c r="K179" s="296" t="n">
        <x:f>COUNTIF(B179:F179,"&gt;31")</x:f>
        <x:v>2</x:v>
      </x:c>
      <x:c r="L179" s="336" t="n">
        <x:f>1/'Executive Summary'!$B$24</x:f>
        <x:v>7.1511238420185165e-9</x:v>
      </x:c>
      <x:c r="M179" s="342" t="n">
        <x:f>2.5</x:f>
        <x:v>2.5</x:v>
      </x:c>
      <x:c r="N179" s="288" t="str">
        <x:v>Conditional coverage wheel</x:v>
      </x:c>
    </x:row>
    <x:row r="180">
      <x:c r="A180" s="295" t="n">
        <x:v>176</x:v>
      </x:c>
      <x:c r="B180" s="296" t="n">
        <x:v>4</x:v>
      </x:c>
      <x:c r="C180" s="296" t="n">
        <x:v>21</x:v>
      </x:c>
      <x:c r="D180" s="296" t="n">
        <x:v>25</x:v>
      </x:c>
      <x:c r="E180" s="296" t="n">
        <x:v>36</x:v>
      </x:c>
      <x:c r="F180" s="296" t="n">
        <x:v>42</x:v>
      </x:c>
      <x:c r="G180" s="296" t="n">
        <x:v>3</x:v>
      </x:c>
      <x:c r="H180" s="296" t="n">
        <x:v>7</x:v>
      </x:c>
      <x:c r="I180" s="296" t="n">
        <x:f>SUM(B180:F180)</x:f>
        <x:v>128</x:v>
      </x:c>
      <x:c r="J180" s="296" t="n">
        <x:f>MOD(B180,2)+MOD(C180,2)+MOD(D180,2)+MOD(E180,2)+MOD(F180,2)</x:f>
        <x:v>2</x:v>
      </x:c>
      <x:c r="K180" s="296" t="n">
        <x:f>COUNTIF(B180:F180,"&gt;31")</x:f>
        <x:v>2</x:v>
      </x:c>
      <x:c r="L180" s="336" t="n">
        <x:f>1/'Executive Summary'!$B$24</x:f>
        <x:v>7.1511238420185165e-9</x:v>
      </x:c>
      <x:c r="M180" s="342" t="n">
        <x:f>2.5</x:f>
        <x:v>2.5</x:v>
      </x:c>
      <x:c r="N180" s="288" t="str">
        <x:v>Conditional coverage wheel</x:v>
      </x:c>
    </x:row>
    <x:row r="181">
      <x:c r="A181" s="295" t="n">
        <x:v>177</x:v>
      </x:c>
      <x:c r="B181" s="296" t="n">
        <x:v>4</x:v>
      </x:c>
      <x:c r="C181" s="296" t="n">
        <x:v>21</x:v>
      </x:c>
      <x:c r="D181" s="296" t="n">
        <x:v>25</x:v>
      </x:c>
      <x:c r="E181" s="296" t="n">
        <x:v>36</x:v>
      </x:c>
      <x:c r="F181" s="296" t="n">
        <x:v>42</x:v>
      </x:c>
      <x:c r="G181" s="296" t="n">
        <x:v>3</x:v>
      </x:c>
      <x:c r="H181" s="296" t="n">
        <x:v>9</x:v>
      </x:c>
      <x:c r="I181" s="296" t="n">
        <x:f>SUM(B181:F181)</x:f>
        <x:v>128</x:v>
      </x:c>
      <x:c r="J181" s="296" t="n">
        <x:f>MOD(B181,2)+MOD(C181,2)+MOD(D181,2)+MOD(E181,2)+MOD(F181,2)</x:f>
        <x:v>2</x:v>
      </x:c>
      <x:c r="K181" s="296" t="n">
        <x:f>COUNTIF(B181:F181,"&gt;31")</x:f>
        <x:v>2</x:v>
      </x:c>
      <x:c r="L181" s="336" t="n">
        <x:f>1/'Executive Summary'!$B$24</x:f>
        <x:v>7.1511238420185165e-9</x:v>
      </x:c>
      <x:c r="M181" s="342" t="n">
        <x:f>2.5</x:f>
        <x:v>2.5</x:v>
      </x:c>
      <x:c r="N181" s="288" t="str">
        <x:v>Conditional coverage wheel</x:v>
      </x:c>
    </x:row>
    <x:row r="182">
      <x:c r="A182" s="295" t="n">
        <x:v>178</x:v>
      </x:c>
      <x:c r="B182" s="296" t="n">
        <x:v>4</x:v>
      </x:c>
      <x:c r="C182" s="296" t="n">
        <x:v>21</x:v>
      </x:c>
      <x:c r="D182" s="296" t="n">
        <x:v>25</x:v>
      </x:c>
      <x:c r="E182" s="296" t="n">
        <x:v>36</x:v>
      </x:c>
      <x:c r="F182" s="296" t="n">
        <x:v>42</x:v>
      </x:c>
      <x:c r="G182" s="296" t="n">
        <x:v>5</x:v>
      </x:c>
      <x:c r="H182" s="296" t="n">
        <x:v>7</x:v>
      </x:c>
      <x:c r="I182" s="296" t="n">
        <x:f>SUM(B182:F182)</x:f>
        <x:v>128</x:v>
      </x:c>
      <x:c r="J182" s="296" t="n">
        <x:f>MOD(B182,2)+MOD(C182,2)+MOD(D182,2)+MOD(E182,2)+MOD(F182,2)</x:f>
        <x:v>2</x:v>
      </x:c>
      <x:c r="K182" s="296" t="n">
        <x:f>COUNTIF(B182:F182,"&gt;31")</x:f>
        <x:v>2</x:v>
      </x:c>
      <x:c r="L182" s="336" t="n">
        <x:f>1/'Executive Summary'!$B$24</x:f>
        <x:v>7.1511238420185165e-9</x:v>
      </x:c>
      <x:c r="M182" s="342" t="n">
        <x:f>2.5</x:f>
        <x:v>2.5</x:v>
      </x:c>
      <x:c r="N182" s="288" t="str">
        <x:v>Conditional coverage wheel</x:v>
      </x:c>
    </x:row>
    <x:row r="183">
      <x:c r="A183" s="295" t="n">
        <x:v>179</x:v>
      </x:c>
      <x:c r="B183" s="296" t="n">
        <x:v>4</x:v>
      </x:c>
      <x:c r="C183" s="296" t="n">
        <x:v>21</x:v>
      </x:c>
      <x:c r="D183" s="296" t="n">
        <x:v>25</x:v>
      </x:c>
      <x:c r="E183" s="296" t="n">
        <x:v>36</x:v>
      </x:c>
      <x:c r="F183" s="296" t="n">
        <x:v>42</x:v>
      </x:c>
      <x:c r="G183" s="296" t="n">
        <x:v>5</x:v>
      </x:c>
      <x:c r="H183" s="296" t="n">
        <x:v>9</x:v>
      </x:c>
      <x:c r="I183" s="296" t="n">
        <x:f>SUM(B183:F183)</x:f>
        <x:v>128</x:v>
      </x:c>
      <x:c r="J183" s="296" t="n">
        <x:f>MOD(B183,2)+MOD(C183,2)+MOD(D183,2)+MOD(E183,2)+MOD(F183,2)</x:f>
        <x:v>2</x:v>
      </x:c>
      <x:c r="K183" s="296" t="n">
        <x:f>COUNTIF(B183:F183,"&gt;31")</x:f>
        <x:v>2</x:v>
      </x:c>
      <x:c r="L183" s="336" t="n">
        <x:f>1/'Executive Summary'!$B$24</x:f>
        <x:v>7.1511238420185165e-9</x:v>
      </x:c>
      <x:c r="M183" s="342" t="n">
        <x:f>2.5</x:f>
        <x:v>2.5</x:v>
      </x:c>
      <x:c r="N183" s="288" t="str">
        <x:v>Conditional coverage wheel</x:v>
      </x:c>
    </x:row>
    <x:row r="184">
      <x:c r="A184" s="295" t="n">
        <x:v>180</x:v>
      </x:c>
      <x:c r="B184" s="296" t="n">
        <x:v>4</x:v>
      </x:c>
      <x:c r="C184" s="296" t="n">
        <x:v>21</x:v>
      </x:c>
      <x:c r="D184" s="296" t="n">
        <x:v>25</x:v>
      </x:c>
      <x:c r="E184" s="296" t="n">
        <x:v>36</x:v>
      </x:c>
      <x:c r="F184" s="296" t="n">
        <x:v>42</x:v>
      </x:c>
      <x:c r="G184" s="296" t="n">
        <x:v>7</x:v>
      </x:c>
      <x:c r="H184" s="296" t="n">
        <x:v>9</x:v>
      </x:c>
      <x:c r="I184" s="296" t="n">
        <x:f>SUM(B184:F184)</x:f>
        <x:v>128</x:v>
      </x:c>
      <x:c r="J184" s="296" t="n">
        <x:f>MOD(B184,2)+MOD(C184,2)+MOD(D184,2)+MOD(E184,2)+MOD(F184,2)</x:f>
        <x:v>2</x:v>
      </x:c>
      <x:c r="K184" s="296" t="n">
        <x:f>COUNTIF(B184:F184,"&gt;31")</x:f>
        <x:v>2</x:v>
      </x:c>
      <x:c r="L184" s="336" t="n">
        <x:f>1/'Executive Summary'!$B$24</x:f>
        <x:v>7.1511238420185165e-9</x:v>
      </x:c>
      <x:c r="M184" s="342" t="n">
        <x:f>2.5</x:f>
        <x:v>2.5</x:v>
      </x:c>
      <x:c r="N184" s="288" t="str">
        <x:v>Conditional coverage wheel</x:v>
      </x:c>
    </x:row>
    <x:row r="185">
      <x:c r="A185" s="295" t="n">
        <x:v>181</x:v>
      </x:c>
      <x:c r="B185" s="296" t="n">
        <x:v>4</x:v>
      </x:c>
      <x:c r="C185" s="296" t="n">
        <x:v>21</x:v>
      </x:c>
      <x:c r="D185" s="296" t="n">
        <x:v>28</x:v>
      </x:c>
      <x:c r="E185" s="296" t="n">
        <x:v>48</x:v>
      </x:c>
      <x:c r="F185" s="296" t="n">
        <x:v>50</x:v>
      </x:c>
      <x:c r="G185" s="296" t="n">
        <x:v>3</x:v>
      </x:c>
      <x:c r="H185" s="296" t="n">
        <x:v>5</x:v>
      </x:c>
      <x:c r="I185" s="296" t="n">
        <x:f>SUM(B185:F185)</x:f>
        <x:v>151</x:v>
      </x:c>
      <x:c r="J185" s="296" t="n">
        <x:f>MOD(B185,2)+MOD(C185,2)+MOD(D185,2)+MOD(E185,2)+MOD(F185,2)</x:f>
        <x:v>1</x:v>
      </x:c>
      <x:c r="K185" s="296" t="n">
        <x:f>COUNTIF(B185:F185,"&gt;31")</x:f>
        <x:v>2</x:v>
      </x:c>
      <x:c r="L185" s="336" t="n">
        <x:f>1/'Executive Summary'!$B$24</x:f>
        <x:v>7.1511238420185165e-9</x:v>
      </x:c>
      <x:c r="M185" s="342" t="n">
        <x:f>2.5</x:f>
        <x:v>2.5</x:v>
      </x:c>
      <x:c r="N185" s="288" t="str">
        <x:v>Conditional coverage wheel</x:v>
      </x:c>
    </x:row>
    <x:row r="186">
      <x:c r="A186" s="295" t="n">
        <x:v>182</x:v>
      </x:c>
      <x:c r="B186" s="296" t="n">
        <x:v>4</x:v>
      </x:c>
      <x:c r="C186" s="296" t="n">
        <x:v>21</x:v>
      </x:c>
      <x:c r="D186" s="296" t="n">
        <x:v>28</x:v>
      </x:c>
      <x:c r="E186" s="296" t="n">
        <x:v>48</x:v>
      </x:c>
      <x:c r="F186" s="296" t="n">
        <x:v>50</x:v>
      </x:c>
      <x:c r="G186" s="296" t="n">
        <x:v>3</x:v>
      </x:c>
      <x:c r="H186" s="296" t="n">
        <x:v>7</x:v>
      </x:c>
      <x:c r="I186" s="296" t="n">
        <x:f>SUM(B186:F186)</x:f>
        <x:v>151</x:v>
      </x:c>
      <x:c r="J186" s="296" t="n">
        <x:f>MOD(B186,2)+MOD(C186,2)+MOD(D186,2)+MOD(E186,2)+MOD(F186,2)</x:f>
        <x:v>1</x:v>
      </x:c>
      <x:c r="K186" s="296" t="n">
        <x:f>COUNTIF(B186:F186,"&gt;31")</x:f>
        <x:v>2</x:v>
      </x:c>
      <x:c r="L186" s="336" t="n">
        <x:f>1/'Executive Summary'!$B$24</x:f>
        <x:v>7.1511238420185165e-9</x:v>
      </x:c>
      <x:c r="M186" s="342" t="n">
        <x:f>2.5</x:f>
        <x:v>2.5</x:v>
      </x:c>
      <x:c r="N186" s="288" t="str">
        <x:v>Conditional coverage wheel</x:v>
      </x:c>
    </x:row>
    <x:row r="187">
      <x:c r="A187" s="295" t="n">
        <x:v>183</x:v>
      </x:c>
      <x:c r="B187" s="296" t="n">
        <x:v>4</x:v>
      </x:c>
      <x:c r="C187" s="296" t="n">
        <x:v>21</x:v>
      </x:c>
      <x:c r="D187" s="296" t="n">
        <x:v>28</x:v>
      </x:c>
      <x:c r="E187" s="296" t="n">
        <x:v>48</x:v>
      </x:c>
      <x:c r="F187" s="296" t="n">
        <x:v>50</x:v>
      </x:c>
      <x:c r="G187" s="296" t="n">
        <x:v>3</x:v>
      </x:c>
      <x:c r="H187" s="296" t="n">
        <x:v>9</x:v>
      </x:c>
      <x:c r="I187" s="296" t="n">
        <x:f>SUM(B187:F187)</x:f>
        <x:v>151</x:v>
      </x:c>
      <x:c r="J187" s="296" t="n">
        <x:f>MOD(B187,2)+MOD(C187,2)+MOD(D187,2)+MOD(E187,2)+MOD(F187,2)</x:f>
        <x:v>1</x:v>
      </x:c>
      <x:c r="K187" s="296" t="n">
        <x:f>COUNTIF(B187:F187,"&gt;31")</x:f>
        <x:v>2</x:v>
      </x:c>
      <x:c r="L187" s="336" t="n">
        <x:f>1/'Executive Summary'!$B$24</x:f>
        <x:v>7.1511238420185165e-9</x:v>
      </x:c>
      <x:c r="M187" s="342" t="n">
        <x:f>2.5</x:f>
        <x:v>2.5</x:v>
      </x:c>
      <x:c r="N187" s="288" t="str">
        <x:v>Conditional coverage wheel</x:v>
      </x:c>
    </x:row>
    <x:row r="188">
      <x:c r="A188" s="295" t="n">
        <x:v>184</x:v>
      </x:c>
      <x:c r="B188" s="296" t="n">
        <x:v>4</x:v>
      </x:c>
      <x:c r="C188" s="296" t="n">
        <x:v>21</x:v>
      </x:c>
      <x:c r="D188" s="296" t="n">
        <x:v>28</x:v>
      </x:c>
      <x:c r="E188" s="296" t="n">
        <x:v>48</x:v>
      </x:c>
      <x:c r="F188" s="296" t="n">
        <x:v>50</x:v>
      </x:c>
      <x:c r="G188" s="296" t="n">
        <x:v>5</x:v>
      </x:c>
      <x:c r="H188" s="296" t="n">
        <x:v>7</x:v>
      </x:c>
      <x:c r="I188" s="296" t="n">
        <x:f>SUM(B188:F188)</x:f>
        <x:v>151</x:v>
      </x:c>
      <x:c r="J188" s="296" t="n">
        <x:f>MOD(B188,2)+MOD(C188,2)+MOD(D188,2)+MOD(E188,2)+MOD(F188,2)</x:f>
        <x:v>1</x:v>
      </x:c>
      <x:c r="K188" s="296" t="n">
        <x:f>COUNTIF(B188:F188,"&gt;31")</x:f>
        <x:v>2</x:v>
      </x:c>
      <x:c r="L188" s="336" t="n">
        <x:f>1/'Executive Summary'!$B$24</x:f>
        <x:v>7.1511238420185165e-9</x:v>
      </x:c>
      <x:c r="M188" s="342" t="n">
        <x:f>2.5</x:f>
        <x:v>2.5</x:v>
      </x:c>
      <x:c r="N188" s="288" t="str">
        <x:v>Conditional coverage wheel</x:v>
      </x:c>
    </x:row>
    <x:row r="189">
      <x:c r="A189" s="295" t="n">
        <x:v>185</x:v>
      </x:c>
      <x:c r="B189" s="296" t="n">
        <x:v>4</x:v>
      </x:c>
      <x:c r="C189" s="296" t="n">
        <x:v>21</x:v>
      </x:c>
      <x:c r="D189" s="296" t="n">
        <x:v>28</x:v>
      </x:c>
      <x:c r="E189" s="296" t="n">
        <x:v>48</x:v>
      </x:c>
      <x:c r="F189" s="296" t="n">
        <x:v>50</x:v>
      </x:c>
      <x:c r="G189" s="296" t="n">
        <x:v>5</x:v>
      </x:c>
      <x:c r="H189" s="296" t="n">
        <x:v>9</x:v>
      </x:c>
      <x:c r="I189" s="296" t="n">
        <x:f>SUM(B189:F189)</x:f>
        <x:v>151</x:v>
      </x:c>
      <x:c r="J189" s="296" t="n">
        <x:f>MOD(B189,2)+MOD(C189,2)+MOD(D189,2)+MOD(E189,2)+MOD(F189,2)</x:f>
        <x:v>1</x:v>
      </x:c>
      <x:c r="K189" s="296" t="n">
        <x:f>COUNTIF(B189:F189,"&gt;31")</x:f>
        <x:v>2</x:v>
      </x:c>
      <x:c r="L189" s="336" t="n">
        <x:f>1/'Executive Summary'!$B$24</x:f>
        <x:v>7.1511238420185165e-9</x:v>
      </x:c>
      <x:c r="M189" s="342" t="n">
        <x:f>2.5</x:f>
        <x:v>2.5</x:v>
      </x:c>
      <x:c r="N189" s="288" t="str">
        <x:v>Conditional coverage wheel</x:v>
      </x:c>
    </x:row>
    <x:row r="190">
      <x:c r="A190" s="295" t="n">
        <x:v>186</x:v>
      </x:c>
      <x:c r="B190" s="296" t="n">
        <x:v>4</x:v>
      </x:c>
      <x:c r="C190" s="296" t="n">
        <x:v>21</x:v>
      </x:c>
      <x:c r="D190" s="296" t="n">
        <x:v>28</x:v>
      </x:c>
      <x:c r="E190" s="296" t="n">
        <x:v>48</x:v>
      </x:c>
      <x:c r="F190" s="296" t="n">
        <x:v>50</x:v>
      </x:c>
      <x:c r="G190" s="296" t="n">
        <x:v>7</x:v>
      </x:c>
      <x:c r="H190" s="296" t="n">
        <x:v>9</x:v>
      </x:c>
      <x:c r="I190" s="296" t="n">
        <x:f>SUM(B190:F190)</x:f>
        <x:v>151</x:v>
      </x:c>
      <x:c r="J190" s="296" t="n">
        <x:f>MOD(B190,2)+MOD(C190,2)+MOD(D190,2)+MOD(E190,2)+MOD(F190,2)</x:f>
        <x:v>1</x:v>
      </x:c>
      <x:c r="K190" s="296" t="n">
        <x:f>COUNTIF(B190:F190,"&gt;31")</x:f>
        <x:v>2</x:v>
      </x:c>
      <x:c r="L190" s="336" t="n">
        <x:f>1/'Executive Summary'!$B$24</x:f>
        <x:v>7.1511238420185165e-9</x:v>
      </x:c>
      <x:c r="M190" s="342" t="n">
        <x:f>2.5</x:f>
        <x:v>2.5</x:v>
      </x:c>
      <x:c r="N190" s="288" t="str">
        <x:v>Conditional coverage wheel</x:v>
      </x:c>
    </x:row>
    <x:row r="191">
      <x:c r="A191" s="295" t="n">
        <x:v>187</x:v>
      </x:c>
      <x:c r="B191" s="296" t="n">
        <x:v>4</x:v>
      </x:c>
      <x:c r="C191" s="296" t="n">
        <x:v>28</x:v>
      </x:c>
      <x:c r="D191" s="296" t="n">
        <x:v>35</x:v>
      </x:c>
      <x:c r="E191" s="296" t="n">
        <x:v>37</x:v>
      </x:c>
      <x:c r="F191" s="296" t="n">
        <x:v>44</x:v>
      </x:c>
      <x:c r="G191" s="296" t="n">
        <x:v>3</x:v>
      </x:c>
      <x:c r="H191" s="296" t="n">
        <x:v>5</x:v>
      </x:c>
      <x:c r="I191" s="296" t="n">
        <x:f>SUM(B191:F191)</x:f>
        <x:v>148</x:v>
      </x:c>
      <x:c r="J191" s="296" t="n">
        <x:f>MOD(B191,2)+MOD(C191,2)+MOD(D191,2)+MOD(E191,2)+MOD(F191,2)</x:f>
        <x:v>2</x:v>
      </x:c>
      <x:c r="K191" s="296" t="n">
        <x:f>COUNTIF(B191:F191,"&gt;31")</x:f>
        <x:v>3</x:v>
      </x:c>
      <x:c r="L191" s="336" t="n">
        <x:f>1/'Executive Summary'!$B$24</x:f>
        <x:v>7.1511238420185165e-9</x:v>
      </x:c>
      <x:c r="M191" s="342" t="n">
        <x:f>2.5</x:f>
        <x:v>2.5</x:v>
      </x:c>
      <x:c r="N191" s="288" t="str">
        <x:v>Conditional coverage wheel</x:v>
      </x:c>
    </x:row>
    <x:row r="192">
      <x:c r="A192" s="295" t="n">
        <x:v>188</x:v>
      </x:c>
      <x:c r="B192" s="296" t="n">
        <x:v>4</x:v>
      </x:c>
      <x:c r="C192" s="296" t="n">
        <x:v>28</x:v>
      </x:c>
      <x:c r="D192" s="296" t="n">
        <x:v>35</x:v>
      </x:c>
      <x:c r="E192" s="296" t="n">
        <x:v>37</x:v>
      </x:c>
      <x:c r="F192" s="296" t="n">
        <x:v>44</x:v>
      </x:c>
      <x:c r="G192" s="296" t="n">
        <x:v>3</x:v>
      </x:c>
      <x:c r="H192" s="296" t="n">
        <x:v>7</x:v>
      </x:c>
      <x:c r="I192" s="296" t="n">
        <x:f>SUM(B192:F192)</x:f>
        <x:v>148</x:v>
      </x:c>
      <x:c r="J192" s="296" t="n">
        <x:f>MOD(B192,2)+MOD(C192,2)+MOD(D192,2)+MOD(E192,2)+MOD(F192,2)</x:f>
        <x:v>2</x:v>
      </x:c>
      <x:c r="K192" s="296" t="n">
        <x:f>COUNTIF(B192:F192,"&gt;31")</x:f>
        <x:v>3</x:v>
      </x:c>
      <x:c r="L192" s="336" t="n">
        <x:f>1/'Executive Summary'!$B$24</x:f>
        <x:v>7.1511238420185165e-9</x:v>
      </x:c>
      <x:c r="M192" s="342" t="n">
        <x:f>2.5</x:f>
        <x:v>2.5</x:v>
      </x:c>
      <x:c r="N192" s="288" t="str">
        <x:v>Conditional coverage wheel</x:v>
      </x:c>
    </x:row>
    <x:row r="193">
      <x:c r="A193" s="295" t="n">
        <x:v>189</x:v>
      </x:c>
      <x:c r="B193" s="296" t="n">
        <x:v>4</x:v>
      </x:c>
      <x:c r="C193" s="296" t="n">
        <x:v>28</x:v>
      </x:c>
      <x:c r="D193" s="296" t="n">
        <x:v>35</x:v>
      </x:c>
      <x:c r="E193" s="296" t="n">
        <x:v>37</x:v>
      </x:c>
      <x:c r="F193" s="296" t="n">
        <x:v>44</x:v>
      </x:c>
      <x:c r="G193" s="296" t="n">
        <x:v>3</x:v>
      </x:c>
      <x:c r="H193" s="296" t="n">
        <x:v>9</x:v>
      </x:c>
      <x:c r="I193" s="296" t="n">
        <x:f>SUM(B193:F193)</x:f>
        <x:v>148</x:v>
      </x:c>
      <x:c r="J193" s="296" t="n">
        <x:f>MOD(B193,2)+MOD(C193,2)+MOD(D193,2)+MOD(E193,2)+MOD(F193,2)</x:f>
        <x:v>2</x:v>
      </x:c>
      <x:c r="K193" s="296" t="n">
        <x:f>COUNTIF(B193:F193,"&gt;31")</x:f>
        <x:v>3</x:v>
      </x:c>
      <x:c r="L193" s="336" t="n">
        <x:f>1/'Executive Summary'!$B$24</x:f>
        <x:v>7.1511238420185165e-9</x:v>
      </x:c>
      <x:c r="M193" s="342" t="n">
        <x:f>2.5</x:f>
        <x:v>2.5</x:v>
      </x:c>
      <x:c r="N193" s="288" t="str">
        <x:v>Conditional coverage wheel</x:v>
      </x:c>
    </x:row>
    <x:row r="194">
      <x:c r="A194" s="295" t="n">
        <x:v>190</x:v>
      </x:c>
      <x:c r="B194" s="296" t="n">
        <x:v>4</x:v>
      </x:c>
      <x:c r="C194" s="296" t="n">
        <x:v>28</x:v>
      </x:c>
      <x:c r="D194" s="296" t="n">
        <x:v>35</x:v>
      </x:c>
      <x:c r="E194" s="296" t="n">
        <x:v>37</x:v>
      </x:c>
      <x:c r="F194" s="296" t="n">
        <x:v>44</x:v>
      </x:c>
      <x:c r="G194" s="296" t="n">
        <x:v>5</x:v>
      </x:c>
      <x:c r="H194" s="296" t="n">
        <x:v>7</x:v>
      </x:c>
      <x:c r="I194" s="296" t="n">
        <x:f>SUM(B194:F194)</x:f>
        <x:v>148</x:v>
      </x:c>
      <x:c r="J194" s="296" t="n">
        <x:f>MOD(B194,2)+MOD(C194,2)+MOD(D194,2)+MOD(E194,2)+MOD(F194,2)</x:f>
        <x:v>2</x:v>
      </x:c>
      <x:c r="K194" s="296" t="n">
        <x:f>COUNTIF(B194:F194,"&gt;31")</x:f>
        <x:v>3</x:v>
      </x:c>
      <x:c r="L194" s="336" t="n">
        <x:f>1/'Executive Summary'!$B$24</x:f>
        <x:v>7.1511238420185165e-9</x:v>
      </x:c>
      <x:c r="M194" s="342" t="n">
        <x:f>2.5</x:f>
        <x:v>2.5</x:v>
      </x:c>
      <x:c r="N194" s="288" t="str">
        <x:v>Conditional coverage wheel</x:v>
      </x:c>
    </x:row>
    <x:row r="195">
      <x:c r="A195" s="295" t="n">
        <x:v>191</x:v>
      </x:c>
      <x:c r="B195" s="296" t="n">
        <x:v>4</x:v>
      </x:c>
      <x:c r="C195" s="296" t="n">
        <x:v>28</x:v>
      </x:c>
      <x:c r="D195" s="296" t="n">
        <x:v>35</x:v>
      </x:c>
      <x:c r="E195" s="296" t="n">
        <x:v>37</x:v>
      </x:c>
      <x:c r="F195" s="296" t="n">
        <x:v>44</x:v>
      </x:c>
      <x:c r="G195" s="296" t="n">
        <x:v>5</x:v>
      </x:c>
      <x:c r="H195" s="296" t="n">
        <x:v>9</x:v>
      </x:c>
      <x:c r="I195" s="296" t="n">
        <x:f>SUM(B195:F195)</x:f>
        <x:v>148</x:v>
      </x:c>
      <x:c r="J195" s="296" t="n">
        <x:f>MOD(B195,2)+MOD(C195,2)+MOD(D195,2)+MOD(E195,2)+MOD(F195,2)</x:f>
        <x:v>2</x:v>
      </x:c>
      <x:c r="K195" s="296" t="n">
        <x:f>COUNTIF(B195:F195,"&gt;31")</x:f>
        <x:v>3</x:v>
      </x:c>
      <x:c r="L195" s="336" t="n">
        <x:f>1/'Executive Summary'!$B$24</x:f>
        <x:v>7.1511238420185165e-9</x:v>
      </x:c>
      <x:c r="M195" s="342" t="n">
        <x:f>2.5</x:f>
        <x:v>2.5</x:v>
      </x:c>
      <x:c r="N195" s="288" t="str">
        <x:v>Conditional coverage wheel</x:v>
      </x:c>
    </x:row>
    <x:row r="196">
      <x:c r="A196" s="295" t="n">
        <x:v>192</x:v>
      </x:c>
      <x:c r="B196" s="296" t="n">
        <x:v>4</x:v>
      </x:c>
      <x:c r="C196" s="296" t="n">
        <x:v>28</x:v>
      </x:c>
      <x:c r="D196" s="296" t="n">
        <x:v>35</x:v>
      </x:c>
      <x:c r="E196" s="296" t="n">
        <x:v>37</x:v>
      </x:c>
      <x:c r="F196" s="296" t="n">
        <x:v>44</x:v>
      </x:c>
      <x:c r="G196" s="296" t="n">
        <x:v>7</x:v>
      </x:c>
      <x:c r="H196" s="296" t="n">
        <x:v>9</x:v>
      </x:c>
      <x:c r="I196" s="296" t="n">
        <x:f>SUM(B196:F196)</x:f>
        <x:v>148</x:v>
      </x:c>
      <x:c r="J196" s="296" t="n">
        <x:f>MOD(B196,2)+MOD(C196,2)+MOD(D196,2)+MOD(E196,2)+MOD(F196,2)</x:f>
        <x:v>2</x:v>
      </x:c>
      <x:c r="K196" s="296" t="n">
        <x:f>COUNTIF(B196:F196,"&gt;31")</x:f>
        <x:v>3</x:v>
      </x:c>
      <x:c r="L196" s="336" t="n">
        <x:f>1/'Executive Summary'!$B$24</x:f>
        <x:v>7.1511238420185165e-9</x:v>
      </x:c>
      <x:c r="M196" s="342" t="n">
        <x:f>2.5</x:f>
        <x:v>2.5</x:v>
      </x:c>
      <x:c r="N196" s="288" t="str">
        <x:v>Conditional coverage wheel</x:v>
      </x:c>
    </x:row>
    <x:row r="197">
      <x:c r="A197" s="295" t="n">
        <x:v>193</x:v>
      </x:c>
      <x:c r="B197" s="296" t="n">
        <x:v>27</x:v>
      </x:c>
      <x:c r="C197" s="296" t="n">
        <x:v>36</x:v>
      </x:c>
      <x:c r="D197" s="296" t="n">
        <x:v>37</x:v>
      </x:c>
      <x:c r="E197" s="296" t="n">
        <x:v>42</x:v>
      </x:c>
      <x:c r="F197" s="296" t="n">
        <x:v>44</x:v>
      </x:c>
      <x:c r="G197" s="296" t="n">
        <x:v>3</x:v>
      </x:c>
      <x:c r="H197" s="296" t="n">
        <x:v>5</x:v>
      </x:c>
      <x:c r="I197" s="296" t="n">
        <x:f>SUM(B197:F197)</x:f>
        <x:v>186</x:v>
      </x:c>
      <x:c r="J197" s="296" t="n">
        <x:f>MOD(B197,2)+MOD(C197,2)+MOD(D197,2)+MOD(E197,2)+MOD(F197,2)</x:f>
        <x:v>2</x:v>
      </x:c>
      <x:c r="K197" s="296" t="n">
        <x:f>COUNTIF(B197:F197,"&gt;31")</x:f>
        <x:v>4</x:v>
      </x:c>
      <x:c r="L197" s="336" t="n">
        <x:f>1/'Executive Summary'!$B$24</x:f>
        <x:v>7.1511238420185165e-9</x:v>
      </x:c>
      <x:c r="M197" s="342" t="n">
        <x:f>2.5</x:f>
        <x:v>2.5</x:v>
      </x:c>
      <x:c r="N197" s="288" t="str">
        <x:v>Conditional coverage wheel</x:v>
      </x:c>
    </x:row>
    <x:row r="198">
      <x:c r="A198" s="295" t="n">
        <x:v>194</x:v>
      </x:c>
      <x:c r="B198" s="296" t="n">
        <x:v>27</x:v>
      </x:c>
      <x:c r="C198" s="296" t="n">
        <x:v>36</x:v>
      </x:c>
      <x:c r="D198" s="296" t="n">
        <x:v>37</x:v>
      </x:c>
      <x:c r="E198" s="296" t="n">
        <x:v>42</x:v>
      </x:c>
      <x:c r="F198" s="296" t="n">
        <x:v>44</x:v>
      </x:c>
      <x:c r="G198" s="296" t="n">
        <x:v>3</x:v>
      </x:c>
      <x:c r="H198" s="296" t="n">
        <x:v>7</x:v>
      </x:c>
      <x:c r="I198" s="296" t="n">
        <x:f>SUM(B198:F198)</x:f>
        <x:v>186</x:v>
      </x:c>
      <x:c r="J198" s="296" t="n">
        <x:f>MOD(B198,2)+MOD(C198,2)+MOD(D198,2)+MOD(E198,2)+MOD(F198,2)</x:f>
        <x:v>2</x:v>
      </x:c>
      <x:c r="K198" s="296" t="n">
        <x:f>COUNTIF(B198:F198,"&gt;31")</x:f>
        <x:v>4</x:v>
      </x:c>
      <x:c r="L198" s="336" t="n">
        <x:f>1/'Executive Summary'!$B$24</x:f>
        <x:v>7.1511238420185165e-9</x:v>
      </x:c>
      <x:c r="M198" s="342" t="n">
        <x:f>2.5</x:f>
        <x:v>2.5</x:v>
      </x:c>
      <x:c r="N198" s="288" t="str">
        <x:v>Conditional coverage wheel</x:v>
      </x:c>
    </x:row>
    <x:row r="199">
      <x:c r="A199" s="295" t="n">
        <x:v>195</x:v>
      </x:c>
      <x:c r="B199" s="296" t="n">
        <x:v>27</x:v>
      </x:c>
      <x:c r="C199" s="296" t="n">
        <x:v>36</x:v>
      </x:c>
      <x:c r="D199" s="296" t="n">
        <x:v>37</x:v>
      </x:c>
      <x:c r="E199" s="296" t="n">
        <x:v>42</x:v>
      </x:c>
      <x:c r="F199" s="296" t="n">
        <x:v>44</x:v>
      </x:c>
      <x:c r="G199" s="296" t="n">
        <x:v>3</x:v>
      </x:c>
      <x:c r="H199" s="296" t="n">
        <x:v>9</x:v>
      </x:c>
      <x:c r="I199" s="296" t="n">
        <x:f>SUM(B199:F199)</x:f>
        <x:v>186</x:v>
      </x:c>
      <x:c r="J199" s="296" t="n">
        <x:f>MOD(B199,2)+MOD(C199,2)+MOD(D199,2)+MOD(E199,2)+MOD(F199,2)</x:f>
        <x:v>2</x:v>
      </x:c>
      <x:c r="K199" s="296" t="n">
        <x:f>COUNTIF(B199:F199,"&gt;31")</x:f>
        <x:v>4</x:v>
      </x:c>
      <x:c r="L199" s="336" t="n">
        <x:f>1/'Executive Summary'!$B$24</x:f>
        <x:v>7.1511238420185165e-9</x:v>
      </x:c>
      <x:c r="M199" s="342" t="n">
        <x:f>2.5</x:f>
        <x:v>2.5</x:v>
      </x:c>
      <x:c r="N199" s="288" t="str">
        <x:v>Conditional coverage wheel</x:v>
      </x:c>
    </x:row>
    <x:row r="200">
      <x:c r="A200" s="295" t="n">
        <x:v>196</x:v>
      </x:c>
      <x:c r="B200" s="296" t="n">
        <x:v>27</x:v>
      </x:c>
      <x:c r="C200" s="296" t="n">
        <x:v>36</x:v>
      </x:c>
      <x:c r="D200" s="296" t="n">
        <x:v>37</x:v>
      </x:c>
      <x:c r="E200" s="296" t="n">
        <x:v>42</x:v>
      </x:c>
      <x:c r="F200" s="296" t="n">
        <x:v>44</x:v>
      </x:c>
      <x:c r="G200" s="296" t="n">
        <x:v>5</x:v>
      </x:c>
      <x:c r="H200" s="296" t="n">
        <x:v>7</x:v>
      </x:c>
      <x:c r="I200" s="296" t="n">
        <x:f>SUM(B200:F200)</x:f>
        <x:v>186</x:v>
      </x:c>
      <x:c r="J200" s="296" t="n">
        <x:f>MOD(B200,2)+MOD(C200,2)+MOD(D200,2)+MOD(E200,2)+MOD(F200,2)</x:f>
        <x:v>2</x:v>
      </x:c>
      <x:c r="K200" s="296" t="n">
        <x:f>COUNTIF(B200:F200,"&gt;31")</x:f>
        <x:v>4</x:v>
      </x:c>
      <x:c r="L200" s="336" t="n">
        <x:f>1/'Executive Summary'!$B$24</x:f>
        <x:v>7.1511238420185165e-9</x:v>
      </x:c>
      <x:c r="M200" s="342" t="n">
        <x:f>2.5</x:f>
        <x:v>2.5</x:v>
      </x:c>
      <x:c r="N200" s="288" t="str">
        <x:v>Conditional coverage wheel</x:v>
      </x:c>
    </x:row>
    <x:row r="201">
      <x:c r="A201" s="295" t="n">
        <x:v>197</x:v>
      </x:c>
      <x:c r="B201" s="296" t="n">
        <x:v>27</x:v>
      </x:c>
      <x:c r="C201" s="296" t="n">
        <x:v>36</x:v>
      </x:c>
      <x:c r="D201" s="296" t="n">
        <x:v>37</x:v>
      </x:c>
      <x:c r="E201" s="296" t="n">
        <x:v>42</x:v>
      </x:c>
      <x:c r="F201" s="296" t="n">
        <x:v>44</x:v>
      </x:c>
      <x:c r="G201" s="296" t="n">
        <x:v>5</x:v>
      </x:c>
      <x:c r="H201" s="296" t="n">
        <x:v>9</x:v>
      </x:c>
      <x:c r="I201" s="296" t="n">
        <x:f>SUM(B201:F201)</x:f>
        <x:v>186</x:v>
      </x:c>
      <x:c r="J201" s="296" t="n">
        <x:f>MOD(B201,2)+MOD(C201,2)+MOD(D201,2)+MOD(E201,2)+MOD(F201,2)</x:f>
        <x:v>2</x:v>
      </x:c>
      <x:c r="K201" s="296" t="n">
        <x:f>COUNTIF(B201:F201,"&gt;31")</x:f>
        <x:v>4</x:v>
      </x:c>
      <x:c r="L201" s="336" t="n">
        <x:f>1/'Executive Summary'!$B$24</x:f>
        <x:v>7.1511238420185165e-9</x:v>
      </x:c>
      <x:c r="M201" s="342" t="n">
        <x:f>2.5</x:f>
        <x:v>2.5</x:v>
      </x:c>
      <x:c r="N201" s="288" t="str">
        <x:v>Conditional coverage wheel</x:v>
      </x:c>
    </x:row>
    <x:row r="202">
      <x:c r="A202" s="297" t="n">
        <x:v>198</x:v>
      </x:c>
      <x:c r="B202" s="298" t="n">
        <x:v>27</x:v>
      </x:c>
      <x:c r="C202" s="298" t="n">
        <x:v>36</x:v>
      </x:c>
      <x:c r="D202" s="298" t="n">
        <x:v>37</x:v>
      </x:c>
      <x:c r="E202" s="298" t="n">
        <x:v>42</x:v>
      </x:c>
      <x:c r="F202" s="298" t="n">
        <x:v>44</x:v>
      </x:c>
      <x:c r="G202" s="298" t="n">
        <x:v>7</x:v>
      </x:c>
      <x:c r="H202" s="298" t="n">
        <x:v>9</x:v>
      </x:c>
      <x:c r="I202" s="298" t="n">
        <x:f>SUM(B202:F202)</x:f>
        <x:v>186</x:v>
      </x:c>
      <x:c r="J202" s="298" t="n">
        <x:f>MOD(B202,2)+MOD(C202,2)+MOD(D202,2)+MOD(E202,2)+MOD(F202,2)</x:f>
        <x:v>2</x:v>
      </x:c>
      <x:c r="K202" s="298" t="n">
        <x:f>COUNTIF(B202:F202,"&gt;31")</x:f>
        <x:v>4</x:v>
      </x:c>
      <x:c r="L202" s="337" t="n">
        <x:f>1/'Executive Summary'!$B$24</x:f>
        <x:v>7.1511238420185165e-9</x:v>
      </x:c>
      <x:c r="M202" s="343" t="n">
        <x:f>2.5</x:f>
        <x:v>2.5</x:v>
      </x:c>
      <x:c r="N202" s="290" t="str">
        <x:v>Conditional coverage wheel</x:v>
      </x:c>
    </x:row>
  </x:sheetData>
  <x:mergeCells>
    <x:mergeCell ref="A1:N1"/>
    <x:mergeCell ref="A2:N2"/>
  </x:mergeCells>
  <x:pageMargins left="0.7" right="0.7" top="0.75" bottom="0.75" header="0.3" footer="0.3"/>
</x:worksheet>
</file>

<file path=xl/worksheets/sheet23.xml><?xml version="1.0" encoding="utf-8"?>
<x:worksheet xmlns:x="http://schemas.openxmlformats.org/spreadsheetml/2006/main">
  <x:sheetFormatPr defaultRowHeight="15"/>
  <x:cols>
    <x:col min="1" max="1" width="9"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2" hidden="0" customWidth="1"/>
    <x:col min="10" max="10" width="11" hidden="0" customWidth="1"/>
    <x:col min="11" max="11" width="11" hidden="0" customWidth="1"/>
    <x:col min="12" max="12" width="21" hidden="0" customWidth="1"/>
    <x:col min="13" max="13" width="11" hidden="0" customWidth="1"/>
    <x:col min="14" max="14" width="27" hidden="0" customWidth="1"/>
  </x:cols>
  <x:sheetData>
    <x:row r="1">
      <x:c r="A1" s="382" t="str">
        <x:v>495-Line Extended Conditional 3+2 Wheel</x:v>
      </x:c>
      <x:c r="B1" s="382"/>
      <x:c r="C1" s="382"/>
      <x:c r="D1" s="382"/>
      <x:c r="E1" s="382"/>
      <x:c r="F1" s="382"/>
      <x:c r="G1" s="382"/>
      <x:c r="H1" s="382"/>
      <x:c r="I1" s="382"/>
      <x:c r="J1" s="382"/>
      <x:c r="K1" s="382"/>
      <x:c r="L1" s="382"/>
      <x:c r="M1" s="382"/>
      <x:c r="N1" s="382"/>
      <x:c r="O1" s="260"/>
      <x:c r="P1" s="260"/>
      <x:c r="Q1" s="260"/>
      <x:c r="R1" s="260"/>
      <x:c r="S1" s="260"/>
      <x:c r="T1" s="260"/>
      <x:c r="U1" s="260"/>
      <x:c r="V1" s="260"/>
      <x:c r="W1" s="260"/>
      <x:c r="X1" s="260"/>
      <x:c r="Y1" s="260"/>
      <x:c r="Z1" s="260"/>
    </x:row>
    <x:row r="2">
      <x:c r="A2" s="326" t="str">
        <x:v>If ≥3 winning mains are in the selected 12 and both Euros are in 3,4,5,7,8,9, at least one line contains ≥3+2.</x:v>
      </x:c>
      <x:c r="B2" s="326"/>
      <x:c r="C2" s="326"/>
      <x:c r="D2" s="326"/>
      <x:c r="E2" s="326"/>
      <x:c r="F2" s="326"/>
      <x:c r="G2" s="326"/>
      <x:c r="H2" s="326"/>
      <x:c r="I2" s="326"/>
      <x:c r="J2" s="326"/>
      <x:c r="K2" s="326"/>
      <x:c r="L2" s="326"/>
      <x:c r="M2" s="326"/>
      <x:c r="N2" s="326"/>
    </x:row>
    <x:row r="4">
      <x:c r="A4" s="311" t="str">
        <x:v>Line</x:v>
      </x:c>
      <x:c r="B4" s="312" t="str">
        <x:v>Main 1</x:v>
      </x:c>
      <x:c r="C4" s="312" t="str">
        <x:v>Main 2</x:v>
      </x:c>
      <x:c r="D4" s="312" t="str">
        <x:v>Main 3</x:v>
      </x:c>
      <x:c r="E4" s="312" t="str">
        <x:v>Main 4</x:v>
      </x:c>
      <x:c r="F4" s="312" t="str">
        <x:v>Main 5</x:v>
      </x:c>
      <x:c r="G4" s="312" t="str">
        <x:v>Euro 1</x:v>
      </x:c>
      <x:c r="H4" s="312" t="str">
        <x:v>Euro 2</x:v>
      </x:c>
      <x:c r="I4" s="312" t="str">
        <x:v>Main Sum</x:v>
      </x:c>
      <x:c r="J4" s="312" t="str">
        <x:v>Odd Count</x:v>
      </x:c>
      <x:c r="K4" s="312" t="str">
        <x:v>Above 31</x:v>
      </x:c>
      <x:c r="L4" s="312" t="str">
        <x:v>Jackpot Probability</x:v>
      </x:c>
      <x:c r="M4" s="312" t="str">
        <x:v>Cost</x:v>
      </x:c>
      <x:c r="N4" s="313" t="str">
        <x:v>Classification</x:v>
      </x:c>
    </x:row>
    <x:row r="5">
      <x:c r="A5" s="295" t="n">
        <x:v>1</x:v>
      </x:c>
      <x:c r="B5" s="296" t="n">
        <x:v>4</x:v>
      </x:c>
      <x:c r="C5" s="296" t="n">
        <x:v>21</x:v>
      </x:c>
      <x:c r="D5" s="296" t="n">
        <x:v>25</x:v>
      </x:c>
      <x:c r="E5" s="296" t="n">
        <x:v>27</x:v>
      </x:c>
      <x:c r="F5" s="296" t="n">
        <x:v>28</x:v>
      </x:c>
      <x:c r="G5" s="296" t="n">
        <x:v>3</x:v>
      </x:c>
      <x:c r="H5" s="296" t="n">
        <x:v>4</x:v>
      </x:c>
      <x:c r="I5" s="296" t="n">
        <x:f>SUM(B5:F5)</x:f>
        <x:v>105</x:v>
      </x:c>
      <x:c r="J5" s="296" t="n">
        <x:f>MOD(B5,2)+MOD(C5,2)+MOD(D5,2)+MOD(E5,2)+MOD(F5,2)</x:f>
        <x:v>3</x:v>
      </x:c>
      <x:c r="K5" s="296" t="n">
        <x:f>COUNTIF(B5:F5,"&gt;31")</x:f>
        <x:v>0</x:v>
      </x:c>
      <x:c r="L5" s="336" t="n">
        <x:f>1/'Executive Summary'!$B$24</x:f>
        <x:v>7.1511238420185165e-9</x:v>
      </x:c>
      <x:c r="M5" s="342" t="n">
        <x:f>2.5</x:f>
        <x:v>2.5</x:v>
      </x:c>
      <x:c r="N5" s="288" t="str">
        <x:v>Conditional coverage wheel</x:v>
      </x:c>
    </x:row>
    <x:row r="6">
      <x:c r="A6" s="295" t="n">
        <x:v>2</x:v>
      </x:c>
      <x:c r="B6" s="296" t="n">
        <x:v>4</x:v>
      </x:c>
      <x:c r="C6" s="296" t="n">
        <x:v>21</x:v>
      </x:c>
      <x:c r="D6" s="296" t="n">
        <x:v>25</x:v>
      </x:c>
      <x:c r="E6" s="296" t="n">
        <x:v>27</x:v>
      </x:c>
      <x:c r="F6" s="296" t="n">
        <x:v>28</x:v>
      </x:c>
      <x:c r="G6" s="296" t="n">
        <x:v>3</x:v>
      </x:c>
      <x:c r="H6" s="296" t="n">
        <x:v>5</x:v>
      </x:c>
      <x:c r="I6" s="296" t="n">
        <x:f>SUM(B6:F6)</x:f>
        <x:v>105</x:v>
      </x:c>
      <x:c r="J6" s="296" t="n">
        <x:f>MOD(B6,2)+MOD(C6,2)+MOD(D6,2)+MOD(E6,2)+MOD(F6,2)</x:f>
        <x:v>3</x:v>
      </x:c>
      <x:c r="K6" s="296" t="n">
        <x:f>COUNTIF(B6:F6,"&gt;31")</x:f>
        <x:v>0</x:v>
      </x:c>
      <x:c r="L6" s="336" t="n">
        <x:f>1/'Executive Summary'!$B$24</x:f>
        <x:v>7.1511238420185165e-9</x:v>
      </x:c>
      <x:c r="M6" s="342" t="n">
        <x:f>2.5</x:f>
        <x:v>2.5</x:v>
      </x:c>
      <x:c r="N6" s="288" t="str">
        <x:v>Conditional coverage wheel</x:v>
      </x:c>
    </x:row>
    <x:row r="7">
      <x:c r="A7" s="295" t="n">
        <x:v>3</x:v>
      </x:c>
      <x:c r="B7" s="296" t="n">
        <x:v>4</x:v>
      </x:c>
      <x:c r="C7" s="296" t="n">
        <x:v>21</x:v>
      </x:c>
      <x:c r="D7" s="296" t="n">
        <x:v>25</x:v>
      </x:c>
      <x:c r="E7" s="296" t="n">
        <x:v>27</x:v>
      </x:c>
      <x:c r="F7" s="296" t="n">
        <x:v>28</x:v>
      </x:c>
      <x:c r="G7" s="296" t="n">
        <x:v>3</x:v>
      </x:c>
      <x:c r="H7" s="296" t="n">
        <x:v>7</x:v>
      </x:c>
      <x:c r="I7" s="296" t="n">
        <x:f>SUM(B7:F7)</x:f>
        <x:v>105</x:v>
      </x:c>
      <x:c r="J7" s="296" t="n">
        <x:f>MOD(B7,2)+MOD(C7,2)+MOD(D7,2)+MOD(E7,2)+MOD(F7,2)</x:f>
        <x:v>3</x:v>
      </x:c>
      <x:c r="K7" s="296" t="n">
        <x:f>COUNTIF(B7:F7,"&gt;31")</x:f>
        <x:v>0</x:v>
      </x:c>
      <x:c r="L7" s="336" t="n">
        <x:f>1/'Executive Summary'!$B$24</x:f>
        <x:v>7.1511238420185165e-9</x:v>
      </x:c>
      <x:c r="M7" s="342" t="n">
        <x:f>2.5</x:f>
        <x:v>2.5</x:v>
      </x:c>
      <x:c r="N7" s="288" t="str">
        <x:v>Conditional coverage wheel</x:v>
      </x:c>
    </x:row>
    <x:row r="8">
      <x:c r="A8" s="295" t="n">
        <x:v>4</x:v>
      </x:c>
      <x:c r="B8" s="296" t="n">
        <x:v>4</x:v>
      </x:c>
      <x:c r="C8" s="296" t="n">
        <x:v>21</x:v>
      </x:c>
      <x:c r="D8" s="296" t="n">
        <x:v>25</x:v>
      </x:c>
      <x:c r="E8" s="296" t="n">
        <x:v>27</x:v>
      </x:c>
      <x:c r="F8" s="296" t="n">
        <x:v>28</x:v>
      </x:c>
      <x:c r="G8" s="296" t="n">
        <x:v>3</x:v>
      </x:c>
      <x:c r="H8" s="296" t="n">
        <x:v>8</x:v>
      </x:c>
      <x:c r="I8" s="296" t="n">
        <x:f>SUM(B8:F8)</x:f>
        <x:v>105</x:v>
      </x:c>
      <x:c r="J8" s="296" t="n">
        <x:f>MOD(B8,2)+MOD(C8,2)+MOD(D8,2)+MOD(E8,2)+MOD(F8,2)</x:f>
        <x:v>3</x:v>
      </x:c>
      <x:c r="K8" s="296" t="n">
        <x:f>COUNTIF(B8:F8,"&gt;31")</x:f>
        <x:v>0</x:v>
      </x:c>
      <x:c r="L8" s="336" t="n">
        <x:f>1/'Executive Summary'!$B$24</x:f>
        <x:v>7.1511238420185165e-9</x:v>
      </x:c>
      <x:c r="M8" s="342" t="n">
        <x:f>2.5</x:f>
        <x:v>2.5</x:v>
      </x:c>
      <x:c r="N8" s="288" t="str">
        <x:v>Conditional coverage wheel</x:v>
      </x:c>
    </x:row>
    <x:row r="9">
      <x:c r="A9" s="295" t="n">
        <x:v>5</x:v>
      </x:c>
      <x:c r="B9" s="296" t="n">
        <x:v>4</x:v>
      </x:c>
      <x:c r="C9" s="296" t="n">
        <x:v>21</x:v>
      </x:c>
      <x:c r="D9" s="296" t="n">
        <x:v>25</x:v>
      </x:c>
      <x:c r="E9" s="296" t="n">
        <x:v>27</x:v>
      </x:c>
      <x:c r="F9" s="296" t="n">
        <x:v>28</x:v>
      </x:c>
      <x:c r="G9" s="296" t="n">
        <x:v>3</x:v>
      </x:c>
      <x:c r="H9" s="296" t="n">
        <x:v>9</x:v>
      </x:c>
      <x:c r="I9" s="296" t="n">
        <x:f>SUM(B9:F9)</x:f>
        <x:v>105</x:v>
      </x:c>
      <x:c r="J9" s="296" t="n">
        <x:f>MOD(B9,2)+MOD(C9,2)+MOD(D9,2)+MOD(E9,2)+MOD(F9,2)</x:f>
        <x:v>3</x:v>
      </x:c>
      <x:c r="K9" s="296" t="n">
        <x:f>COUNTIF(B9:F9,"&gt;31")</x:f>
        <x:v>0</x:v>
      </x:c>
      <x:c r="L9" s="336" t="n">
        <x:f>1/'Executive Summary'!$B$24</x:f>
        <x:v>7.1511238420185165e-9</x:v>
      </x:c>
      <x:c r="M9" s="342" t="n">
        <x:f>2.5</x:f>
        <x:v>2.5</x:v>
      </x:c>
      <x:c r="N9" s="288" t="str">
        <x:v>Conditional coverage wheel</x:v>
      </x:c>
    </x:row>
    <x:row r="10">
      <x:c r="A10" s="295" t="n">
        <x:v>6</x:v>
      </x:c>
      <x:c r="B10" s="296" t="n">
        <x:v>4</x:v>
      </x:c>
      <x:c r="C10" s="296" t="n">
        <x:v>21</x:v>
      </x:c>
      <x:c r="D10" s="296" t="n">
        <x:v>25</x:v>
      </x:c>
      <x:c r="E10" s="296" t="n">
        <x:v>27</x:v>
      </x:c>
      <x:c r="F10" s="296" t="n">
        <x:v>28</x:v>
      </x:c>
      <x:c r="G10" s="296" t="n">
        <x:v>4</x:v>
      </x:c>
      <x:c r="H10" s="296" t="n">
        <x:v>5</x:v>
      </x:c>
      <x:c r="I10" s="296" t="n">
        <x:f>SUM(B10:F10)</x:f>
        <x:v>105</x:v>
      </x:c>
      <x:c r="J10" s="296" t="n">
        <x:f>MOD(B10,2)+MOD(C10,2)+MOD(D10,2)+MOD(E10,2)+MOD(F10,2)</x:f>
        <x:v>3</x:v>
      </x:c>
      <x:c r="K10" s="296" t="n">
        <x:f>COUNTIF(B10:F10,"&gt;31")</x:f>
        <x:v>0</x:v>
      </x:c>
      <x:c r="L10" s="336" t="n">
        <x:f>1/'Executive Summary'!$B$24</x:f>
        <x:v>7.1511238420185165e-9</x:v>
      </x:c>
      <x:c r="M10" s="342" t="n">
        <x:f>2.5</x:f>
        <x:v>2.5</x:v>
      </x:c>
      <x:c r="N10" s="288" t="str">
        <x:v>Conditional coverage wheel</x:v>
      </x:c>
    </x:row>
    <x:row r="11">
      <x:c r="A11" s="295" t="n">
        <x:v>7</x:v>
      </x:c>
      <x:c r="B11" s="296" t="n">
        <x:v>4</x:v>
      </x:c>
      <x:c r="C11" s="296" t="n">
        <x:v>21</x:v>
      </x:c>
      <x:c r="D11" s="296" t="n">
        <x:v>25</x:v>
      </x:c>
      <x:c r="E11" s="296" t="n">
        <x:v>27</x:v>
      </x:c>
      <x:c r="F11" s="296" t="n">
        <x:v>28</x:v>
      </x:c>
      <x:c r="G11" s="296" t="n">
        <x:v>4</x:v>
      </x:c>
      <x:c r="H11" s="296" t="n">
        <x:v>7</x:v>
      </x:c>
      <x:c r="I11" s="296" t="n">
        <x:f>SUM(B11:F11)</x:f>
        <x:v>105</x:v>
      </x:c>
      <x:c r="J11" s="296" t="n">
        <x:f>MOD(B11,2)+MOD(C11,2)+MOD(D11,2)+MOD(E11,2)+MOD(F11,2)</x:f>
        <x:v>3</x:v>
      </x:c>
      <x:c r="K11" s="296" t="n">
        <x:f>COUNTIF(B11:F11,"&gt;31")</x:f>
        <x:v>0</x:v>
      </x:c>
      <x:c r="L11" s="336" t="n">
        <x:f>1/'Executive Summary'!$B$24</x:f>
        <x:v>7.1511238420185165e-9</x:v>
      </x:c>
      <x:c r="M11" s="342" t="n">
        <x:f>2.5</x:f>
        <x:v>2.5</x:v>
      </x:c>
      <x:c r="N11" s="288" t="str">
        <x:v>Conditional coverage wheel</x:v>
      </x:c>
    </x:row>
    <x:row r="12">
      <x:c r="A12" s="295" t="n">
        <x:v>8</x:v>
      </x:c>
      <x:c r="B12" s="296" t="n">
        <x:v>4</x:v>
      </x:c>
      <x:c r="C12" s="296" t="n">
        <x:v>21</x:v>
      </x:c>
      <x:c r="D12" s="296" t="n">
        <x:v>25</x:v>
      </x:c>
      <x:c r="E12" s="296" t="n">
        <x:v>27</x:v>
      </x:c>
      <x:c r="F12" s="296" t="n">
        <x:v>28</x:v>
      </x:c>
      <x:c r="G12" s="296" t="n">
        <x:v>4</x:v>
      </x:c>
      <x:c r="H12" s="296" t="n">
        <x:v>8</x:v>
      </x:c>
      <x:c r="I12" s="296" t="n">
        <x:f>SUM(B12:F12)</x:f>
        <x:v>105</x:v>
      </x:c>
      <x:c r="J12" s="296" t="n">
        <x:f>MOD(B12,2)+MOD(C12,2)+MOD(D12,2)+MOD(E12,2)+MOD(F12,2)</x:f>
        <x:v>3</x:v>
      </x:c>
      <x:c r="K12" s="296" t="n">
        <x:f>COUNTIF(B12:F12,"&gt;31")</x:f>
        <x:v>0</x:v>
      </x:c>
      <x:c r="L12" s="336" t="n">
        <x:f>1/'Executive Summary'!$B$24</x:f>
        <x:v>7.1511238420185165e-9</x:v>
      </x:c>
      <x:c r="M12" s="342" t="n">
        <x:f>2.5</x:f>
        <x:v>2.5</x:v>
      </x:c>
      <x:c r="N12" s="288" t="str">
        <x:v>Conditional coverage wheel</x:v>
      </x:c>
    </x:row>
    <x:row r="13">
      <x:c r="A13" s="295" t="n">
        <x:v>9</x:v>
      </x:c>
      <x:c r="B13" s="296" t="n">
        <x:v>4</x:v>
      </x:c>
      <x:c r="C13" s="296" t="n">
        <x:v>21</x:v>
      </x:c>
      <x:c r="D13" s="296" t="n">
        <x:v>25</x:v>
      </x:c>
      <x:c r="E13" s="296" t="n">
        <x:v>27</x:v>
      </x:c>
      <x:c r="F13" s="296" t="n">
        <x:v>28</x:v>
      </x:c>
      <x:c r="G13" s="296" t="n">
        <x:v>4</x:v>
      </x:c>
      <x:c r="H13" s="296" t="n">
        <x:v>9</x:v>
      </x:c>
      <x:c r="I13" s="296" t="n">
        <x:f>SUM(B13:F13)</x:f>
        <x:v>105</x:v>
      </x:c>
      <x:c r="J13" s="296" t="n">
        <x:f>MOD(B13,2)+MOD(C13,2)+MOD(D13,2)+MOD(E13,2)+MOD(F13,2)</x:f>
        <x:v>3</x:v>
      </x:c>
      <x:c r="K13" s="296" t="n">
        <x:f>COUNTIF(B13:F13,"&gt;31")</x:f>
        <x:v>0</x:v>
      </x:c>
      <x:c r="L13" s="336" t="n">
        <x:f>1/'Executive Summary'!$B$24</x:f>
        <x:v>7.1511238420185165e-9</x:v>
      </x:c>
      <x:c r="M13" s="342" t="n">
        <x:f>2.5</x:f>
        <x:v>2.5</x:v>
      </x:c>
      <x:c r="N13" s="288" t="str">
        <x:v>Conditional coverage wheel</x:v>
      </x:c>
    </x:row>
    <x:row r="14">
      <x:c r="A14" s="295" t="n">
        <x:v>10</x:v>
      </x:c>
      <x:c r="B14" s="296" t="n">
        <x:v>4</x:v>
      </x:c>
      <x:c r="C14" s="296" t="n">
        <x:v>21</x:v>
      </x:c>
      <x:c r="D14" s="296" t="n">
        <x:v>25</x:v>
      </x:c>
      <x:c r="E14" s="296" t="n">
        <x:v>27</x:v>
      </x:c>
      <x:c r="F14" s="296" t="n">
        <x:v>28</x:v>
      </x:c>
      <x:c r="G14" s="296" t="n">
        <x:v>5</x:v>
      </x:c>
      <x:c r="H14" s="296" t="n">
        <x:v>7</x:v>
      </x:c>
      <x:c r="I14" s="296" t="n">
        <x:f>SUM(B14:F14)</x:f>
        <x:v>105</x:v>
      </x:c>
      <x:c r="J14" s="296" t="n">
        <x:f>MOD(B14,2)+MOD(C14,2)+MOD(D14,2)+MOD(E14,2)+MOD(F14,2)</x:f>
        <x:v>3</x:v>
      </x:c>
      <x:c r="K14" s="296" t="n">
        <x:f>COUNTIF(B14:F14,"&gt;31")</x:f>
        <x:v>0</x:v>
      </x:c>
      <x:c r="L14" s="336" t="n">
        <x:f>1/'Executive Summary'!$B$24</x:f>
        <x:v>7.1511238420185165e-9</x:v>
      </x:c>
      <x:c r="M14" s="342" t="n">
        <x:f>2.5</x:f>
        <x:v>2.5</x:v>
      </x:c>
      <x:c r="N14" s="288" t="str">
        <x:v>Conditional coverage wheel</x:v>
      </x:c>
    </x:row>
    <x:row r="15">
      <x:c r="A15" s="295" t="n">
        <x:v>11</x:v>
      </x:c>
      <x:c r="B15" s="296" t="n">
        <x:v>4</x:v>
      </x:c>
      <x:c r="C15" s="296" t="n">
        <x:v>21</x:v>
      </x:c>
      <x:c r="D15" s="296" t="n">
        <x:v>25</x:v>
      </x:c>
      <x:c r="E15" s="296" t="n">
        <x:v>27</x:v>
      </x:c>
      <x:c r="F15" s="296" t="n">
        <x:v>28</x:v>
      </x:c>
      <x:c r="G15" s="296" t="n">
        <x:v>5</x:v>
      </x:c>
      <x:c r="H15" s="296" t="n">
        <x:v>8</x:v>
      </x:c>
      <x:c r="I15" s="296" t="n">
        <x:f>SUM(B15:F15)</x:f>
        <x:v>105</x:v>
      </x:c>
      <x:c r="J15" s="296" t="n">
        <x:f>MOD(B15,2)+MOD(C15,2)+MOD(D15,2)+MOD(E15,2)+MOD(F15,2)</x:f>
        <x:v>3</x:v>
      </x:c>
      <x:c r="K15" s="296" t="n">
        <x:f>COUNTIF(B15:F15,"&gt;31")</x:f>
        <x:v>0</x:v>
      </x:c>
      <x:c r="L15" s="336" t="n">
        <x:f>1/'Executive Summary'!$B$24</x:f>
        <x:v>7.1511238420185165e-9</x:v>
      </x:c>
      <x:c r="M15" s="342" t="n">
        <x:f>2.5</x:f>
        <x:v>2.5</x:v>
      </x:c>
      <x:c r="N15" s="288" t="str">
        <x:v>Conditional coverage wheel</x:v>
      </x:c>
    </x:row>
    <x:row r="16">
      <x:c r="A16" s="295" t="n">
        <x:v>12</x:v>
      </x:c>
      <x:c r="B16" s="296" t="n">
        <x:v>4</x:v>
      </x:c>
      <x:c r="C16" s="296" t="n">
        <x:v>21</x:v>
      </x:c>
      <x:c r="D16" s="296" t="n">
        <x:v>25</x:v>
      </x:c>
      <x:c r="E16" s="296" t="n">
        <x:v>27</x:v>
      </x:c>
      <x:c r="F16" s="296" t="n">
        <x:v>28</x:v>
      </x:c>
      <x:c r="G16" s="296" t="n">
        <x:v>5</x:v>
      </x:c>
      <x:c r="H16" s="296" t="n">
        <x:v>9</x:v>
      </x:c>
      <x:c r="I16" s="296" t="n">
        <x:f>SUM(B16:F16)</x:f>
        <x:v>105</x:v>
      </x:c>
      <x:c r="J16" s="296" t="n">
        <x:f>MOD(B16,2)+MOD(C16,2)+MOD(D16,2)+MOD(E16,2)+MOD(F16,2)</x:f>
        <x:v>3</x:v>
      </x:c>
      <x:c r="K16" s="296" t="n">
        <x:f>COUNTIF(B16:F16,"&gt;31")</x:f>
        <x:v>0</x:v>
      </x:c>
      <x:c r="L16" s="336" t="n">
        <x:f>1/'Executive Summary'!$B$24</x:f>
        <x:v>7.1511238420185165e-9</x:v>
      </x:c>
      <x:c r="M16" s="342" t="n">
        <x:f>2.5</x:f>
        <x:v>2.5</x:v>
      </x:c>
      <x:c r="N16" s="288" t="str">
        <x:v>Conditional coverage wheel</x:v>
      </x:c>
    </x:row>
    <x:row r="17">
      <x:c r="A17" s="295" t="n">
        <x:v>13</x:v>
      </x:c>
      <x:c r="B17" s="296" t="n">
        <x:v>4</x:v>
      </x:c>
      <x:c r="C17" s="296" t="n">
        <x:v>21</x:v>
      </x:c>
      <x:c r="D17" s="296" t="n">
        <x:v>25</x:v>
      </x:c>
      <x:c r="E17" s="296" t="n">
        <x:v>27</x:v>
      </x:c>
      <x:c r="F17" s="296" t="n">
        <x:v>28</x:v>
      </x:c>
      <x:c r="G17" s="296" t="n">
        <x:v>7</x:v>
      </x:c>
      <x:c r="H17" s="296" t="n">
        <x:v>8</x:v>
      </x:c>
      <x:c r="I17" s="296" t="n">
        <x:f>SUM(B17:F17)</x:f>
        <x:v>105</x:v>
      </x:c>
      <x:c r="J17" s="296" t="n">
        <x:f>MOD(B17,2)+MOD(C17,2)+MOD(D17,2)+MOD(E17,2)+MOD(F17,2)</x:f>
        <x:v>3</x:v>
      </x:c>
      <x:c r="K17" s="296" t="n">
        <x:f>COUNTIF(B17:F17,"&gt;31")</x:f>
        <x:v>0</x:v>
      </x:c>
      <x:c r="L17" s="336" t="n">
        <x:f>1/'Executive Summary'!$B$24</x:f>
        <x:v>7.1511238420185165e-9</x:v>
      </x:c>
      <x:c r="M17" s="342" t="n">
        <x:f>2.5</x:f>
        <x:v>2.5</x:v>
      </x:c>
      <x:c r="N17" s="288" t="str">
        <x:v>Conditional coverage wheel</x:v>
      </x:c>
    </x:row>
    <x:row r="18">
      <x:c r="A18" s="295" t="n">
        <x:v>14</x:v>
      </x:c>
      <x:c r="B18" s="296" t="n">
        <x:v>4</x:v>
      </x:c>
      <x:c r="C18" s="296" t="n">
        <x:v>21</x:v>
      </x:c>
      <x:c r="D18" s="296" t="n">
        <x:v>25</x:v>
      </x:c>
      <x:c r="E18" s="296" t="n">
        <x:v>27</x:v>
      </x:c>
      <x:c r="F18" s="296" t="n">
        <x:v>28</x:v>
      </x:c>
      <x:c r="G18" s="296" t="n">
        <x:v>7</x:v>
      </x:c>
      <x:c r="H18" s="296" t="n">
        <x:v>9</x:v>
      </x:c>
      <x:c r="I18" s="296" t="n">
        <x:f>SUM(B18:F18)</x:f>
        <x:v>105</x:v>
      </x:c>
      <x:c r="J18" s="296" t="n">
        <x:f>MOD(B18,2)+MOD(C18,2)+MOD(D18,2)+MOD(E18,2)+MOD(F18,2)</x:f>
        <x:v>3</x:v>
      </x:c>
      <x:c r="K18" s="296" t="n">
        <x:f>COUNTIF(B18:F18,"&gt;31")</x:f>
        <x:v>0</x:v>
      </x:c>
      <x:c r="L18" s="336" t="n">
        <x:f>1/'Executive Summary'!$B$24</x:f>
        <x:v>7.1511238420185165e-9</x:v>
      </x:c>
      <x:c r="M18" s="342" t="n">
        <x:f>2.5</x:f>
        <x:v>2.5</x:v>
      </x:c>
      <x:c r="N18" s="288" t="str">
        <x:v>Conditional coverage wheel</x:v>
      </x:c>
    </x:row>
    <x:row r="19">
      <x:c r="A19" s="295" t="n">
        <x:v>15</x:v>
      </x:c>
      <x:c r="B19" s="296" t="n">
        <x:v>4</x:v>
      </x:c>
      <x:c r="C19" s="296" t="n">
        <x:v>21</x:v>
      </x:c>
      <x:c r="D19" s="296" t="n">
        <x:v>25</x:v>
      </x:c>
      <x:c r="E19" s="296" t="n">
        <x:v>27</x:v>
      </x:c>
      <x:c r="F19" s="296" t="n">
        <x:v>28</x:v>
      </x:c>
      <x:c r="G19" s="296" t="n">
        <x:v>8</x:v>
      </x:c>
      <x:c r="H19" s="296" t="n">
        <x:v>9</x:v>
      </x:c>
      <x:c r="I19" s="296" t="n">
        <x:f>SUM(B19:F19)</x:f>
        <x:v>105</x:v>
      </x:c>
      <x:c r="J19" s="296" t="n">
        <x:f>MOD(B19,2)+MOD(C19,2)+MOD(D19,2)+MOD(E19,2)+MOD(F19,2)</x:f>
        <x:v>3</x:v>
      </x:c>
      <x:c r="K19" s="296" t="n">
        <x:f>COUNTIF(B19:F19,"&gt;31")</x:f>
        <x:v>0</x:v>
      </x:c>
      <x:c r="L19" s="336" t="n">
        <x:f>1/'Executive Summary'!$B$24</x:f>
        <x:v>7.1511238420185165e-9</x:v>
      </x:c>
      <x:c r="M19" s="342" t="n">
        <x:f>2.5</x:f>
        <x:v>2.5</x:v>
      </x:c>
      <x:c r="N19" s="288" t="str">
        <x:v>Conditional coverage wheel</x:v>
      </x:c>
    </x:row>
    <x:row r="20">
      <x:c r="A20" s="295" t="n">
        <x:v>16</x:v>
      </x:c>
      <x:c r="B20" s="296" t="n">
        <x:v>4</x:v>
      </x:c>
      <x:c r="C20" s="296" t="n">
        <x:v>21</x:v>
      </x:c>
      <x:c r="D20" s="296" t="n">
        <x:v>35</x:v>
      </x:c>
      <x:c r="E20" s="296" t="n">
        <x:v>36</x:v>
      </x:c>
      <x:c r="F20" s="296" t="n">
        <x:v>37</x:v>
      </x:c>
      <x:c r="G20" s="296" t="n">
        <x:v>3</x:v>
      </x:c>
      <x:c r="H20" s="296" t="n">
        <x:v>4</x:v>
      </x:c>
      <x:c r="I20" s="296" t="n">
        <x:f>SUM(B20:F20)</x:f>
        <x:v>133</x:v>
      </x:c>
      <x:c r="J20" s="296" t="n">
        <x:f>MOD(B20,2)+MOD(C20,2)+MOD(D20,2)+MOD(E20,2)+MOD(F20,2)</x:f>
        <x:v>3</x:v>
      </x:c>
      <x:c r="K20" s="296" t="n">
        <x:f>COUNTIF(B20:F20,"&gt;31")</x:f>
        <x:v>3</x:v>
      </x:c>
      <x:c r="L20" s="336" t="n">
        <x:f>1/'Executive Summary'!$B$24</x:f>
        <x:v>7.1511238420185165e-9</x:v>
      </x:c>
      <x:c r="M20" s="342" t="n">
        <x:f>2.5</x:f>
        <x:v>2.5</x:v>
      </x:c>
      <x:c r="N20" s="288" t="str">
        <x:v>Conditional coverage wheel</x:v>
      </x:c>
    </x:row>
    <x:row r="21">
      <x:c r="A21" s="295" t="n">
        <x:v>17</x:v>
      </x:c>
      <x:c r="B21" s="296" t="n">
        <x:v>4</x:v>
      </x:c>
      <x:c r="C21" s="296" t="n">
        <x:v>21</x:v>
      </x:c>
      <x:c r="D21" s="296" t="n">
        <x:v>35</x:v>
      </x:c>
      <x:c r="E21" s="296" t="n">
        <x:v>36</x:v>
      </x:c>
      <x:c r="F21" s="296" t="n">
        <x:v>37</x:v>
      </x:c>
      <x:c r="G21" s="296" t="n">
        <x:v>3</x:v>
      </x:c>
      <x:c r="H21" s="296" t="n">
        <x:v>5</x:v>
      </x:c>
      <x:c r="I21" s="296" t="n">
        <x:f>SUM(B21:F21)</x:f>
        <x:v>133</x:v>
      </x:c>
      <x:c r="J21" s="296" t="n">
        <x:f>MOD(B21,2)+MOD(C21,2)+MOD(D21,2)+MOD(E21,2)+MOD(F21,2)</x:f>
        <x:v>3</x:v>
      </x:c>
      <x:c r="K21" s="296" t="n">
        <x:f>COUNTIF(B21:F21,"&gt;31")</x:f>
        <x:v>3</x:v>
      </x:c>
      <x:c r="L21" s="336" t="n">
        <x:f>1/'Executive Summary'!$B$24</x:f>
        <x:v>7.1511238420185165e-9</x:v>
      </x:c>
      <x:c r="M21" s="342" t="n">
        <x:f>2.5</x:f>
        <x:v>2.5</x:v>
      </x:c>
      <x:c r="N21" s="288" t="str">
        <x:v>Conditional coverage wheel</x:v>
      </x:c>
    </x:row>
    <x:row r="22">
      <x:c r="A22" s="295" t="n">
        <x:v>18</x:v>
      </x:c>
      <x:c r="B22" s="296" t="n">
        <x:v>4</x:v>
      </x:c>
      <x:c r="C22" s="296" t="n">
        <x:v>21</x:v>
      </x:c>
      <x:c r="D22" s="296" t="n">
        <x:v>35</x:v>
      </x:c>
      <x:c r="E22" s="296" t="n">
        <x:v>36</x:v>
      </x:c>
      <x:c r="F22" s="296" t="n">
        <x:v>37</x:v>
      </x:c>
      <x:c r="G22" s="296" t="n">
        <x:v>3</x:v>
      </x:c>
      <x:c r="H22" s="296" t="n">
        <x:v>7</x:v>
      </x:c>
      <x:c r="I22" s="296" t="n">
        <x:f>SUM(B22:F22)</x:f>
        <x:v>133</x:v>
      </x:c>
      <x:c r="J22" s="296" t="n">
        <x:f>MOD(B22,2)+MOD(C22,2)+MOD(D22,2)+MOD(E22,2)+MOD(F22,2)</x:f>
        <x:v>3</x:v>
      </x:c>
      <x:c r="K22" s="296" t="n">
        <x:f>COUNTIF(B22:F22,"&gt;31")</x:f>
        <x:v>3</x:v>
      </x:c>
      <x:c r="L22" s="336" t="n">
        <x:f>1/'Executive Summary'!$B$24</x:f>
        <x:v>7.1511238420185165e-9</x:v>
      </x:c>
      <x:c r="M22" s="342" t="n">
        <x:f>2.5</x:f>
        <x:v>2.5</x:v>
      </x:c>
      <x:c r="N22" s="288" t="str">
        <x:v>Conditional coverage wheel</x:v>
      </x:c>
    </x:row>
    <x:row r="23">
      <x:c r="A23" s="295" t="n">
        <x:v>19</x:v>
      </x:c>
      <x:c r="B23" s="296" t="n">
        <x:v>4</x:v>
      </x:c>
      <x:c r="C23" s="296" t="n">
        <x:v>21</x:v>
      </x:c>
      <x:c r="D23" s="296" t="n">
        <x:v>35</x:v>
      </x:c>
      <x:c r="E23" s="296" t="n">
        <x:v>36</x:v>
      </x:c>
      <x:c r="F23" s="296" t="n">
        <x:v>37</x:v>
      </x:c>
      <x:c r="G23" s="296" t="n">
        <x:v>3</x:v>
      </x:c>
      <x:c r="H23" s="296" t="n">
        <x:v>8</x:v>
      </x:c>
      <x:c r="I23" s="296" t="n">
        <x:f>SUM(B23:F23)</x:f>
        <x:v>133</x:v>
      </x:c>
      <x:c r="J23" s="296" t="n">
        <x:f>MOD(B23,2)+MOD(C23,2)+MOD(D23,2)+MOD(E23,2)+MOD(F23,2)</x:f>
        <x:v>3</x:v>
      </x:c>
      <x:c r="K23" s="296" t="n">
        <x:f>COUNTIF(B23:F23,"&gt;31")</x:f>
        <x:v>3</x:v>
      </x:c>
      <x:c r="L23" s="336" t="n">
        <x:f>1/'Executive Summary'!$B$24</x:f>
        <x:v>7.1511238420185165e-9</x:v>
      </x:c>
      <x:c r="M23" s="342" t="n">
        <x:f>2.5</x:f>
        <x:v>2.5</x:v>
      </x:c>
      <x:c r="N23" s="288" t="str">
        <x:v>Conditional coverage wheel</x:v>
      </x:c>
    </x:row>
    <x:row r="24">
      <x:c r="A24" s="295" t="n">
        <x:v>20</x:v>
      </x:c>
      <x:c r="B24" s="296" t="n">
        <x:v>4</x:v>
      </x:c>
      <x:c r="C24" s="296" t="n">
        <x:v>21</x:v>
      </x:c>
      <x:c r="D24" s="296" t="n">
        <x:v>35</x:v>
      </x:c>
      <x:c r="E24" s="296" t="n">
        <x:v>36</x:v>
      </x:c>
      <x:c r="F24" s="296" t="n">
        <x:v>37</x:v>
      </x:c>
      <x:c r="G24" s="296" t="n">
        <x:v>3</x:v>
      </x:c>
      <x:c r="H24" s="296" t="n">
        <x:v>9</x:v>
      </x:c>
      <x:c r="I24" s="296" t="n">
        <x:f>SUM(B24:F24)</x:f>
        <x:v>133</x:v>
      </x:c>
      <x:c r="J24" s="296" t="n">
        <x:f>MOD(B24,2)+MOD(C24,2)+MOD(D24,2)+MOD(E24,2)+MOD(F24,2)</x:f>
        <x:v>3</x:v>
      </x:c>
      <x:c r="K24" s="296" t="n">
        <x:f>COUNTIF(B24:F24,"&gt;31")</x:f>
        <x:v>3</x:v>
      </x:c>
      <x:c r="L24" s="336" t="n">
        <x:f>1/'Executive Summary'!$B$24</x:f>
        <x:v>7.1511238420185165e-9</x:v>
      </x:c>
      <x:c r="M24" s="342" t="n">
        <x:f>2.5</x:f>
        <x:v>2.5</x:v>
      </x:c>
      <x:c r="N24" s="288" t="str">
        <x:v>Conditional coverage wheel</x:v>
      </x:c>
    </x:row>
    <x:row r="25">
      <x:c r="A25" s="295" t="n">
        <x:v>21</x:v>
      </x:c>
      <x:c r="B25" s="296" t="n">
        <x:v>4</x:v>
      </x:c>
      <x:c r="C25" s="296" t="n">
        <x:v>21</x:v>
      </x:c>
      <x:c r="D25" s="296" t="n">
        <x:v>35</x:v>
      </x:c>
      <x:c r="E25" s="296" t="n">
        <x:v>36</x:v>
      </x:c>
      <x:c r="F25" s="296" t="n">
        <x:v>37</x:v>
      </x:c>
      <x:c r="G25" s="296" t="n">
        <x:v>4</x:v>
      </x:c>
      <x:c r="H25" s="296" t="n">
        <x:v>5</x:v>
      </x:c>
      <x:c r="I25" s="296" t="n">
        <x:f>SUM(B25:F25)</x:f>
        <x:v>133</x:v>
      </x:c>
      <x:c r="J25" s="296" t="n">
        <x:f>MOD(B25,2)+MOD(C25,2)+MOD(D25,2)+MOD(E25,2)+MOD(F25,2)</x:f>
        <x:v>3</x:v>
      </x:c>
      <x:c r="K25" s="296" t="n">
        <x:f>COUNTIF(B25:F25,"&gt;31")</x:f>
        <x:v>3</x:v>
      </x:c>
      <x:c r="L25" s="336" t="n">
        <x:f>1/'Executive Summary'!$B$24</x:f>
        <x:v>7.1511238420185165e-9</x:v>
      </x:c>
      <x:c r="M25" s="342" t="n">
        <x:f>2.5</x:f>
        <x:v>2.5</x:v>
      </x:c>
      <x:c r="N25" s="288" t="str">
        <x:v>Conditional coverage wheel</x:v>
      </x:c>
    </x:row>
    <x:row r="26">
      <x:c r="A26" s="295" t="n">
        <x:v>22</x:v>
      </x:c>
      <x:c r="B26" s="296" t="n">
        <x:v>4</x:v>
      </x:c>
      <x:c r="C26" s="296" t="n">
        <x:v>21</x:v>
      </x:c>
      <x:c r="D26" s="296" t="n">
        <x:v>35</x:v>
      </x:c>
      <x:c r="E26" s="296" t="n">
        <x:v>36</x:v>
      </x:c>
      <x:c r="F26" s="296" t="n">
        <x:v>37</x:v>
      </x:c>
      <x:c r="G26" s="296" t="n">
        <x:v>4</x:v>
      </x:c>
      <x:c r="H26" s="296" t="n">
        <x:v>7</x:v>
      </x:c>
      <x:c r="I26" s="296" t="n">
        <x:f>SUM(B26:F26)</x:f>
        <x:v>133</x:v>
      </x:c>
      <x:c r="J26" s="296" t="n">
        <x:f>MOD(B26,2)+MOD(C26,2)+MOD(D26,2)+MOD(E26,2)+MOD(F26,2)</x:f>
        <x:v>3</x:v>
      </x:c>
      <x:c r="K26" s="296" t="n">
        <x:f>COUNTIF(B26:F26,"&gt;31")</x:f>
        <x:v>3</x:v>
      </x:c>
      <x:c r="L26" s="336" t="n">
        <x:f>1/'Executive Summary'!$B$24</x:f>
        <x:v>7.1511238420185165e-9</x:v>
      </x:c>
      <x:c r="M26" s="342" t="n">
        <x:f>2.5</x:f>
        <x:v>2.5</x:v>
      </x:c>
      <x:c r="N26" s="288" t="str">
        <x:v>Conditional coverage wheel</x:v>
      </x:c>
    </x:row>
    <x:row r="27">
      <x:c r="A27" s="295" t="n">
        <x:v>23</x:v>
      </x:c>
      <x:c r="B27" s="296" t="n">
        <x:v>4</x:v>
      </x:c>
      <x:c r="C27" s="296" t="n">
        <x:v>21</x:v>
      </x:c>
      <x:c r="D27" s="296" t="n">
        <x:v>35</x:v>
      </x:c>
      <x:c r="E27" s="296" t="n">
        <x:v>36</x:v>
      </x:c>
      <x:c r="F27" s="296" t="n">
        <x:v>37</x:v>
      </x:c>
      <x:c r="G27" s="296" t="n">
        <x:v>4</x:v>
      </x:c>
      <x:c r="H27" s="296" t="n">
        <x:v>8</x:v>
      </x:c>
      <x:c r="I27" s="296" t="n">
        <x:f>SUM(B27:F27)</x:f>
        <x:v>133</x:v>
      </x:c>
      <x:c r="J27" s="296" t="n">
        <x:f>MOD(B27,2)+MOD(C27,2)+MOD(D27,2)+MOD(E27,2)+MOD(F27,2)</x:f>
        <x:v>3</x:v>
      </x:c>
      <x:c r="K27" s="296" t="n">
        <x:f>COUNTIF(B27:F27,"&gt;31")</x:f>
        <x:v>3</x:v>
      </x:c>
      <x:c r="L27" s="336" t="n">
        <x:f>1/'Executive Summary'!$B$24</x:f>
        <x:v>7.1511238420185165e-9</x:v>
      </x:c>
      <x:c r="M27" s="342" t="n">
        <x:f>2.5</x:f>
        <x:v>2.5</x:v>
      </x:c>
      <x:c r="N27" s="288" t="str">
        <x:v>Conditional coverage wheel</x:v>
      </x:c>
    </x:row>
    <x:row r="28">
      <x:c r="A28" s="295" t="n">
        <x:v>24</x:v>
      </x:c>
      <x:c r="B28" s="296" t="n">
        <x:v>4</x:v>
      </x:c>
      <x:c r="C28" s="296" t="n">
        <x:v>21</x:v>
      </x:c>
      <x:c r="D28" s="296" t="n">
        <x:v>35</x:v>
      </x:c>
      <x:c r="E28" s="296" t="n">
        <x:v>36</x:v>
      </x:c>
      <x:c r="F28" s="296" t="n">
        <x:v>37</x:v>
      </x:c>
      <x:c r="G28" s="296" t="n">
        <x:v>4</x:v>
      </x:c>
      <x:c r="H28" s="296" t="n">
        <x:v>9</x:v>
      </x:c>
      <x:c r="I28" s="296" t="n">
        <x:f>SUM(B28:F28)</x:f>
        <x:v>133</x:v>
      </x:c>
      <x:c r="J28" s="296" t="n">
        <x:f>MOD(B28,2)+MOD(C28,2)+MOD(D28,2)+MOD(E28,2)+MOD(F28,2)</x:f>
        <x:v>3</x:v>
      </x:c>
      <x:c r="K28" s="296" t="n">
        <x:f>COUNTIF(B28:F28,"&gt;31")</x:f>
        <x:v>3</x:v>
      </x:c>
      <x:c r="L28" s="336" t="n">
        <x:f>1/'Executive Summary'!$B$24</x:f>
        <x:v>7.1511238420185165e-9</x:v>
      </x:c>
      <x:c r="M28" s="342" t="n">
        <x:f>2.5</x:f>
        <x:v>2.5</x:v>
      </x:c>
      <x:c r="N28" s="288" t="str">
        <x:v>Conditional coverage wheel</x:v>
      </x:c>
    </x:row>
    <x:row r="29">
      <x:c r="A29" s="295" t="n">
        <x:v>25</x:v>
      </x:c>
      <x:c r="B29" s="296" t="n">
        <x:v>4</x:v>
      </x:c>
      <x:c r="C29" s="296" t="n">
        <x:v>21</x:v>
      </x:c>
      <x:c r="D29" s="296" t="n">
        <x:v>35</x:v>
      </x:c>
      <x:c r="E29" s="296" t="n">
        <x:v>36</x:v>
      </x:c>
      <x:c r="F29" s="296" t="n">
        <x:v>37</x:v>
      </x:c>
      <x:c r="G29" s="296" t="n">
        <x:v>5</x:v>
      </x:c>
      <x:c r="H29" s="296" t="n">
        <x:v>7</x:v>
      </x:c>
      <x:c r="I29" s="296" t="n">
        <x:f>SUM(B29:F29)</x:f>
        <x:v>133</x:v>
      </x:c>
      <x:c r="J29" s="296" t="n">
        <x:f>MOD(B29,2)+MOD(C29,2)+MOD(D29,2)+MOD(E29,2)+MOD(F29,2)</x:f>
        <x:v>3</x:v>
      </x:c>
      <x:c r="K29" s="296" t="n">
        <x:f>COUNTIF(B29:F29,"&gt;31")</x:f>
        <x:v>3</x:v>
      </x:c>
      <x:c r="L29" s="336" t="n">
        <x:f>1/'Executive Summary'!$B$24</x:f>
        <x:v>7.1511238420185165e-9</x:v>
      </x:c>
      <x:c r="M29" s="342" t="n">
        <x:f>2.5</x:f>
        <x:v>2.5</x:v>
      </x:c>
      <x:c r="N29" s="288" t="str">
        <x:v>Conditional coverage wheel</x:v>
      </x:c>
    </x:row>
    <x:row r="30">
      <x:c r="A30" s="295" t="n">
        <x:v>26</x:v>
      </x:c>
      <x:c r="B30" s="296" t="n">
        <x:v>4</x:v>
      </x:c>
      <x:c r="C30" s="296" t="n">
        <x:v>21</x:v>
      </x:c>
      <x:c r="D30" s="296" t="n">
        <x:v>35</x:v>
      </x:c>
      <x:c r="E30" s="296" t="n">
        <x:v>36</x:v>
      </x:c>
      <x:c r="F30" s="296" t="n">
        <x:v>37</x:v>
      </x:c>
      <x:c r="G30" s="296" t="n">
        <x:v>5</x:v>
      </x:c>
      <x:c r="H30" s="296" t="n">
        <x:v>8</x:v>
      </x:c>
      <x:c r="I30" s="296" t="n">
        <x:f>SUM(B30:F30)</x:f>
        <x:v>133</x:v>
      </x:c>
      <x:c r="J30" s="296" t="n">
        <x:f>MOD(B30,2)+MOD(C30,2)+MOD(D30,2)+MOD(E30,2)+MOD(F30,2)</x:f>
        <x:v>3</x:v>
      </x:c>
      <x:c r="K30" s="296" t="n">
        <x:f>COUNTIF(B30:F30,"&gt;31")</x:f>
        <x:v>3</x:v>
      </x:c>
      <x:c r="L30" s="336" t="n">
        <x:f>1/'Executive Summary'!$B$24</x:f>
        <x:v>7.1511238420185165e-9</x:v>
      </x:c>
      <x:c r="M30" s="342" t="n">
        <x:f>2.5</x:f>
        <x:v>2.5</x:v>
      </x:c>
      <x:c r="N30" s="288" t="str">
        <x:v>Conditional coverage wheel</x:v>
      </x:c>
    </x:row>
    <x:row r="31">
      <x:c r="A31" s="295" t="n">
        <x:v>27</x:v>
      </x:c>
      <x:c r="B31" s="296" t="n">
        <x:v>4</x:v>
      </x:c>
      <x:c r="C31" s="296" t="n">
        <x:v>21</x:v>
      </x:c>
      <x:c r="D31" s="296" t="n">
        <x:v>35</x:v>
      </x:c>
      <x:c r="E31" s="296" t="n">
        <x:v>36</x:v>
      </x:c>
      <x:c r="F31" s="296" t="n">
        <x:v>37</x:v>
      </x:c>
      <x:c r="G31" s="296" t="n">
        <x:v>5</x:v>
      </x:c>
      <x:c r="H31" s="296" t="n">
        <x:v>9</x:v>
      </x:c>
      <x:c r="I31" s="296" t="n">
        <x:f>SUM(B31:F31)</x:f>
        <x:v>133</x:v>
      </x:c>
      <x:c r="J31" s="296" t="n">
        <x:f>MOD(B31,2)+MOD(C31,2)+MOD(D31,2)+MOD(E31,2)+MOD(F31,2)</x:f>
        <x:v>3</x:v>
      </x:c>
      <x:c r="K31" s="296" t="n">
        <x:f>COUNTIF(B31:F31,"&gt;31")</x:f>
        <x:v>3</x:v>
      </x:c>
      <x:c r="L31" s="336" t="n">
        <x:f>1/'Executive Summary'!$B$24</x:f>
        <x:v>7.1511238420185165e-9</x:v>
      </x:c>
      <x:c r="M31" s="342" t="n">
        <x:f>2.5</x:f>
        <x:v>2.5</x:v>
      </x:c>
      <x:c r="N31" s="288" t="str">
        <x:v>Conditional coverage wheel</x:v>
      </x:c>
    </x:row>
    <x:row r="32">
      <x:c r="A32" s="295" t="n">
        <x:v>28</x:v>
      </x:c>
      <x:c r="B32" s="296" t="n">
        <x:v>4</x:v>
      </x:c>
      <x:c r="C32" s="296" t="n">
        <x:v>21</x:v>
      </x:c>
      <x:c r="D32" s="296" t="n">
        <x:v>35</x:v>
      </x:c>
      <x:c r="E32" s="296" t="n">
        <x:v>36</x:v>
      </x:c>
      <x:c r="F32" s="296" t="n">
        <x:v>37</x:v>
      </x:c>
      <x:c r="G32" s="296" t="n">
        <x:v>7</x:v>
      </x:c>
      <x:c r="H32" s="296" t="n">
        <x:v>8</x:v>
      </x:c>
      <x:c r="I32" s="296" t="n">
        <x:f>SUM(B32:F32)</x:f>
        <x:v>133</x:v>
      </x:c>
      <x:c r="J32" s="296" t="n">
        <x:f>MOD(B32,2)+MOD(C32,2)+MOD(D32,2)+MOD(E32,2)+MOD(F32,2)</x:f>
        <x:v>3</x:v>
      </x:c>
      <x:c r="K32" s="296" t="n">
        <x:f>COUNTIF(B32:F32,"&gt;31")</x:f>
        <x:v>3</x:v>
      </x:c>
      <x:c r="L32" s="336" t="n">
        <x:f>1/'Executive Summary'!$B$24</x:f>
        <x:v>7.1511238420185165e-9</x:v>
      </x:c>
      <x:c r="M32" s="342" t="n">
        <x:f>2.5</x:f>
        <x:v>2.5</x:v>
      </x:c>
      <x:c r="N32" s="288" t="str">
        <x:v>Conditional coverage wheel</x:v>
      </x:c>
    </x:row>
    <x:row r="33">
      <x:c r="A33" s="295" t="n">
        <x:v>29</x:v>
      </x:c>
      <x:c r="B33" s="296" t="n">
        <x:v>4</x:v>
      </x:c>
      <x:c r="C33" s="296" t="n">
        <x:v>21</x:v>
      </x:c>
      <x:c r="D33" s="296" t="n">
        <x:v>35</x:v>
      </x:c>
      <x:c r="E33" s="296" t="n">
        <x:v>36</x:v>
      </x:c>
      <x:c r="F33" s="296" t="n">
        <x:v>37</x:v>
      </x:c>
      <x:c r="G33" s="296" t="n">
        <x:v>7</x:v>
      </x:c>
      <x:c r="H33" s="296" t="n">
        <x:v>9</x:v>
      </x:c>
      <x:c r="I33" s="296" t="n">
        <x:f>SUM(B33:F33)</x:f>
        <x:v>133</x:v>
      </x:c>
      <x:c r="J33" s="296" t="n">
        <x:f>MOD(B33,2)+MOD(C33,2)+MOD(D33,2)+MOD(E33,2)+MOD(F33,2)</x:f>
        <x:v>3</x:v>
      </x:c>
      <x:c r="K33" s="296" t="n">
        <x:f>COUNTIF(B33:F33,"&gt;31")</x:f>
        <x:v>3</x:v>
      </x:c>
      <x:c r="L33" s="336" t="n">
        <x:f>1/'Executive Summary'!$B$24</x:f>
        <x:v>7.1511238420185165e-9</x:v>
      </x:c>
      <x:c r="M33" s="342" t="n">
        <x:f>2.5</x:f>
        <x:v>2.5</x:v>
      </x:c>
      <x:c r="N33" s="288" t="str">
        <x:v>Conditional coverage wheel</x:v>
      </x:c>
    </x:row>
    <x:row r="34">
      <x:c r="A34" s="295" t="n">
        <x:v>30</x:v>
      </x:c>
      <x:c r="B34" s="296" t="n">
        <x:v>4</x:v>
      </x:c>
      <x:c r="C34" s="296" t="n">
        <x:v>21</x:v>
      </x:c>
      <x:c r="D34" s="296" t="n">
        <x:v>35</x:v>
      </x:c>
      <x:c r="E34" s="296" t="n">
        <x:v>36</x:v>
      </x:c>
      <x:c r="F34" s="296" t="n">
        <x:v>37</x:v>
      </x:c>
      <x:c r="G34" s="296" t="n">
        <x:v>8</x:v>
      </x:c>
      <x:c r="H34" s="296" t="n">
        <x:v>9</x:v>
      </x:c>
      <x:c r="I34" s="296" t="n">
        <x:f>SUM(B34:F34)</x:f>
        <x:v>133</x:v>
      </x:c>
      <x:c r="J34" s="296" t="n">
        <x:f>MOD(B34,2)+MOD(C34,2)+MOD(D34,2)+MOD(E34,2)+MOD(F34,2)</x:f>
        <x:v>3</x:v>
      </x:c>
      <x:c r="K34" s="296" t="n">
        <x:f>COUNTIF(B34:F34,"&gt;31")</x:f>
        <x:v>3</x:v>
      </x:c>
      <x:c r="L34" s="336" t="n">
        <x:f>1/'Executive Summary'!$B$24</x:f>
        <x:v>7.1511238420185165e-9</x:v>
      </x:c>
      <x:c r="M34" s="342" t="n">
        <x:f>2.5</x:f>
        <x:v>2.5</x:v>
      </x:c>
      <x:c r="N34" s="288" t="str">
        <x:v>Conditional coverage wheel</x:v>
      </x:c>
    </x:row>
    <x:row r="35">
      <x:c r="A35" s="295" t="n">
        <x:v>31</x:v>
      </x:c>
      <x:c r="B35" s="296" t="n">
        <x:v>4</x:v>
      </x:c>
      <x:c r="C35" s="296" t="n">
        <x:v>21</x:v>
      </x:c>
      <x:c r="D35" s="296" t="n">
        <x:v>42</x:v>
      </x:c>
      <x:c r="E35" s="296" t="n">
        <x:v>44</x:v>
      </x:c>
      <x:c r="F35" s="296" t="n">
        <x:v>48</x:v>
      </x:c>
      <x:c r="G35" s="296" t="n">
        <x:v>3</x:v>
      </x:c>
      <x:c r="H35" s="296" t="n">
        <x:v>4</x:v>
      </x:c>
      <x:c r="I35" s="296" t="n">
        <x:f>SUM(B35:F35)</x:f>
        <x:v>159</x:v>
      </x:c>
      <x:c r="J35" s="296" t="n">
        <x:f>MOD(B35,2)+MOD(C35,2)+MOD(D35,2)+MOD(E35,2)+MOD(F35,2)</x:f>
        <x:v>1</x:v>
      </x:c>
      <x:c r="K35" s="296" t="n">
        <x:f>COUNTIF(B35:F35,"&gt;31")</x:f>
        <x:v>3</x:v>
      </x:c>
      <x:c r="L35" s="336" t="n">
        <x:f>1/'Executive Summary'!$B$24</x:f>
        <x:v>7.1511238420185165e-9</x:v>
      </x:c>
      <x:c r="M35" s="342" t="n">
        <x:f>2.5</x:f>
        <x:v>2.5</x:v>
      </x:c>
      <x:c r="N35" s="288" t="str">
        <x:v>Conditional coverage wheel</x:v>
      </x:c>
    </x:row>
    <x:row r="36">
      <x:c r="A36" s="295" t="n">
        <x:v>32</x:v>
      </x:c>
      <x:c r="B36" s="296" t="n">
        <x:v>4</x:v>
      </x:c>
      <x:c r="C36" s="296" t="n">
        <x:v>21</x:v>
      </x:c>
      <x:c r="D36" s="296" t="n">
        <x:v>42</x:v>
      </x:c>
      <x:c r="E36" s="296" t="n">
        <x:v>44</x:v>
      </x:c>
      <x:c r="F36" s="296" t="n">
        <x:v>48</x:v>
      </x:c>
      <x:c r="G36" s="296" t="n">
        <x:v>3</x:v>
      </x:c>
      <x:c r="H36" s="296" t="n">
        <x:v>5</x:v>
      </x:c>
      <x:c r="I36" s="296" t="n">
        <x:f>SUM(B36:F36)</x:f>
        <x:v>159</x:v>
      </x:c>
      <x:c r="J36" s="296" t="n">
        <x:f>MOD(B36,2)+MOD(C36,2)+MOD(D36,2)+MOD(E36,2)+MOD(F36,2)</x:f>
        <x:v>1</x:v>
      </x:c>
      <x:c r="K36" s="296" t="n">
        <x:f>COUNTIF(B36:F36,"&gt;31")</x:f>
        <x:v>3</x:v>
      </x:c>
      <x:c r="L36" s="336" t="n">
        <x:f>1/'Executive Summary'!$B$24</x:f>
        <x:v>7.1511238420185165e-9</x:v>
      </x:c>
      <x:c r="M36" s="342" t="n">
        <x:f>2.5</x:f>
        <x:v>2.5</x:v>
      </x:c>
      <x:c r="N36" s="288" t="str">
        <x:v>Conditional coverage wheel</x:v>
      </x:c>
    </x:row>
    <x:row r="37">
      <x:c r="A37" s="295" t="n">
        <x:v>33</x:v>
      </x:c>
      <x:c r="B37" s="296" t="n">
        <x:v>4</x:v>
      </x:c>
      <x:c r="C37" s="296" t="n">
        <x:v>21</x:v>
      </x:c>
      <x:c r="D37" s="296" t="n">
        <x:v>42</x:v>
      </x:c>
      <x:c r="E37" s="296" t="n">
        <x:v>44</x:v>
      </x:c>
      <x:c r="F37" s="296" t="n">
        <x:v>48</x:v>
      </x:c>
      <x:c r="G37" s="296" t="n">
        <x:v>3</x:v>
      </x:c>
      <x:c r="H37" s="296" t="n">
        <x:v>7</x:v>
      </x:c>
      <x:c r="I37" s="296" t="n">
        <x:f>SUM(B37:F37)</x:f>
        <x:v>159</x:v>
      </x:c>
      <x:c r="J37" s="296" t="n">
        <x:f>MOD(B37,2)+MOD(C37,2)+MOD(D37,2)+MOD(E37,2)+MOD(F37,2)</x:f>
        <x:v>1</x:v>
      </x:c>
      <x:c r="K37" s="296" t="n">
        <x:f>COUNTIF(B37:F37,"&gt;31")</x:f>
        <x:v>3</x:v>
      </x:c>
      <x:c r="L37" s="336" t="n">
        <x:f>1/'Executive Summary'!$B$24</x:f>
        <x:v>7.1511238420185165e-9</x:v>
      </x:c>
      <x:c r="M37" s="342" t="n">
        <x:f>2.5</x:f>
        <x:v>2.5</x:v>
      </x:c>
      <x:c r="N37" s="288" t="str">
        <x:v>Conditional coverage wheel</x:v>
      </x:c>
    </x:row>
    <x:row r="38">
      <x:c r="A38" s="295" t="n">
        <x:v>34</x:v>
      </x:c>
      <x:c r="B38" s="296" t="n">
        <x:v>4</x:v>
      </x:c>
      <x:c r="C38" s="296" t="n">
        <x:v>21</x:v>
      </x:c>
      <x:c r="D38" s="296" t="n">
        <x:v>42</x:v>
      </x:c>
      <x:c r="E38" s="296" t="n">
        <x:v>44</x:v>
      </x:c>
      <x:c r="F38" s="296" t="n">
        <x:v>48</x:v>
      </x:c>
      <x:c r="G38" s="296" t="n">
        <x:v>3</x:v>
      </x:c>
      <x:c r="H38" s="296" t="n">
        <x:v>8</x:v>
      </x:c>
      <x:c r="I38" s="296" t="n">
        <x:f>SUM(B38:F38)</x:f>
        <x:v>159</x:v>
      </x:c>
      <x:c r="J38" s="296" t="n">
        <x:f>MOD(B38,2)+MOD(C38,2)+MOD(D38,2)+MOD(E38,2)+MOD(F38,2)</x:f>
        <x:v>1</x:v>
      </x:c>
      <x:c r="K38" s="296" t="n">
        <x:f>COUNTIF(B38:F38,"&gt;31")</x:f>
        <x:v>3</x:v>
      </x:c>
      <x:c r="L38" s="336" t="n">
        <x:f>1/'Executive Summary'!$B$24</x:f>
        <x:v>7.1511238420185165e-9</x:v>
      </x:c>
      <x:c r="M38" s="342" t="n">
        <x:f>2.5</x:f>
        <x:v>2.5</x:v>
      </x:c>
      <x:c r="N38" s="288" t="str">
        <x:v>Conditional coverage wheel</x:v>
      </x:c>
    </x:row>
    <x:row r="39">
      <x:c r="A39" s="295" t="n">
        <x:v>35</x:v>
      </x:c>
      <x:c r="B39" s="296" t="n">
        <x:v>4</x:v>
      </x:c>
      <x:c r="C39" s="296" t="n">
        <x:v>21</x:v>
      </x:c>
      <x:c r="D39" s="296" t="n">
        <x:v>42</x:v>
      </x:c>
      <x:c r="E39" s="296" t="n">
        <x:v>44</x:v>
      </x:c>
      <x:c r="F39" s="296" t="n">
        <x:v>48</x:v>
      </x:c>
      <x:c r="G39" s="296" t="n">
        <x:v>3</x:v>
      </x:c>
      <x:c r="H39" s="296" t="n">
        <x:v>9</x:v>
      </x:c>
      <x:c r="I39" s="296" t="n">
        <x:f>SUM(B39:F39)</x:f>
        <x:v>159</x:v>
      </x:c>
      <x:c r="J39" s="296" t="n">
        <x:f>MOD(B39,2)+MOD(C39,2)+MOD(D39,2)+MOD(E39,2)+MOD(F39,2)</x:f>
        <x:v>1</x:v>
      </x:c>
      <x:c r="K39" s="296" t="n">
        <x:f>COUNTIF(B39:F39,"&gt;31")</x:f>
        <x:v>3</x:v>
      </x:c>
      <x:c r="L39" s="336" t="n">
        <x:f>1/'Executive Summary'!$B$24</x:f>
        <x:v>7.1511238420185165e-9</x:v>
      </x:c>
      <x:c r="M39" s="342" t="n">
        <x:f>2.5</x:f>
        <x:v>2.5</x:v>
      </x:c>
      <x:c r="N39" s="288" t="str">
        <x:v>Conditional coverage wheel</x:v>
      </x:c>
    </x:row>
    <x:row r="40">
      <x:c r="A40" s="295" t="n">
        <x:v>36</x:v>
      </x:c>
      <x:c r="B40" s="296" t="n">
        <x:v>4</x:v>
      </x:c>
      <x:c r="C40" s="296" t="n">
        <x:v>21</x:v>
      </x:c>
      <x:c r="D40" s="296" t="n">
        <x:v>42</x:v>
      </x:c>
      <x:c r="E40" s="296" t="n">
        <x:v>44</x:v>
      </x:c>
      <x:c r="F40" s="296" t="n">
        <x:v>48</x:v>
      </x:c>
      <x:c r="G40" s="296" t="n">
        <x:v>4</x:v>
      </x:c>
      <x:c r="H40" s="296" t="n">
        <x:v>5</x:v>
      </x:c>
      <x:c r="I40" s="296" t="n">
        <x:f>SUM(B40:F40)</x:f>
        <x:v>159</x:v>
      </x:c>
      <x:c r="J40" s="296" t="n">
        <x:f>MOD(B40,2)+MOD(C40,2)+MOD(D40,2)+MOD(E40,2)+MOD(F40,2)</x:f>
        <x:v>1</x:v>
      </x:c>
      <x:c r="K40" s="296" t="n">
        <x:f>COUNTIF(B40:F40,"&gt;31")</x:f>
        <x:v>3</x:v>
      </x:c>
      <x:c r="L40" s="336" t="n">
        <x:f>1/'Executive Summary'!$B$24</x:f>
        <x:v>7.1511238420185165e-9</x:v>
      </x:c>
      <x:c r="M40" s="342" t="n">
        <x:f>2.5</x:f>
        <x:v>2.5</x:v>
      </x:c>
      <x:c r="N40" s="288" t="str">
        <x:v>Conditional coverage wheel</x:v>
      </x:c>
    </x:row>
    <x:row r="41">
      <x:c r="A41" s="295" t="n">
        <x:v>37</x:v>
      </x:c>
      <x:c r="B41" s="296" t="n">
        <x:v>4</x:v>
      </x:c>
      <x:c r="C41" s="296" t="n">
        <x:v>21</x:v>
      </x:c>
      <x:c r="D41" s="296" t="n">
        <x:v>42</x:v>
      </x:c>
      <x:c r="E41" s="296" t="n">
        <x:v>44</x:v>
      </x:c>
      <x:c r="F41" s="296" t="n">
        <x:v>48</x:v>
      </x:c>
      <x:c r="G41" s="296" t="n">
        <x:v>4</x:v>
      </x:c>
      <x:c r="H41" s="296" t="n">
        <x:v>7</x:v>
      </x:c>
      <x:c r="I41" s="296" t="n">
        <x:f>SUM(B41:F41)</x:f>
        <x:v>159</x:v>
      </x:c>
      <x:c r="J41" s="296" t="n">
        <x:f>MOD(B41,2)+MOD(C41,2)+MOD(D41,2)+MOD(E41,2)+MOD(F41,2)</x:f>
        <x:v>1</x:v>
      </x:c>
      <x:c r="K41" s="296" t="n">
        <x:f>COUNTIF(B41:F41,"&gt;31")</x:f>
        <x:v>3</x:v>
      </x:c>
      <x:c r="L41" s="336" t="n">
        <x:f>1/'Executive Summary'!$B$24</x:f>
        <x:v>7.1511238420185165e-9</x:v>
      </x:c>
      <x:c r="M41" s="342" t="n">
        <x:f>2.5</x:f>
        <x:v>2.5</x:v>
      </x:c>
      <x:c r="N41" s="288" t="str">
        <x:v>Conditional coverage wheel</x:v>
      </x:c>
    </x:row>
    <x:row r="42">
      <x:c r="A42" s="295" t="n">
        <x:v>38</x:v>
      </x:c>
      <x:c r="B42" s="296" t="n">
        <x:v>4</x:v>
      </x:c>
      <x:c r="C42" s="296" t="n">
        <x:v>21</x:v>
      </x:c>
      <x:c r="D42" s="296" t="n">
        <x:v>42</x:v>
      </x:c>
      <x:c r="E42" s="296" t="n">
        <x:v>44</x:v>
      </x:c>
      <x:c r="F42" s="296" t="n">
        <x:v>48</x:v>
      </x:c>
      <x:c r="G42" s="296" t="n">
        <x:v>4</x:v>
      </x:c>
      <x:c r="H42" s="296" t="n">
        <x:v>8</x:v>
      </x:c>
      <x:c r="I42" s="296" t="n">
        <x:f>SUM(B42:F42)</x:f>
        <x:v>159</x:v>
      </x:c>
      <x:c r="J42" s="296" t="n">
        <x:f>MOD(B42,2)+MOD(C42,2)+MOD(D42,2)+MOD(E42,2)+MOD(F42,2)</x:f>
        <x:v>1</x:v>
      </x:c>
      <x:c r="K42" s="296" t="n">
        <x:f>COUNTIF(B42:F42,"&gt;31")</x:f>
        <x:v>3</x:v>
      </x:c>
      <x:c r="L42" s="336" t="n">
        <x:f>1/'Executive Summary'!$B$24</x:f>
        <x:v>7.1511238420185165e-9</x:v>
      </x:c>
      <x:c r="M42" s="342" t="n">
        <x:f>2.5</x:f>
        <x:v>2.5</x:v>
      </x:c>
      <x:c r="N42" s="288" t="str">
        <x:v>Conditional coverage wheel</x:v>
      </x:c>
    </x:row>
    <x:row r="43">
      <x:c r="A43" s="295" t="n">
        <x:v>39</x:v>
      </x:c>
      <x:c r="B43" s="296" t="n">
        <x:v>4</x:v>
      </x:c>
      <x:c r="C43" s="296" t="n">
        <x:v>21</x:v>
      </x:c>
      <x:c r="D43" s="296" t="n">
        <x:v>42</x:v>
      </x:c>
      <x:c r="E43" s="296" t="n">
        <x:v>44</x:v>
      </x:c>
      <x:c r="F43" s="296" t="n">
        <x:v>48</x:v>
      </x:c>
      <x:c r="G43" s="296" t="n">
        <x:v>4</x:v>
      </x:c>
      <x:c r="H43" s="296" t="n">
        <x:v>9</x:v>
      </x:c>
      <x:c r="I43" s="296" t="n">
        <x:f>SUM(B43:F43)</x:f>
        <x:v>159</x:v>
      </x:c>
      <x:c r="J43" s="296" t="n">
        <x:f>MOD(B43,2)+MOD(C43,2)+MOD(D43,2)+MOD(E43,2)+MOD(F43,2)</x:f>
        <x:v>1</x:v>
      </x:c>
      <x:c r="K43" s="296" t="n">
        <x:f>COUNTIF(B43:F43,"&gt;31")</x:f>
        <x:v>3</x:v>
      </x:c>
      <x:c r="L43" s="336" t="n">
        <x:f>1/'Executive Summary'!$B$24</x:f>
        <x:v>7.1511238420185165e-9</x:v>
      </x:c>
      <x:c r="M43" s="342" t="n">
        <x:f>2.5</x:f>
        <x:v>2.5</x:v>
      </x:c>
      <x:c r="N43" s="288" t="str">
        <x:v>Conditional coverage wheel</x:v>
      </x:c>
    </x:row>
    <x:row r="44">
      <x:c r="A44" s="295" t="n">
        <x:v>40</x:v>
      </x:c>
      <x:c r="B44" s="296" t="n">
        <x:v>4</x:v>
      </x:c>
      <x:c r="C44" s="296" t="n">
        <x:v>21</x:v>
      </x:c>
      <x:c r="D44" s="296" t="n">
        <x:v>42</x:v>
      </x:c>
      <x:c r="E44" s="296" t="n">
        <x:v>44</x:v>
      </x:c>
      <x:c r="F44" s="296" t="n">
        <x:v>48</x:v>
      </x:c>
      <x:c r="G44" s="296" t="n">
        <x:v>5</x:v>
      </x:c>
      <x:c r="H44" s="296" t="n">
        <x:v>7</x:v>
      </x:c>
      <x:c r="I44" s="296" t="n">
        <x:f>SUM(B44:F44)</x:f>
        <x:v>159</x:v>
      </x:c>
      <x:c r="J44" s="296" t="n">
        <x:f>MOD(B44,2)+MOD(C44,2)+MOD(D44,2)+MOD(E44,2)+MOD(F44,2)</x:f>
        <x:v>1</x:v>
      </x:c>
      <x:c r="K44" s="296" t="n">
        <x:f>COUNTIF(B44:F44,"&gt;31")</x:f>
        <x:v>3</x:v>
      </x:c>
      <x:c r="L44" s="336" t="n">
        <x:f>1/'Executive Summary'!$B$24</x:f>
        <x:v>7.1511238420185165e-9</x:v>
      </x:c>
      <x:c r="M44" s="342" t="n">
        <x:f>2.5</x:f>
        <x:v>2.5</x:v>
      </x:c>
      <x:c r="N44" s="288" t="str">
        <x:v>Conditional coverage wheel</x:v>
      </x:c>
    </x:row>
    <x:row r="45">
      <x:c r="A45" s="295" t="n">
        <x:v>41</x:v>
      </x:c>
      <x:c r="B45" s="296" t="n">
        <x:v>4</x:v>
      </x:c>
      <x:c r="C45" s="296" t="n">
        <x:v>21</x:v>
      </x:c>
      <x:c r="D45" s="296" t="n">
        <x:v>42</x:v>
      </x:c>
      <x:c r="E45" s="296" t="n">
        <x:v>44</x:v>
      </x:c>
      <x:c r="F45" s="296" t="n">
        <x:v>48</x:v>
      </x:c>
      <x:c r="G45" s="296" t="n">
        <x:v>5</x:v>
      </x:c>
      <x:c r="H45" s="296" t="n">
        <x:v>8</x:v>
      </x:c>
      <x:c r="I45" s="296" t="n">
        <x:f>SUM(B45:F45)</x:f>
        <x:v>159</x:v>
      </x:c>
      <x:c r="J45" s="296" t="n">
        <x:f>MOD(B45,2)+MOD(C45,2)+MOD(D45,2)+MOD(E45,2)+MOD(F45,2)</x:f>
        <x:v>1</x:v>
      </x:c>
      <x:c r="K45" s="296" t="n">
        <x:f>COUNTIF(B45:F45,"&gt;31")</x:f>
        <x:v>3</x:v>
      </x:c>
      <x:c r="L45" s="336" t="n">
        <x:f>1/'Executive Summary'!$B$24</x:f>
        <x:v>7.1511238420185165e-9</x:v>
      </x:c>
      <x:c r="M45" s="342" t="n">
        <x:f>2.5</x:f>
        <x:v>2.5</x:v>
      </x:c>
      <x:c r="N45" s="288" t="str">
        <x:v>Conditional coverage wheel</x:v>
      </x:c>
    </x:row>
    <x:row r="46">
      <x:c r="A46" s="295" t="n">
        <x:v>42</x:v>
      </x:c>
      <x:c r="B46" s="296" t="n">
        <x:v>4</x:v>
      </x:c>
      <x:c r="C46" s="296" t="n">
        <x:v>21</x:v>
      </x:c>
      <x:c r="D46" s="296" t="n">
        <x:v>42</x:v>
      </x:c>
      <x:c r="E46" s="296" t="n">
        <x:v>44</x:v>
      </x:c>
      <x:c r="F46" s="296" t="n">
        <x:v>48</x:v>
      </x:c>
      <x:c r="G46" s="296" t="n">
        <x:v>5</x:v>
      </x:c>
      <x:c r="H46" s="296" t="n">
        <x:v>9</x:v>
      </x:c>
      <x:c r="I46" s="296" t="n">
        <x:f>SUM(B46:F46)</x:f>
        <x:v>159</x:v>
      </x:c>
      <x:c r="J46" s="296" t="n">
        <x:f>MOD(B46,2)+MOD(C46,2)+MOD(D46,2)+MOD(E46,2)+MOD(F46,2)</x:f>
        <x:v>1</x:v>
      </x:c>
      <x:c r="K46" s="296" t="n">
        <x:f>COUNTIF(B46:F46,"&gt;31")</x:f>
        <x:v>3</x:v>
      </x:c>
      <x:c r="L46" s="336" t="n">
        <x:f>1/'Executive Summary'!$B$24</x:f>
        <x:v>7.1511238420185165e-9</x:v>
      </x:c>
      <x:c r="M46" s="342" t="n">
        <x:f>2.5</x:f>
        <x:v>2.5</x:v>
      </x:c>
      <x:c r="N46" s="288" t="str">
        <x:v>Conditional coverage wheel</x:v>
      </x:c>
    </x:row>
    <x:row r="47">
      <x:c r="A47" s="295" t="n">
        <x:v>43</x:v>
      </x:c>
      <x:c r="B47" s="296" t="n">
        <x:v>4</x:v>
      </x:c>
      <x:c r="C47" s="296" t="n">
        <x:v>21</x:v>
      </x:c>
      <x:c r="D47" s="296" t="n">
        <x:v>42</x:v>
      </x:c>
      <x:c r="E47" s="296" t="n">
        <x:v>44</x:v>
      </x:c>
      <x:c r="F47" s="296" t="n">
        <x:v>48</x:v>
      </x:c>
      <x:c r="G47" s="296" t="n">
        <x:v>7</x:v>
      </x:c>
      <x:c r="H47" s="296" t="n">
        <x:v>8</x:v>
      </x:c>
      <x:c r="I47" s="296" t="n">
        <x:f>SUM(B47:F47)</x:f>
        <x:v>159</x:v>
      </x:c>
      <x:c r="J47" s="296" t="n">
        <x:f>MOD(B47,2)+MOD(C47,2)+MOD(D47,2)+MOD(E47,2)+MOD(F47,2)</x:f>
        <x:v>1</x:v>
      </x:c>
      <x:c r="K47" s="296" t="n">
        <x:f>COUNTIF(B47:F47,"&gt;31")</x:f>
        <x:v>3</x:v>
      </x:c>
      <x:c r="L47" s="336" t="n">
        <x:f>1/'Executive Summary'!$B$24</x:f>
        <x:v>7.1511238420185165e-9</x:v>
      </x:c>
      <x:c r="M47" s="342" t="n">
        <x:f>2.5</x:f>
        <x:v>2.5</x:v>
      </x:c>
      <x:c r="N47" s="288" t="str">
        <x:v>Conditional coverage wheel</x:v>
      </x:c>
    </x:row>
    <x:row r="48">
      <x:c r="A48" s="295" t="n">
        <x:v>44</x:v>
      </x:c>
      <x:c r="B48" s="296" t="n">
        <x:v>4</x:v>
      </x:c>
      <x:c r="C48" s="296" t="n">
        <x:v>21</x:v>
      </x:c>
      <x:c r="D48" s="296" t="n">
        <x:v>42</x:v>
      </x:c>
      <x:c r="E48" s="296" t="n">
        <x:v>44</x:v>
      </x:c>
      <x:c r="F48" s="296" t="n">
        <x:v>48</x:v>
      </x:c>
      <x:c r="G48" s="296" t="n">
        <x:v>7</x:v>
      </x:c>
      <x:c r="H48" s="296" t="n">
        <x:v>9</x:v>
      </x:c>
      <x:c r="I48" s="296" t="n">
        <x:f>SUM(B48:F48)</x:f>
        <x:v>159</x:v>
      </x:c>
      <x:c r="J48" s="296" t="n">
        <x:f>MOD(B48,2)+MOD(C48,2)+MOD(D48,2)+MOD(E48,2)+MOD(F48,2)</x:f>
        <x:v>1</x:v>
      </x:c>
      <x:c r="K48" s="296" t="n">
        <x:f>COUNTIF(B48:F48,"&gt;31")</x:f>
        <x:v>3</x:v>
      </x:c>
      <x:c r="L48" s="336" t="n">
        <x:f>1/'Executive Summary'!$B$24</x:f>
        <x:v>7.1511238420185165e-9</x:v>
      </x:c>
      <x:c r="M48" s="342" t="n">
        <x:f>2.5</x:f>
        <x:v>2.5</x:v>
      </x:c>
      <x:c r="N48" s="288" t="str">
        <x:v>Conditional coverage wheel</x:v>
      </x:c>
    </x:row>
    <x:row r="49">
      <x:c r="A49" s="295" t="n">
        <x:v>45</x:v>
      </x:c>
      <x:c r="B49" s="296" t="n">
        <x:v>4</x:v>
      </x:c>
      <x:c r="C49" s="296" t="n">
        <x:v>21</x:v>
      </x:c>
      <x:c r="D49" s="296" t="n">
        <x:v>42</x:v>
      </x:c>
      <x:c r="E49" s="296" t="n">
        <x:v>44</x:v>
      </x:c>
      <x:c r="F49" s="296" t="n">
        <x:v>48</x:v>
      </x:c>
      <x:c r="G49" s="296" t="n">
        <x:v>8</x:v>
      </x:c>
      <x:c r="H49" s="296" t="n">
        <x:v>9</x:v>
      </x:c>
      <x:c r="I49" s="296" t="n">
        <x:f>SUM(B49:F49)</x:f>
        <x:v>159</x:v>
      </x:c>
      <x:c r="J49" s="296" t="n">
        <x:f>MOD(B49,2)+MOD(C49,2)+MOD(D49,2)+MOD(E49,2)+MOD(F49,2)</x:f>
        <x:v>1</x:v>
      </x:c>
      <x:c r="K49" s="296" t="n">
        <x:f>COUNTIF(B49:F49,"&gt;31")</x:f>
        <x:v>3</x:v>
      </x:c>
      <x:c r="L49" s="336" t="n">
        <x:f>1/'Executive Summary'!$B$24</x:f>
        <x:v>7.1511238420185165e-9</x:v>
      </x:c>
      <x:c r="M49" s="342" t="n">
        <x:f>2.5</x:f>
        <x:v>2.5</x:v>
      </x:c>
      <x:c r="N49" s="288" t="str">
        <x:v>Conditional coverage wheel</x:v>
      </x:c>
    </x:row>
    <x:row r="50">
      <x:c r="A50" s="295" t="n">
        <x:v>46</x:v>
      </x:c>
      <x:c r="B50" s="296" t="n">
        <x:v>4</x:v>
      </x:c>
      <x:c r="C50" s="296" t="n">
        <x:v>25</x:v>
      </x:c>
      <x:c r="D50" s="296" t="n">
        <x:v>35</x:v>
      </x:c>
      <x:c r="E50" s="296" t="n">
        <x:v>42</x:v>
      </x:c>
      <x:c r="F50" s="296" t="n">
        <x:v>50</x:v>
      </x:c>
      <x:c r="G50" s="296" t="n">
        <x:v>3</x:v>
      </x:c>
      <x:c r="H50" s="296" t="n">
        <x:v>4</x:v>
      </x:c>
      <x:c r="I50" s="296" t="n">
        <x:f>SUM(B50:F50)</x:f>
        <x:v>156</x:v>
      </x:c>
      <x:c r="J50" s="296" t="n">
        <x:f>MOD(B50,2)+MOD(C50,2)+MOD(D50,2)+MOD(E50,2)+MOD(F50,2)</x:f>
        <x:v>2</x:v>
      </x:c>
      <x:c r="K50" s="296" t="n">
        <x:f>COUNTIF(B50:F50,"&gt;31")</x:f>
        <x:v>3</x:v>
      </x:c>
      <x:c r="L50" s="336" t="n">
        <x:f>1/'Executive Summary'!$B$24</x:f>
        <x:v>7.1511238420185165e-9</x:v>
      </x:c>
      <x:c r="M50" s="342" t="n">
        <x:f>2.5</x:f>
        <x:v>2.5</x:v>
      </x:c>
      <x:c r="N50" s="288" t="str">
        <x:v>Conditional coverage wheel</x:v>
      </x:c>
    </x:row>
    <x:row r="51">
      <x:c r="A51" s="295" t="n">
        <x:v>47</x:v>
      </x:c>
      <x:c r="B51" s="296" t="n">
        <x:v>4</x:v>
      </x:c>
      <x:c r="C51" s="296" t="n">
        <x:v>25</x:v>
      </x:c>
      <x:c r="D51" s="296" t="n">
        <x:v>35</x:v>
      </x:c>
      <x:c r="E51" s="296" t="n">
        <x:v>42</x:v>
      </x:c>
      <x:c r="F51" s="296" t="n">
        <x:v>50</x:v>
      </x:c>
      <x:c r="G51" s="296" t="n">
        <x:v>3</x:v>
      </x:c>
      <x:c r="H51" s="296" t="n">
        <x:v>5</x:v>
      </x:c>
      <x:c r="I51" s="296" t="n">
        <x:f>SUM(B51:F51)</x:f>
        <x:v>156</x:v>
      </x:c>
      <x:c r="J51" s="296" t="n">
        <x:f>MOD(B51,2)+MOD(C51,2)+MOD(D51,2)+MOD(E51,2)+MOD(F51,2)</x:f>
        <x:v>2</x:v>
      </x:c>
      <x:c r="K51" s="296" t="n">
        <x:f>COUNTIF(B51:F51,"&gt;31")</x:f>
        <x:v>3</x:v>
      </x:c>
      <x:c r="L51" s="336" t="n">
        <x:f>1/'Executive Summary'!$B$24</x:f>
        <x:v>7.1511238420185165e-9</x:v>
      </x:c>
      <x:c r="M51" s="342" t="n">
        <x:f>2.5</x:f>
        <x:v>2.5</x:v>
      </x:c>
      <x:c r="N51" s="288" t="str">
        <x:v>Conditional coverage wheel</x:v>
      </x:c>
    </x:row>
    <x:row r="52">
      <x:c r="A52" s="295" t="n">
        <x:v>48</x:v>
      </x:c>
      <x:c r="B52" s="296" t="n">
        <x:v>4</x:v>
      </x:c>
      <x:c r="C52" s="296" t="n">
        <x:v>25</x:v>
      </x:c>
      <x:c r="D52" s="296" t="n">
        <x:v>35</x:v>
      </x:c>
      <x:c r="E52" s="296" t="n">
        <x:v>42</x:v>
      </x:c>
      <x:c r="F52" s="296" t="n">
        <x:v>50</x:v>
      </x:c>
      <x:c r="G52" s="296" t="n">
        <x:v>3</x:v>
      </x:c>
      <x:c r="H52" s="296" t="n">
        <x:v>7</x:v>
      </x:c>
      <x:c r="I52" s="296" t="n">
        <x:f>SUM(B52:F52)</x:f>
        <x:v>156</x:v>
      </x:c>
      <x:c r="J52" s="296" t="n">
        <x:f>MOD(B52,2)+MOD(C52,2)+MOD(D52,2)+MOD(E52,2)+MOD(F52,2)</x:f>
        <x:v>2</x:v>
      </x:c>
      <x:c r="K52" s="296" t="n">
        <x:f>COUNTIF(B52:F52,"&gt;31")</x:f>
        <x:v>3</x:v>
      </x:c>
      <x:c r="L52" s="336" t="n">
        <x:f>1/'Executive Summary'!$B$24</x:f>
        <x:v>7.1511238420185165e-9</x:v>
      </x:c>
      <x:c r="M52" s="342" t="n">
        <x:f>2.5</x:f>
        <x:v>2.5</x:v>
      </x:c>
      <x:c r="N52" s="288" t="str">
        <x:v>Conditional coverage wheel</x:v>
      </x:c>
    </x:row>
    <x:row r="53">
      <x:c r="A53" s="295" t="n">
        <x:v>49</x:v>
      </x:c>
      <x:c r="B53" s="296" t="n">
        <x:v>4</x:v>
      </x:c>
      <x:c r="C53" s="296" t="n">
        <x:v>25</x:v>
      </x:c>
      <x:c r="D53" s="296" t="n">
        <x:v>35</x:v>
      </x:c>
      <x:c r="E53" s="296" t="n">
        <x:v>42</x:v>
      </x:c>
      <x:c r="F53" s="296" t="n">
        <x:v>50</x:v>
      </x:c>
      <x:c r="G53" s="296" t="n">
        <x:v>3</x:v>
      </x:c>
      <x:c r="H53" s="296" t="n">
        <x:v>8</x:v>
      </x:c>
      <x:c r="I53" s="296" t="n">
        <x:f>SUM(B53:F53)</x:f>
        <x:v>156</x:v>
      </x:c>
      <x:c r="J53" s="296" t="n">
        <x:f>MOD(B53,2)+MOD(C53,2)+MOD(D53,2)+MOD(E53,2)+MOD(F53,2)</x:f>
        <x:v>2</x:v>
      </x:c>
      <x:c r="K53" s="296" t="n">
        <x:f>COUNTIF(B53:F53,"&gt;31")</x:f>
        <x:v>3</x:v>
      </x:c>
      <x:c r="L53" s="336" t="n">
        <x:f>1/'Executive Summary'!$B$24</x:f>
        <x:v>7.1511238420185165e-9</x:v>
      </x:c>
      <x:c r="M53" s="342" t="n">
        <x:f>2.5</x:f>
        <x:v>2.5</x:v>
      </x:c>
      <x:c r="N53" s="288" t="str">
        <x:v>Conditional coverage wheel</x:v>
      </x:c>
    </x:row>
    <x:row r="54">
      <x:c r="A54" s="295" t="n">
        <x:v>50</x:v>
      </x:c>
      <x:c r="B54" s="296" t="n">
        <x:v>4</x:v>
      </x:c>
      <x:c r="C54" s="296" t="n">
        <x:v>25</x:v>
      </x:c>
      <x:c r="D54" s="296" t="n">
        <x:v>35</x:v>
      </x:c>
      <x:c r="E54" s="296" t="n">
        <x:v>42</x:v>
      </x:c>
      <x:c r="F54" s="296" t="n">
        <x:v>50</x:v>
      </x:c>
      <x:c r="G54" s="296" t="n">
        <x:v>3</x:v>
      </x:c>
      <x:c r="H54" s="296" t="n">
        <x:v>9</x:v>
      </x:c>
      <x:c r="I54" s="296" t="n">
        <x:f>SUM(B54:F54)</x:f>
        <x:v>156</x:v>
      </x:c>
      <x:c r="J54" s="296" t="n">
        <x:f>MOD(B54,2)+MOD(C54,2)+MOD(D54,2)+MOD(E54,2)+MOD(F54,2)</x:f>
        <x:v>2</x:v>
      </x:c>
      <x:c r="K54" s="296" t="n">
        <x:f>COUNTIF(B54:F54,"&gt;31")</x:f>
        <x:v>3</x:v>
      </x:c>
      <x:c r="L54" s="336" t="n">
        <x:f>1/'Executive Summary'!$B$24</x:f>
        <x:v>7.1511238420185165e-9</x:v>
      </x:c>
      <x:c r="M54" s="342" t="n">
        <x:f>2.5</x:f>
        <x:v>2.5</x:v>
      </x:c>
      <x:c r="N54" s="288" t="str">
        <x:v>Conditional coverage wheel</x:v>
      </x:c>
    </x:row>
    <x:row r="55">
      <x:c r="A55" s="295" t="n">
        <x:v>51</x:v>
      </x:c>
      <x:c r="B55" s="296" t="n">
        <x:v>4</x:v>
      </x:c>
      <x:c r="C55" s="296" t="n">
        <x:v>25</x:v>
      </x:c>
      <x:c r="D55" s="296" t="n">
        <x:v>35</x:v>
      </x:c>
      <x:c r="E55" s="296" t="n">
        <x:v>42</x:v>
      </x:c>
      <x:c r="F55" s="296" t="n">
        <x:v>50</x:v>
      </x:c>
      <x:c r="G55" s="296" t="n">
        <x:v>4</x:v>
      </x:c>
      <x:c r="H55" s="296" t="n">
        <x:v>5</x:v>
      </x:c>
      <x:c r="I55" s="296" t="n">
        <x:f>SUM(B55:F55)</x:f>
        <x:v>156</x:v>
      </x:c>
      <x:c r="J55" s="296" t="n">
        <x:f>MOD(B55,2)+MOD(C55,2)+MOD(D55,2)+MOD(E55,2)+MOD(F55,2)</x:f>
        <x:v>2</x:v>
      </x:c>
      <x:c r="K55" s="296" t="n">
        <x:f>COUNTIF(B55:F55,"&gt;31")</x:f>
        <x:v>3</x:v>
      </x:c>
      <x:c r="L55" s="336" t="n">
        <x:f>1/'Executive Summary'!$B$24</x:f>
        <x:v>7.1511238420185165e-9</x:v>
      </x:c>
      <x:c r="M55" s="342" t="n">
        <x:f>2.5</x:f>
        <x:v>2.5</x:v>
      </x:c>
      <x:c r="N55" s="288" t="str">
        <x:v>Conditional coverage wheel</x:v>
      </x:c>
    </x:row>
    <x:row r="56">
      <x:c r="A56" s="295" t="n">
        <x:v>52</x:v>
      </x:c>
      <x:c r="B56" s="296" t="n">
        <x:v>4</x:v>
      </x:c>
      <x:c r="C56" s="296" t="n">
        <x:v>25</x:v>
      </x:c>
      <x:c r="D56" s="296" t="n">
        <x:v>35</x:v>
      </x:c>
      <x:c r="E56" s="296" t="n">
        <x:v>42</x:v>
      </x:c>
      <x:c r="F56" s="296" t="n">
        <x:v>50</x:v>
      </x:c>
      <x:c r="G56" s="296" t="n">
        <x:v>4</x:v>
      </x:c>
      <x:c r="H56" s="296" t="n">
        <x:v>7</x:v>
      </x:c>
      <x:c r="I56" s="296" t="n">
        <x:f>SUM(B56:F56)</x:f>
        <x:v>156</x:v>
      </x:c>
      <x:c r="J56" s="296" t="n">
        <x:f>MOD(B56,2)+MOD(C56,2)+MOD(D56,2)+MOD(E56,2)+MOD(F56,2)</x:f>
        <x:v>2</x:v>
      </x:c>
      <x:c r="K56" s="296" t="n">
        <x:f>COUNTIF(B56:F56,"&gt;31")</x:f>
        <x:v>3</x:v>
      </x:c>
      <x:c r="L56" s="336" t="n">
        <x:f>1/'Executive Summary'!$B$24</x:f>
        <x:v>7.1511238420185165e-9</x:v>
      </x:c>
      <x:c r="M56" s="342" t="n">
        <x:f>2.5</x:f>
        <x:v>2.5</x:v>
      </x:c>
      <x:c r="N56" s="288" t="str">
        <x:v>Conditional coverage wheel</x:v>
      </x:c>
    </x:row>
    <x:row r="57">
      <x:c r="A57" s="295" t="n">
        <x:v>53</x:v>
      </x:c>
      <x:c r="B57" s="296" t="n">
        <x:v>4</x:v>
      </x:c>
      <x:c r="C57" s="296" t="n">
        <x:v>25</x:v>
      </x:c>
      <x:c r="D57" s="296" t="n">
        <x:v>35</x:v>
      </x:c>
      <x:c r="E57" s="296" t="n">
        <x:v>42</x:v>
      </x:c>
      <x:c r="F57" s="296" t="n">
        <x:v>50</x:v>
      </x:c>
      <x:c r="G57" s="296" t="n">
        <x:v>4</x:v>
      </x:c>
      <x:c r="H57" s="296" t="n">
        <x:v>8</x:v>
      </x:c>
      <x:c r="I57" s="296" t="n">
        <x:f>SUM(B57:F57)</x:f>
        <x:v>156</x:v>
      </x:c>
      <x:c r="J57" s="296" t="n">
        <x:f>MOD(B57,2)+MOD(C57,2)+MOD(D57,2)+MOD(E57,2)+MOD(F57,2)</x:f>
        <x:v>2</x:v>
      </x:c>
      <x:c r="K57" s="296" t="n">
        <x:f>COUNTIF(B57:F57,"&gt;31")</x:f>
        <x:v>3</x:v>
      </x:c>
      <x:c r="L57" s="336" t="n">
        <x:f>1/'Executive Summary'!$B$24</x:f>
        <x:v>7.1511238420185165e-9</x:v>
      </x:c>
      <x:c r="M57" s="342" t="n">
        <x:f>2.5</x:f>
        <x:v>2.5</x:v>
      </x:c>
      <x:c r="N57" s="288" t="str">
        <x:v>Conditional coverage wheel</x:v>
      </x:c>
    </x:row>
    <x:row r="58">
      <x:c r="A58" s="295" t="n">
        <x:v>54</x:v>
      </x:c>
      <x:c r="B58" s="296" t="n">
        <x:v>4</x:v>
      </x:c>
      <x:c r="C58" s="296" t="n">
        <x:v>25</x:v>
      </x:c>
      <x:c r="D58" s="296" t="n">
        <x:v>35</x:v>
      </x:c>
      <x:c r="E58" s="296" t="n">
        <x:v>42</x:v>
      </x:c>
      <x:c r="F58" s="296" t="n">
        <x:v>50</x:v>
      </x:c>
      <x:c r="G58" s="296" t="n">
        <x:v>4</x:v>
      </x:c>
      <x:c r="H58" s="296" t="n">
        <x:v>9</x:v>
      </x:c>
      <x:c r="I58" s="296" t="n">
        <x:f>SUM(B58:F58)</x:f>
        <x:v>156</x:v>
      </x:c>
      <x:c r="J58" s="296" t="n">
        <x:f>MOD(B58,2)+MOD(C58,2)+MOD(D58,2)+MOD(E58,2)+MOD(F58,2)</x:f>
        <x:v>2</x:v>
      </x:c>
      <x:c r="K58" s="296" t="n">
        <x:f>COUNTIF(B58:F58,"&gt;31")</x:f>
        <x:v>3</x:v>
      </x:c>
      <x:c r="L58" s="336" t="n">
        <x:f>1/'Executive Summary'!$B$24</x:f>
        <x:v>7.1511238420185165e-9</x:v>
      </x:c>
      <x:c r="M58" s="342" t="n">
        <x:f>2.5</x:f>
        <x:v>2.5</x:v>
      </x:c>
      <x:c r="N58" s="288" t="str">
        <x:v>Conditional coverage wheel</x:v>
      </x:c>
    </x:row>
    <x:row r="59">
      <x:c r="A59" s="295" t="n">
        <x:v>55</x:v>
      </x:c>
      <x:c r="B59" s="296" t="n">
        <x:v>4</x:v>
      </x:c>
      <x:c r="C59" s="296" t="n">
        <x:v>25</x:v>
      </x:c>
      <x:c r="D59" s="296" t="n">
        <x:v>35</x:v>
      </x:c>
      <x:c r="E59" s="296" t="n">
        <x:v>42</x:v>
      </x:c>
      <x:c r="F59" s="296" t="n">
        <x:v>50</x:v>
      </x:c>
      <x:c r="G59" s="296" t="n">
        <x:v>5</x:v>
      </x:c>
      <x:c r="H59" s="296" t="n">
        <x:v>7</x:v>
      </x:c>
      <x:c r="I59" s="296" t="n">
        <x:f>SUM(B59:F59)</x:f>
        <x:v>156</x:v>
      </x:c>
      <x:c r="J59" s="296" t="n">
        <x:f>MOD(B59,2)+MOD(C59,2)+MOD(D59,2)+MOD(E59,2)+MOD(F59,2)</x:f>
        <x:v>2</x:v>
      </x:c>
      <x:c r="K59" s="296" t="n">
        <x:f>COUNTIF(B59:F59,"&gt;31")</x:f>
        <x:v>3</x:v>
      </x:c>
      <x:c r="L59" s="336" t="n">
        <x:f>1/'Executive Summary'!$B$24</x:f>
        <x:v>7.1511238420185165e-9</x:v>
      </x:c>
      <x:c r="M59" s="342" t="n">
        <x:f>2.5</x:f>
        <x:v>2.5</x:v>
      </x:c>
      <x:c r="N59" s="288" t="str">
        <x:v>Conditional coverage wheel</x:v>
      </x:c>
    </x:row>
    <x:row r="60">
      <x:c r="A60" s="295" t="n">
        <x:v>56</x:v>
      </x:c>
      <x:c r="B60" s="296" t="n">
        <x:v>4</x:v>
      </x:c>
      <x:c r="C60" s="296" t="n">
        <x:v>25</x:v>
      </x:c>
      <x:c r="D60" s="296" t="n">
        <x:v>35</x:v>
      </x:c>
      <x:c r="E60" s="296" t="n">
        <x:v>42</x:v>
      </x:c>
      <x:c r="F60" s="296" t="n">
        <x:v>50</x:v>
      </x:c>
      <x:c r="G60" s="296" t="n">
        <x:v>5</x:v>
      </x:c>
      <x:c r="H60" s="296" t="n">
        <x:v>8</x:v>
      </x:c>
      <x:c r="I60" s="296" t="n">
        <x:f>SUM(B60:F60)</x:f>
        <x:v>156</x:v>
      </x:c>
      <x:c r="J60" s="296" t="n">
        <x:f>MOD(B60,2)+MOD(C60,2)+MOD(D60,2)+MOD(E60,2)+MOD(F60,2)</x:f>
        <x:v>2</x:v>
      </x:c>
      <x:c r="K60" s="296" t="n">
        <x:f>COUNTIF(B60:F60,"&gt;31")</x:f>
        <x:v>3</x:v>
      </x:c>
      <x:c r="L60" s="336" t="n">
        <x:f>1/'Executive Summary'!$B$24</x:f>
        <x:v>7.1511238420185165e-9</x:v>
      </x:c>
      <x:c r="M60" s="342" t="n">
        <x:f>2.5</x:f>
        <x:v>2.5</x:v>
      </x:c>
      <x:c r="N60" s="288" t="str">
        <x:v>Conditional coverage wheel</x:v>
      </x:c>
    </x:row>
    <x:row r="61">
      <x:c r="A61" s="295" t="n">
        <x:v>57</x:v>
      </x:c>
      <x:c r="B61" s="296" t="n">
        <x:v>4</x:v>
      </x:c>
      <x:c r="C61" s="296" t="n">
        <x:v>25</x:v>
      </x:c>
      <x:c r="D61" s="296" t="n">
        <x:v>35</x:v>
      </x:c>
      <x:c r="E61" s="296" t="n">
        <x:v>42</x:v>
      </x:c>
      <x:c r="F61" s="296" t="n">
        <x:v>50</x:v>
      </x:c>
      <x:c r="G61" s="296" t="n">
        <x:v>5</x:v>
      </x:c>
      <x:c r="H61" s="296" t="n">
        <x:v>9</x:v>
      </x:c>
      <x:c r="I61" s="296" t="n">
        <x:f>SUM(B61:F61)</x:f>
        <x:v>156</x:v>
      </x:c>
      <x:c r="J61" s="296" t="n">
        <x:f>MOD(B61,2)+MOD(C61,2)+MOD(D61,2)+MOD(E61,2)+MOD(F61,2)</x:f>
        <x:v>2</x:v>
      </x:c>
      <x:c r="K61" s="296" t="n">
        <x:f>COUNTIF(B61:F61,"&gt;31")</x:f>
        <x:v>3</x:v>
      </x:c>
      <x:c r="L61" s="336" t="n">
        <x:f>1/'Executive Summary'!$B$24</x:f>
        <x:v>7.1511238420185165e-9</x:v>
      </x:c>
      <x:c r="M61" s="342" t="n">
        <x:f>2.5</x:f>
        <x:v>2.5</x:v>
      </x:c>
      <x:c r="N61" s="288" t="str">
        <x:v>Conditional coverage wheel</x:v>
      </x:c>
    </x:row>
    <x:row r="62">
      <x:c r="A62" s="295" t="n">
        <x:v>58</x:v>
      </x:c>
      <x:c r="B62" s="296" t="n">
        <x:v>4</x:v>
      </x:c>
      <x:c r="C62" s="296" t="n">
        <x:v>25</x:v>
      </x:c>
      <x:c r="D62" s="296" t="n">
        <x:v>35</x:v>
      </x:c>
      <x:c r="E62" s="296" t="n">
        <x:v>42</x:v>
      </x:c>
      <x:c r="F62" s="296" t="n">
        <x:v>50</x:v>
      </x:c>
      <x:c r="G62" s="296" t="n">
        <x:v>7</x:v>
      </x:c>
      <x:c r="H62" s="296" t="n">
        <x:v>8</x:v>
      </x:c>
      <x:c r="I62" s="296" t="n">
        <x:f>SUM(B62:F62)</x:f>
        <x:v>156</x:v>
      </x:c>
      <x:c r="J62" s="296" t="n">
        <x:f>MOD(B62,2)+MOD(C62,2)+MOD(D62,2)+MOD(E62,2)+MOD(F62,2)</x:f>
        <x:v>2</x:v>
      </x:c>
      <x:c r="K62" s="296" t="n">
        <x:f>COUNTIF(B62:F62,"&gt;31")</x:f>
        <x:v>3</x:v>
      </x:c>
      <x:c r="L62" s="336" t="n">
        <x:f>1/'Executive Summary'!$B$24</x:f>
        <x:v>7.1511238420185165e-9</x:v>
      </x:c>
      <x:c r="M62" s="342" t="n">
        <x:f>2.5</x:f>
        <x:v>2.5</x:v>
      </x:c>
      <x:c r="N62" s="288" t="str">
        <x:v>Conditional coverage wheel</x:v>
      </x:c>
    </x:row>
    <x:row r="63">
      <x:c r="A63" s="295" t="n">
        <x:v>59</x:v>
      </x:c>
      <x:c r="B63" s="296" t="n">
        <x:v>4</x:v>
      </x:c>
      <x:c r="C63" s="296" t="n">
        <x:v>25</x:v>
      </x:c>
      <x:c r="D63" s="296" t="n">
        <x:v>35</x:v>
      </x:c>
      <x:c r="E63" s="296" t="n">
        <x:v>42</x:v>
      </x:c>
      <x:c r="F63" s="296" t="n">
        <x:v>50</x:v>
      </x:c>
      <x:c r="G63" s="296" t="n">
        <x:v>7</x:v>
      </x:c>
      <x:c r="H63" s="296" t="n">
        <x:v>9</x:v>
      </x:c>
      <x:c r="I63" s="296" t="n">
        <x:f>SUM(B63:F63)</x:f>
        <x:v>156</x:v>
      </x:c>
      <x:c r="J63" s="296" t="n">
        <x:f>MOD(B63,2)+MOD(C63,2)+MOD(D63,2)+MOD(E63,2)+MOD(F63,2)</x:f>
        <x:v>2</x:v>
      </x:c>
      <x:c r="K63" s="296" t="n">
        <x:f>COUNTIF(B63:F63,"&gt;31")</x:f>
        <x:v>3</x:v>
      </x:c>
      <x:c r="L63" s="336" t="n">
        <x:f>1/'Executive Summary'!$B$24</x:f>
        <x:v>7.1511238420185165e-9</x:v>
      </x:c>
      <x:c r="M63" s="342" t="n">
        <x:f>2.5</x:f>
        <x:v>2.5</x:v>
      </x:c>
      <x:c r="N63" s="288" t="str">
        <x:v>Conditional coverage wheel</x:v>
      </x:c>
    </x:row>
    <x:row r="64">
      <x:c r="A64" s="295" t="n">
        <x:v>60</x:v>
      </x:c>
      <x:c r="B64" s="296" t="n">
        <x:v>4</x:v>
      </x:c>
      <x:c r="C64" s="296" t="n">
        <x:v>25</x:v>
      </x:c>
      <x:c r="D64" s="296" t="n">
        <x:v>35</x:v>
      </x:c>
      <x:c r="E64" s="296" t="n">
        <x:v>42</x:v>
      </x:c>
      <x:c r="F64" s="296" t="n">
        <x:v>50</x:v>
      </x:c>
      <x:c r="G64" s="296" t="n">
        <x:v>8</x:v>
      </x:c>
      <x:c r="H64" s="296" t="n">
        <x:v>9</x:v>
      </x:c>
      <x:c r="I64" s="296" t="n">
        <x:f>SUM(B64:F64)</x:f>
        <x:v>156</x:v>
      </x:c>
      <x:c r="J64" s="296" t="n">
        <x:f>MOD(B64,2)+MOD(C64,2)+MOD(D64,2)+MOD(E64,2)+MOD(F64,2)</x:f>
        <x:v>2</x:v>
      </x:c>
      <x:c r="K64" s="296" t="n">
        <x:f>COUNTIF(B64:F64,"&gt;31")</x:f>
        <x:v>3</x:v>
      </x:c>
      <x:c r="L64" s="336" t="n">
        <x:f>1/'Executive Summary'!$B$24</x:f>
        <x:v>7.1511238420185165e-9</x:v>
      </x:c>
      <x:c r="M64" s="342" t="n">
        <x:f>2.5</x:f>
        <x:v>2.5</x:v>
      </x:c>
      <x:c r="N64" s="288" t="str">
        <x:v>Conditional coverage wheel</x:v>
      </x:c>
    </x:row>
    <x:row r="65">
      <x:c r="A65" s="295" t="n">
        <x:v>61</x:v>
      </x:c>
      <x:c r="B65" s="296" t="n">
        <x:v>4</x:v>
      </x:c>
      <x:c r="C65" s="296" t="n">
        <x:v>27</x:v>
      </x:c>
      <x:c r="D65" s="296" t="n">
        <x:v>36</x:v>
      </x:c>
      <x:c r="E65" s="296" t="n">
        <x:v>44</x:v>
      </x:c>
      <x:c r="F65" s="296" t="n">
        <x:v>50</x:v>
      </x:c>
      <x:c r="G65" s="296" t="n">
        <x:v>3</x:v>
      </x:c>
      <x:c r="H65" s="296" t="n">
        <x:v>4</x:v>
      </x:c>
      <x:c r="I65" s="296" t="n">
        <x:f>SUM(B65:F65)</x:f>
        <x:v>161</x:v>
      </x:c>
      <x:c r="J65" s="296" t="n">
        <x:f>MOD(B65,2)+MOD(C65,2)+MOD(D65,2)+MOD(E65,2)+MOD(F65,2)</x:f>
        <x:v>1</x:v>
      </x:c>
      <x:c r="K65" s="296" t="n">
        <x:f>COUNTIF(B65:F65,"&gt;31")</x:f>
        <x:v>3</x:v>
      </x:c>
      <x:c r="L65" s="336" t="n">
        <x:f>1/'Executive Summary'!$B$24</x:f>
        <x:v>7.1511238420185165e-9</x:v>
      </x:c>
      <x:c r="M65" s="342" t="n">
        <x:f>2.5</x:f>
        <x:v>2.5</x:v>
      </x:c>
      <x:c r="N65" s="288" t="str">
        <x:v>Conditional coverage wheel</x:v>
      </x:c>
    </x:row>
    <x:row r="66">
      <x:c r="A66" s="295" t="n">
        <x:v>62</x:v>
      </x:c>
      <x:c r="B66" s="296" t="n">
        <x:v>4</x:v>
      </x:c>
      <x:c r="C66" s="296" t="n">
        <x:v>27</x:v>
      </x:c>
      <x:c r="D66" s="296" t="n">
        <x:v>36</x:v>
      </x:c>
      <x:c r="E66" s="296" t="n">
        <x:v>44</x:v>
      </x:c>
      <x:c r="F66" s="296" t="n">
        <x:v>50</x:v>
      </x:c>
      <x:c r="G66" s="296" t="n">
        <x:v>3</x:v>
      </x:c>
      <x:c r="H66" s="296" t="n">
        <x:v>5</x:v>
      </x:c>
      <x:c r="I66" s="296" t="n">
        <x:f>SUM(B66:F66)</x:f>
        <x:v>161</x:v>
      </x:c>
      <x:c r="J66" s="296" t="n">
        <x:f>MOD(B66,2)+MOD(C66,2)+MOD(D66,2)+MOD(E66,2)+MOD(F66,2)</x:f>
        <x:v>1</x:v>
      </x:c>
      <x:c r="K66" s="296" t="n">
        <x:f>COUNTIF(B66:F66,"&gt;31")</x:f>
        <x:v>3</x:v>
      </x:c>
      <x:c r="L66" s="336" t="n">
        <x:f>1/'Executive Summary'!$B$24</x:f>
        <x:v>7.1511238420185165e-9</x:v>
      </x:c>
      <x:c r="M66" s="342" t="n">
        <x:f>2.5</x:f>
        <x:v>2.5</x:v>
      </x:c>
      <x:c r="N66" s="288" t="str">
        <x:v>Conditional coverage wheel</x:v>
      </x:c>
    </x:row>
    <x:row r="67">
      <x:c r="A67" s="295" t="n">
        <x:v>63</x:v>
      </x:c>
      <x:c r="B67" s="296" t="n">
        <x:v>4</x:v>
      </x:c>
      <x:c r="C67" s="296" t="n">
        <x:v>27</x:v>
      </x:c>
      <x:c r="D67" s="296" t="n">
        <x:v>36</x:v>
      </x:c>
      <x:c r="E67" s="296" t="n">
        <x:v>44</x:v>
      </x:c>
      <x:c r="F67" s="296" t="n">
        <x:v>50</x:v>
      </x:c>
      <x:c r="G67" s="296" t="n">
        <x:v>3</x:v>
      </x:c>
      <x:c r="H67" s="296" t="n">
        <x:v>7</x:v>
      </x:c>
      <x:c r="I67" s="296" t="n">
        <x:f>SUM(B67:F67)</x:f>
        <x:v>161</x:v>
      </x:c>
      <x:c r="J67" s="296" t="n">
        <x:f>MOD(B67,2)+MOD(C67,2)+MOD(D67,2)+MOD(E67,2)+MOD(F67,2)</x:f>
        <x:v>1</x:v>
      </x:c>
      <x:c r="K67" s="296" t="n">
        <x:f>COUNTIF(B67:F67,"&gt;31")</x:f>
        <x:v>3</x:v>
      </x:c>
      <x:c r="L67" s="336" t="n">
        <x:f>1/'Executive Summary'!$B$24</x:f>
        <x:v>7.1511238420185165e-9</x:v>
      </x:c>
      <x:c r="M67" s="342" t="n">
        <x:f>2.5</x:f>
        <x:v>2.5</x:v>
      </x:c>
      <x:c r="N67" s="288" t="str">
        <x:v>Conditional coverage wheel</x:v>
      </x:c>
    </x:row>
    <x:row r="68">
      <x:c r="A68" s="295" t="n">
        <x:v>64</x:v>
      </x:c>
      <x:c r="B68" s="296" t="n">
        <x:v>4</x:v>
      </x:c>
      <x:c r="C68" s="296" t="n">
        <x:v>27</x:v>
      </x:c>
      <x:c r="D68" s="296" t="n">
        <x:v>36</x:v>
      </x:c>
      <x:c r="E68" s="296" t="n">
        <x:v>44</x:v>
      </x:c>
      <x:c r="F68" s="296" t="n">
        <x:v>50</x:v>
      </x:c>
      <x:c r="G68" s="296" t="n">
        <x:v>3</x:v>
      </x:c>
      <x:c r="H68" s="296" t="n">
        <x:v>8</x:v>
      </x:c>
      <x:c r="I68" s="296" t="n">
        <x:f>SUM(B68:F68)</x:f>
        <x:v>161</x:v>
      </x:c>
      <x:c r="J68" s="296" t="n">
        <x:f>MOD(B68,2)+MOD(C68,2)+MOD(D68,2)+MOD(E68,2)+MOD(F68,2)</x:f>
        <x:v>1</x:v>
      </x:c>
      <x:c r="K68" s="296" t="n">
        <x:f>COUNTIF(B68:F68,"&gt;31")</x:f>
        <x:v>3</x:v>
      </x:c>
      <x:c r="L68" s="336" t="n">
        <x:f>1/'Executive Summary'!$B$24</x:f>
        <x:v>7.1511238420185165e-9</x:v>
      </x:c>
      <x:c r="M68" s="342" t="n">
        <x:f>2.5</x:f>
        <x:v>2.5</x:v>
      </x:c>
      <x:c r="N68" s="288" t="str">
        <x:v>Conditional coverage wheel</x:v>
      </x:c>
    </x:row>
    <x:row r="69">
      <x:c r="A69" s="295" t="n">
        <x:v>65</x:v>
      </x:c>
      <x:c r="B69" s="296" t="n">
        <x:v>4</x:v>
      </x:c>
      <x:c r="C69" s="296" t="n">
        <x:v>27</x:v>
      </x:c>
      <x:c r="D69" s="296" t="n">
        <x:v>36</x:v>
      </x:c>
      <x:c r="E69" s="296" t="n">
        <x:v>44</x:v>
      </x:c>
      <x:c r="F69" s="296" t="n">
        <x:v>50</x:v>
      </x:c>
      <x:c r="G69" s="296" t="n">
        <x:v>3</x:v>
      </x:c>
      <x:c r="H69" s="296" t="n">
        <x:v>9</x:v>
      </x:c>
      <x:c r="I69" s="296" t="n">
        <x:f>SUM(B69:F69)</x:f>
        <x:v>161</x:v>
      </x:c>
      <x:c r="J69" s="296" t="n">
        <x:f>MOD(B69,2)+MOD(C69,2)+MOD(D69,2)+MOD(E69,2)+MOD(F69,2)</x:f>
        <x:v>1</x:v>
      </x:c>
      <x:c r="K69" s="296" t="n">
        <x:f>COUNTIF(B69:F69,"&gt;31")</x:f>
        <x:v>3</x:v>
      </x:c>
      <x:c r="L69" s="336" t="n">
        <x:f>1/'Executive Summary'!$B$24</x:f>
        <x:v>7.1511238420185165e-9</x:v>
      </x:c>
      <x:c r="M69" s="342" t="n">
        <x:f>2.5</x:f>
        <x:v>2.5</x:v>
      </x:c>
      <x:c r="N69" s="288" t="str">
        <x:v>Conditional coverage wheel</x:v>
      </x:c>
    </x:row>
    <x:row r="70">
      <x:c r="A70" s="295" t="n">
        <x:v>66</x:v>
      </x:c>
      <x:c r="B70" s="296" t="n">
        <x:v>4</x:v>
      </x:c>
      <x:c r="C70" s="296" t="n">
        <x:v>27</x:v>
      </x:c>
      <x:c r="D70" s="296" t="n">
        <x:v>36</x:v>
      </x:c>
      <x:c r="E70" s="296" t="n">
        <x:v>44</x:v>
      </x:c>
      <x:c r="F70" s="296" t="n">
        <x:v>50</x:v>
      </x:c>
      <x:c r="G70" s="296" t="n">
        <x:v>4</x:v>
      </x:c>
      <x:c r="H70" s="296" t="n">
        <x:v>5</x:v>
      </x:c>
      <x:c r="I70" s="296" t="n">
        <x:f>SUM(B70:F70)</x:f>
        <x:v>161</x:v>
      </x:c>
      <x:c r="J70" s="296" t="n">
        <x:f>MOD(B70,2)+MOD(C70,2)+MOD(D70,2)+MOD(E70,2)+MOD(F70,2)</x:f>
        <x:v>1</x:v>
      </x:c>
      <x:c r="K70" s="296" t="n">
        <x:f>COUNTIF(B70:F70,"&gt;31")</x:f>
        <x:v>3</x:v>
      </x:c>
      <x:c r="L70" s="336" t="n">
        <x:f>1/'Executive Summary'!$B$24</x:f>
        <x:v>7.1511238420185165e-9</x:v>
      </x:c>
      <x:c r="M70" s="342" t="n">
        <x:f>2.5</x:f>
        <x:v>2.5</x:v>
      </x:c>
      <x:c r="N70" s="288" t="str">
        <x:v>Conditional coverage wheel</x:v>
      </x:c>
    </x:row>
    <x:row r="71">
      <x:c r="A71" s="295" t="n">
        <x:v>67</x:v>
      </x:c>
      <x:c r="B71" s="296" t="n">
        <x:v>4</x:v>
      </x:c>
      <x:c r="C71" s="296" t="n">
        <x:v>27</x:v>
      </x:c>
      <x:c r="D71" s="296" t="n">
        <x:v>36</x:v>
      </x:c>
      <x:c r="E71" s="296" t="n">
        <x:v>44</x:v>
      </x:c>
      <x:c r="F71" s="296" t="n">
        <x:v>50</x:v>
      </x:c>
      <x:c r="G71" s="296" t="n">
        <x:v>4</x:v>
      </x:c>
      <x:c r="H71" s="296" t="n">
        <x:v>7</x:v>
      </x:c>
      <x:c r="I71" s="296" t="n">
        <x:f>SUM(B71:F71)</x:f>
        <x:v>161</x:v>
      </x:c>
      <x:c r="J71" s="296" t="n">
        <x:f>MOD(B71,2)+MOD(C71,2)+MOD(D71,2)+MOD(E71,2)+MOD(F71,2)</x:f>
        <x:v>1</x:v>
      </x:c>
      <x:c r="K71" s="296" t="n">
        <x:f>COUNTIF(B71:F71,"&gt;31")</x:f>
        <x:v>3</x:v>
      </x:c>
      <x:c r="L71" s="336" t="n">
        <x:f>1/'Executive Summary'!$B$24</x:f>
        <x:v>7.1511238420185165e-9</x:v>
      </x:c>
      <x:c r="M71" s="342" t="n">
        <x:f>2.5</x:f>
        <x:v>2.5</x:v>
      </x:c>
      <x:c r="N71" s="288" t="str">
        <x:v>Conditional coverage wheel</x:v>
      </x:c>
    </x:row>
    <x:row r="72">
      <x:c r="A72" s="295" t="n">
        <x:v>68</x:v>
      </x:c>
      <x:c r="B72" s="296" t="n">
        <x:v>4</x:v>
      </x:c>
      <x:c r="C72" s="296" t="n">
        <x:v>27</x:v>
      </x:c>
      <x:c r="D72" s="296" t="n">
        <x:v>36</x:v>
      </x:c>
      <x:c r="E72" s="296" t="n">
        <x:v>44</x:v>
      </x:c>
      <x:c r="F72" s="296" t="n">
        <x:v>50</x:v>
      </x:c>
      <x:c r="G72" s="296" t="n">
        <x:v>4</x:v>
      </x:c>
      <x:c r="H72" s="296" t="n">
        <x:v>8</x:v>
      </x:c>
      <x:c r="I72" s="296" t="n">
        <x:f>SUM(B72:F72)</x:f>
        <x:v>161</x:v>
      </x:c>
      <x:c r="J72" s="296" t="n">
        <x:f>MOD(B72,2)+MOD(C72,2)+MOD(D72,2)+MOD(E72,2)+MOD(F72,2)</x:f>
        <x:v>1</x:v>
      </x:c>
      <x:c r="K72" s="296" t="n">
        <x:f>COUNTIF(B72:F72,"&gt;31")</x:f>
        <x:v>3</x:v>
      </x:c>
      <x:c r="L72" s="336" t="n">
        <x:f>1/'Executive Summary'!$B$24</x:f>
        <x:v>7.1511238420185165e-9</x:v>
      </x:c>
      <x:c r="M72" s="342" t="n">
        <x:f>2.5</x:f>
        <x:v>2.5</x:v>
      </x:c>
      <x:c r="N72" s="288" t="str">
        <x:v>Conditional coverage wheel</x:v>
      </x:c>
    </x:row>
    <x:row r="73">
      <x:c r="A73" s="295" t="n">
        <x:v>69</x:v>
      </x:c>
      <x:c r="B73" s="296" t="n">
        <x:v>4</x:v>
      </x:c>
      <x:c r="C73" s="296" t="n">
        <x:v>27</x:v>
      </x:c>
      <x:c r="D73" s="296" t="n">
        <x:v>36</x:v>
      </x:c>
      <x:c r="E73" s="296" t="n">
        <x:v>44</x:v>
      </x:c>
      <x:c r="F73" s="296" t="n">
        <x:v>50</x:v>
      </x:c>
      <x:c r="G73" s="296" t="n">
        <x:v>4</x:v>
      </x:c>
      <x:c r="H73" s="296" t="n">
        <x:v>9</x:v>
      </x:c>
      <x:c r="I73" s="296" t="n">
        <x:f>SUM(B73:F73)</x:f>
        <x:v>161</x:v>
      </x:c>
      <x:c r="J73" s="296" t="n">
        <x:f>MOD(B73,2)+MOD(C73,2)+MOD(D73,2)+MOD(E73,2)+MOD(F73,2)</x:f>
        <x:v>1</x:v>
      </x:c>
      <x:c r="K73" s="296" t="n">
        <x:f>COUNTIF(B73:F73,"&gt;31")</x:f>
        <x:v>3</x:v>
      </x:c>
      <x:c r="L73" s="336" t="n">
        <x:f>1/'Executive Summary'!$B$24</x:f>
        <x:v>7.1511238420185165e-9</x:v>
      </x:c>
      <x:c r="M73" s="342" t="n">
        <x:f>2.5</x:f>
        <x:v>2.5</x:v>
      </x:c>
      <x:c r="N73" s="288" t="str">
        <x:v>Conditional coverage wheel</x:v>
      </x:c>
    </x:row>
    <x:row r="74">
      <x:c r="A74" s="295" t="n">
        <x:v>70</x:v>
      </x:c>
      <x:c r="B74" s="296" t="n">
        <x:v>4</x:v>
      </x:c>
      <x:c r="C74" s="296" t="n">
        <x:v>27</x:v>
      </x:c>
      <x:c r="D74" s="296" t="n">
        <x:v>36</x:v>
      </x:c>
      <x:c r="E74" s="296" t="n">
        <x:v>44</x:v>
      </x:c>
      <x:c r="F74" s="296" t="n">
        <x:v>50</x:v>
      </x:c>
      <x:c r="G74" s="296" t="n">
        <x:v>5</x:v>
      </x:c>
      <x:c r="H74" s="296" t="n">
        <x:v>7</x:v>
      </x:c>
      <x:c r="I74" s="296" t="n">
        <x:f>SUM(B74:F74)</x:f>
        <x:v>161</x:v>
      </x:c>
      <x:c r="J74" s="296" t="n">
        <x:f>MOD(B74,2)+MOD(C74,2)+MOD(D74,2)+MOD(E74,2)+MOD(F74,2)</x:f>
        <x:v>1</x:v>
      </x:c>
      <x:c r="K74" s="296" t="n">
        <x:f>COUNTIF(B74:F74,"&gt;31")</x:f>
        <x:v>3</x:v>
      </x:c>
      <x:c r="L74" s="336" t="n">
        <x:f>1/'Executive Summary'!$B$24</x:f>
        <x:v>7.1511238420185165e-9</x:v>
      </x:c>
      <x:c r="M74" s="342" t="n">
        <x:f>2.5</x:f>
        <x:v>2.5</x:v>
      </x:c>
      <x:c r="N74" s="288" t="str">
        <x:v>Conditional coverage wheel</x:v>
      </x:c>
    </x:row>
    <x:row r="75">
      <x:c r="A75" s="295" t="n">
        <x:v>71</x:v>
      </x:c>
      <x:c r="B75" s="296" t="n">
        <x:v>4</x:v>
      </x:c>
      <x:c r="C75" s="296" t="n">
        <x:v>27</x:v>
      </x:c>
      <x:c r="D75" s="296" t="n">
        <x:v>36</x:v>
      </x:c>
      <x:c r="E75" s="296" t="n">
        <x:v>44</x:v>
      </x:c>
      <x:c r="F75" s="296" t="n">
        <x:v>50</x:v>
      </x:c>
      <x:c r="G75" s="296" t="n">
        <x:v>5</x:v>
      </x:c>
      <x:c r="H75" s="296" t="n">
        <x:v>8</x:v>
      </x:c>
      <x:c r="I75" s="296" t="n">
        <x:f>SUM(B75:F75)</x:f>
        <x:v>161</x:v>
      </x:c>
      <x:c r="J75" s="296" t="n">
        <x:f>MOD(B75,2)+MOD(C75,2)+MOD(D75,2)+MOD(E75,2)+MOD(F75,2)</x:f>
        <x:v>1</x:v>
      </x:c>
      <x:c r="K75" s="296" t="n">
        <x:f>COUNTIF(B75:F75,"&gt;31")</x:f>
        <x:v>3</x:v>
      </x:c>
      <x:c r="L75" s="336" t="n">
        <x:f>1/'Executive Summary'!$B$24</x:f>
        <x:v>7.1511238420185165e-9</x:v>
      </x:c>
      <x:c r="M75" s="342" t="n">
        <x:f>2.5</x:f>
        <x:v>2.5</x:v>
      </x:c>
      <x:c r="N75" s="288" t="str">
        <x:v>Conditional coverage wheel</x:v>
      </x:c>
    </x:row>
    <x:row r="76">
      <x:c r="A76" s="295" t="n">
        <x:v>72</x:v>
      </x:c>
      <x:c r="B76" s="296" t="n">
        <x:v>4</x:v>
      </x:c>
      <x:c r="C76" s="296" t="n">
        <x:v>27</x:v>
      </x:c>
      <x:c r="D76" s="296" t="n">
        <x:v>36</x:v>
      </x:c>
      <x:c r="E76" s="296" t="n">
        <x:v>44</x:v>
      </x:c>
      <x:c r="F76" s="296" t="n">
        <x:v>50</x:v>
      </x:c>
      <x:c r="G76" s="296" t="n">
        <x:v>5</x:v>
      </x:c>
      <x:c r="H76" s="296" t="n">
        <x:v>9</x:v>
      </x:c>
      <x:c r="I76" s="296" t="n">
        <x:f>SUM(B76:F76)</x:f>
        <x:v>161</x:v>
      </x:c>
      <x:c r="J76" s="296" t="n">
        <x:f>MOD(B76,2)+MOD(C76,2)+MOD(D76,2)+MOD(E76,2)+MOD(F76,2)</x:f>
        <x:v>1</x:v>
      </x:c>
      <x:c r="K76" s="296" t="n">
        <x:f>COUNTIF(B76:F76,"&gt;31")</x:f>
        <x:v>3</x:v>
      </x:c>
      <x:c r="L76" s="336" t="n">
        <x:f>1/'Executive Summary'!$B$24</x:f>
        <x:v>7.1511238420185165e-9</x:v>
      </x:c>
      <x:c r="M76" s="342" t="n">
        <x:f>2.5</x:f>
        <x:v>2.5</x:v>
      </x:c>
      <x:c r="N76" s="288" t="str">
        <x:v>Conditional coverage wheel</x:v>
      </x:c>
    </x:row>
    <x:row r="77">
      <x:c r="A77" s="295" t="n">
        <x:v>73</x:v>
      </x:c>
      <x:c r="B77" s="296" t="n">
        <x:v>4</x:v>
      </x:c>
      <x:c r="C77" s="296" t="n">
        <x:v>27</x:v>
      </x:c>
      <x:c r="D77" s="296" t="n">
        <x:v>36</x:v>
      </x:c>
      <x:c r="E77" s="296" t="n">
        <x:v>44</x:v>
      </x:c>
      <x:c r="F77" s="296" t="n">
        <x:v>50</x:v>
      </x:c>
      <x:c r="G77" s="296" t="n">
        <x:v>7</x:v>
      </x:c>
      <x:c r="H77" s="296" t="n">
        <x:v>8</x:v>
      </x:c>
      <x:c r="I77" s="296" t="n">
        <x:f>SUM(B77:F77)</x:f>
        <x:v>161</x:v>
      </x:c>
      <x:c r="J77" s="296" t="n">
        <x:f>MOD(B77,2)+MOD(C77,2)+MOD(D77,2)+MOD(E77,2)+MOD(F77,2)</x:f>
        <x:v>1</x:v>
      </x:c>
      <x:c r="K77" s="296" t="n">
        <x:f>COUNTIF(B77:F77,"&gt;31")</x:f>
        <x:v>3</x:v>
      </x:c>
      <x:c r="L77" s="336" t="n">
        <x:f>1/'Executive Summary'!$B$24</x:f>
        <x:v>7.1511238420185165e-9</x:v>
      </x:c>
      <x:c r="M77" s="342" t="n">
        <x:f>2.5</x:f>
        <x:v>2.5</x:v>
      </x:c>
      <x:c r="N77" s="288" t="str">
        <x:v>Conditional coverage wheel</x:v>
      </x:c>
    </x:row>
    <x:row r="78">
      <x:c r="A78" s="295" t="n">
        <x:v>74</x:v>
      </x:c>
      <x:c r="B78" s="296" t="n">
        <x:v>4</x:v>
      </x:c>
      <x:c r="C78" s="296" t="n">
        <x:v>27</x:v>
      </x:c>
      <x:c r="D78" s="296" t="n">
        <x:v>36</x:v>
      </x:c>
      <x:c r="E78" s="296" t="n">
        <x:v>44</x:v>
      </x:c>
      <x:c r="F78" s="296" t="n">
        <x:v>50</x:v>
      </x:c>
      <x:c r="G78" s="296" t="n">
        <x:v>7</x:v>
      </x:c>
      <x:c r="H78" s="296" t="n">
        <x:v>9</x:v>
      </x:c>
      <x:c r="I78" s="296" t="n">
        <x:f>SUM(B78:F78)</x:f>
        <x:v>161</x:v>
      </x:c>
      <x:c r="J78" s="296" t="n">
        <x:f>MOD(B78,2)+MOD(C78,2)+MOD(D78,2)+MOD(E78,2)+MOD(F78,2)</x:f>
        <x:v>1</x:v>
      </x:c>
      <x:c r="K78" s="296" t="n">
        <x:f>COUNTIF(B78:F78,"&gt;31")</x:f>
        <x:v>3</x:v>
      </x:c>
      <x:c r="L78" s="336" t="n">
        <x:f>1/'Executive Summary'!$B$24</x:f>
        <x:v>7.1511238420185165e-9</x:v>
      </x:c>
      <x:c r="M78" s="342" t="n">
        <x:f>2.5</x:f>
        <x:v>2.5</x:v>
      </x:c>
      <x:c r="N78" s="288" t="str">
        <x:v>Conditional coverage wheel</x:v>
      </x:c>
    </x:row>
    <x:row r="79">
      <x:c r="A79" s="295" t="n">
        <x:v>75</x:v>
      </x:c>
      <x:c r="B79" s="296" t="n">
        <x:v>4</x:v>
      </x:c>
      <x:c r="C79" s="296" t="n">
        <x:v>27</x:v>
      </x:c>
      <x:c r="D79" s="296" t="n">
        <x:v>36</x:v>
      </x:c>
      <x:c r="E79" s="296" t="n">
        <x:v>44</x:v>
      </x:c>
      <x:c r="F79" s="296" t="n">
        <x:v>50</x:v>
      </x:c>
      <x:c r="G79" s="296" t="n">
        <x:v>8</x:v>
      </x:c>
      <x:c r="H79" s="296" t="n">
        <x:v>9</x:v>
      </x:c>
      <x:c r="I79" s="296" t="n">
        <x:f>SUM(B79:F79)</x:f>
        <x:v>161</x:v>
      </x:c>
      <x:c r="J79" s="296" t="n">
        <x:f>MOD(B79,2)+MOD(C79,2)+MOD(D79,2)+MOD(E79,2)+MOD(F79,2)</x:f>
        <x:v>1</x:v>
      </x:c>
      <x:c r="K79" s="296" t="n">
        <x:f>COUNTIF(B79:F79,"&gt;31")</x:f>
        <x:v>3</x:v>
      </x:c>
      <x:c r="L79" s="336" t="n">
        <x:f>1/'Executive Summary'!$B$24</x:f>
        <x:v>7.1511238420185165e-9</x:v>
      </x:c>
      <x:c r="M79" s="342" t="n">
        <x:f>2.5</x:f>
        <x:v>2.5</x:v>
      </x:c>
      <x:c r="N79" s="288" t="str">
        <x:v>Conditional coverage wheel</x:v>
      </x:c>
    </x:row>
    <x:row r="80">
      <x:c r="A80" s="295" t="n">
        <x:v>76</x:v>
      </x:c>
      <x:c r="B80" s="296" t="n">
        <x:v>4</x:v>
      </x:c>
      <x:c r="C80" s="296" t="n">
        <x:v>28</x:v>
      </x:c>
      <x:c r="D80" s="296" t="n">
        <x:v>37</x:v>
      </x:c>
      <x:c r="E80" s="296" t="n">
        <x:v>48</x:v>
      </x:c>
      <x:c r="F80" s="296" t="n">
        <x:v>50</x:v>
      </x:c>
      <x:c r="G80" s="296" t="n">
        <x:v>3</x:v>
      </x:c>
      <x:c r="H80" s="296" t="n">
        <x:v>4</x:v>
      </x:c>
      <x:c r="I80" s="296" t="n">
        <x:f>SUM(B80:F80)</x:f>
        <x:v>167</x:v>
      </x:c>
      <x:c r="J80" s="296" t="n">
        <x:f>MOD(B80,2)+MOD(C80,2)+MOD(D80,2)+MOD(E80,2)+MOD(F80,2)</x:f>
        <x:v>1</x:v>
      </x:c>
      <x:c r="K80" s="296" t="n">
        <x:f>COUNTIF(B80:F80,"&gt;31")</x:f>
        <x:v>3</x:v>
      </x:c>
      <x:c r="L80" s="336" t="n">
        <x:f>1/'Executive Summary'!$B$24</x:f>
        <x:v>7.1511238420185165e-9</x:v>
      </x:c>
      <x:c r="M80" s="342" t="n">
        <x:f>2.5</x:f>
        <x:v>2.5</x:v>
      </x:c>
      <x:c r="N80" s="288" t="str">
        <x:v>Conditional coverage wheel</x:v>
      </x:c>
    </x:row>
    <x:row r="81">
      <x:c r="A81" s="295" t="n">
        <x:v>77</x:v>
      </x:c>
      <x:c r="B81" s="296" t="n">
        <x:v>4</x:v>
      </x:c>
      <x:c r="C81" s="296" t="n">
        <x:v>28</x:v>
      </x:c>
      <x:c r="D81" s="296" t="n">
        <x:v>37</x:v>
      </x:c>
      <x:c r="E81" s="296" t="n">
        <x:v>48</x:v>
      </x:c>
      <x:c r="F81" s="296" t="n">
        <x:v>50</x:v>
      </x:c>
      <x:c r="G81" s="296" t="n">
        <x:v>3</x:v>
      </x:c>
      <x:c r="H81" s="296" t="n">
        <x:v>5</x:v>
      </x:c>
      <x:c r="I81" s="296" t="n">
        <x:f>SUM(B81:F81)</x:f>
        <x:v>167</x:v>
      </x:c>
      <x:c r="J81" s="296" t="n">
        <x:f>MOD(B81,2)+MOD(C81,2)+MOD(D81,2)+MOD(E81,2)+MOD(F81,2)</x:f>
        <x:v>1</x:v>
      </x:c>
      <x:c r="K81" s="296" t="n">
        <x:f>COUNTIF(B81:F81,"&gt;31")</x:f>
        <x:v>3</x:v>
      </x:c>
      <x:c r="L81" s="336" t="n">
        <x:f>1/'Executive Summary'!$B$24</x:f>
        <x:v>7.1511238420185165e-9</x:v>
      </x:c>
      <x:c r="M81" s="342" t="n">
        <x:f>2.5</x:f>
        <x:v>2.5</x:v>
      </x:c>
      <x:c r="N81" s="288" t="str">
        <x:v>Conditional coverage wheel</x:v>
      </x:c>
    </x:row>
    <x:row r="82">
      <x:c r="A82" s="295" t="n">
        <x:v>78</x:v>
      </x:c>
      <x:c r="B82" s="296" t="n">
        <x:v>4</x:v>
      </x:c>
      <x:c r="C82" s="296" t="n">
        <x:v>28</x:v>
      </x:c>
      <x:c r="D82" s="296" t="n">
        <x:v>37</x:v>
      </x:c>
      <x:c r="E82" s="296" t="n">
        <x:v>48</x:v>
      </x:c>
      <x:c r="F82" s="296" t="n">
        <x:v>50</x:v>
      </x:c>
      <x:c r="G82" s="296" t="n">
        <x:v>3</x:v>
      </x:c>
      <x:c r="H82" s="296" t="n">
        <x:v>7</x:v>
      </x:c>
      <x:c r="I82" s="296" t="n">
        <x:f>SUM(B82:F82)</x:f>
        <x:v>167</x:v>
      </x:c>
      <x:c r="J82" s="296" t="n">
        <x:f>MOD(B82,2)+MOD(C82,2)+MOD(D82,2)+MOD(E82,2)+MOD(F82,2)</x:f>
        <x:v>1</x:v>
      </x:c>
      <x:c r="K82" s="296" t="n">
        <x:f>COUNTIF(B82:F82,"&gt;31")</x:f>
        <x:v>3</x:v>
      </x:c>
      <x:c r="L82" s="336" t="n">
        <x:f>1/'Executive Summary'!$B$24</x:f>
        <x:v>7.1511238420185165e-9</x:v>
      </x:c>
      <x:c r="M82" s="342" t="n">
        <x:f>2.5</x:f>
        <x:v>2.5</x:v>
      </x:c>
      <x:c r="N82" s="288" t="str">
        <x:v>Conditional coverage wheel</x:v>
      </x:c>
    </x:row>
    <x:row r="83">
      <x:c r="A83" s="295" t="n">
        <x:v>79</x:v>
      </x:c>
      <x:c r="B83" s="296" t="n">
        <x:v>4</x:v>
      </x:c>
      <x:c r="C83" s="296" t="n">
        <x:v>28</x:v>
      </x:c>
      <x:c r="D83" s="296" t="n">
        <x:v>37</x:v>
      </x:c>
      <x:c r="E83" s="296" t="n">
        <x:v>48</x:v>
      </x:c>
      <x:c r="F83" s="296" t="n">
        <x:v>50</x:v>
      </x:c>
      <x:c r="G83" s="296" t="n">
        <x:v>3</x:v>
      </x:c>
      <x:c r="H83" s="296" t="n">
        <x:v>8</x:v>
      </x:c>
      <x:c r="I83" s="296" t="n">
        <x:f>SUM(B83:F83)</x:f>
        <x:v>167</x:v>
      </x:c>
      <x:c r="J83" s="296" t="n">
        <x:f>MOD(B83,2)+MOD(C83,2)+MOD(D83,2)+MOD(E83,2)+MOD(F83,2)</x:f>
        <x:v>1</x:v>
      </x:c>
      <x:c r="K83" s="296" t="n">
        <x:f>COUNTIF(B83:F83,"&gt;31")</x:f>
        <x:v>3</x:v>
      </x:c>
      <x:c r="L83" s="336" t="n">
        <x:f>1/'Executive Summary'!$B$24</x:f>
        <x:v>7.1511238420185165e-9</x:v>
      </x:c>
      <x:c r="M83" s="342" t="n">
        <x:f>2.5</x:f>
        <x:v>2.5</x:v>
      </x:c>
      <x:c r="N83" s="288" t="str">
        <x:v>Conditional coverage wheel</x:v>
      </x:c>
    </x:row>
    <x:row r="84">
      <x:c r="A84" s="295" t="n">
        <x:v>80</x:v>
      </x:c>
      <x:c r="B84" s="296" t="n">
        <x:v>4</x:v>
      </x:c>
      <x:c r="C84" s="296" t="n">
        <x:v>28</x:v>
      </x:c>
      <x:c r="D84" s="296" t="n">
        <x:v>37</x:v>
      </x:c>
      <x:c r="E84" s="296" t="n">
        <x:v>48</x:v>
      </x:c>
      <x:c r="F84" s="296" t="n">
        <x:v>50</x:v>
      </x:c>
      <x:c r="G84" s="296" t="n">
        <x:v>3</x:v>
      </x:c>
      <x:c r="H84" s="296" t="n">
        <x:v>9</x:v>
      </x:c>
      <x:c r="I84" s="296" t="n">
        <x:f>SUM(B84:F84)</x:f>
        <x:v>167</x:v>
      </x:c>
      <x:c r="J84" s="296" t="n">
        <x:f>MOD(B84,2)+MOD(C84,2)+MOD(D84,2)+MOD(E84,2)+MOD(F84,2)</x:f>
        <x:v>1</x:v>
      </x:c>
      <x:c r="K84" s="296" t="n">
        <x:f>COUNTIF(B84:F84,"&gt;31")</x:f>
        <x:v>3</x:v>
      </x:c>
      <x:c r="L84" s="336" t="n">
        <x:f>1/'Executive Summary'!$B$24</x:f>
        <x:v>7.1511238420185165e-9</x:v>
      </x:c>
      <x:c r="M84" s="342" t="n">
        <x:f>2.5</x:f>
        <x:v>2.5</x:v>
      </x:c>
      <x:c r="N84" s="288" t="str">
        <x:v>Conditional coverage wheel</x:v>
      </x:c>
    </x:row>
    <x:row r="85">
      <x:c r="A85" s="295" t="n">
        <x:v>81</x:v>
      </x:c>
      <x:c r="B85" s="296" t="n">
        <x:v>4</x:v>
      </x:c>
      <x:c r="C85" s="296" t="n">
        <x:v>28</x:v>
      </x:c>
      <x:c r="D85" s="296" t="n">
        <x:v>37</x:v>
      </x:c>
      <x:c r="E85" s="296" t="n">
        <x:v>48</x:v>
      </x:c>
      <x:c r="F85" s="296" t="n">
        <x:v>50</x:v>
      </x:c>
      <x:c r="G85" s="296" t="n">
        <x:v>4</x:v>
      </x:c>
      <x:c r="H85" s="296" t="n">
        <x:v>5</x:v>
      </x:c>
      <x:c r="I85" s="296" t="n">
        <x:f>SUM(B85:F85)</x:f>
        <x:v>167</x:v>
      </x:c>
      <x:c r="J85" s="296" t="n">
        <x:f>MOD(B85,2)+MOD(C85,2)+MOD(D85,2)+MOD(E85,2)+MOD(F85,2)</x:f>
        <x:v>1</x:v>
      </x:c>
      <x:c r="K85" s="296" t="n">
        <x:f>COUNTIF(B85:F85,"&gt;31")</x:f>
        <x:v>3</x:v>
      </x:c>
      <x:c r="L85" s="336" t="n">
        <x:f>1/'Executive Summary'!$B$24</x:f>
        <x:v>7.1511238420185165e-9</x:v>
      </x:c>
      <x:c r="M85" s="342" t="n">
        <x:f>2.5</x:f>
        <x:v>2.5</x:v>
      </x:c>
      <x:c r="N85" s="288" t="str">
        <x:v>Conditional coverage wheel</x:v>
      </x:c>
    </x:row>
    <x:row r="86">
      <x:c r="A86" s="295" t="n">
        <x:v>82</x:v>
      </x:c>
      <x:c r="B86" s="296" t="n">
        <x:v>4</x:v>
      </x:c>
      <x:c r="C86" s="296" t="n">
        <x:v>28</x:v>
      </x:c>
      <x:c r="D86" s="296" t="n">
        <x:v>37</x:v>
      </x:c>
      <x:c r="E86" s="296" t="n">
        <x:v>48</x:v>
      </x:c>
      <x:c r="F86" s="296" t="n">
        <x:v>50</x:v>
      </x:c>
      <x:c r="G86" s="296" t="n">
        <x:v>4</x:v>
      </x:c>
      <x:c r="H86" s="296" t="n">
        <x:v>7</x:v>
      </x:c>
      <x:c r="I86" s="296" t="n">
        <x:f>SUM(B86:F86)</x:f>
        <x:v>167</x:v>
      </x:c>
      <x:c r="J86" s="296" t="n">
        <x:f>MOD(B86,2)+MOD(C86,2)+MOD(D86,2)+MOD(E86,2)+MOD(F86,2)</x:f>
        <x:v>1</x:v>
      </x:c>
      <x:c r="K86" s="296" t="n">
        <x:f>COUNTIF(B86:F86,"&gt;31")</x:f>
        <x:v>3</x:v>
      </x:c>
      <x:c r="L86" s="336" t="n">
        <x:f>1/'Executive Summary'!$B$24</x:f>
        <x:v>7.1511238420185165e-9</x:v>
      </x:c>
      <x:c r="M86" s="342" t="n">
        <x:f>2.5</x:f>
        <x:v>2.5</x:v>
      </x:c>
      <x:c r="N86" s="288" t="str">
        <x:v>Conditional coverage wheel</x:v>
      </x:c>
    </x:row>
    <x:row r="87">
      <x:c r="A87" s="295" t="n">
        <x:v>83</x:v>
      </x:c>
      <x:c r="B87" s="296" t="n">
        <x:v>4</x:v>
      </x:c>
      <x:c r="C87" s="296" t="n">
        <x:v>28</x:v>
      </x:c>
      <x:c r="D87" s="296" t="n">
        <x:v>37</x:v>
      </x:c>
      <x:c r="E87" s="296" t="n">
        <x:v>48</x:v>
      </x:c>
      <x:c r="F87" s="296" t="n">
        <x:v>50</x:v>
      </x:c>
      <x:c r="G87" s="296" t="n">
        <x:v>4</x:v>
      </x:c>
      <x:c r="H87" s="296" t="n">
        <x:v>8</x:v>
      </x:c>
      <x:c r="I87" s="296" t="n">
        <x:f>SUM(B87:F87)</x:f>
        <x:v>167</x:v>
      </x:c>
      <x:c r="J87" s="296" t="n">
        <x:f>MOD(B87,2)+MOD(C87,2)+MOD(D87,2)+MOD(E87,2)+MOD(F87,2)</x:f>
        <x:v>1</x:v>
      </x:c>
      <x:c r="K87" s="296" t="n">
        <x:f>COUNTIF(B87:F87,"&gt;31")</x:f>
        <x:v>3</x:v>
      </x:c>
      <x:c r="L87" s="336" t="n">
        <x:f>1/'Executive Summary'!$B$24</x:f>
        <x:v>7.1511238420185165e-9</x:v>
      </x:c>
      <x:c r="M87" s="342" t="n">
        <x:f>2.5</x:f>
        <x:v>2.5</x:v>
      </x:c>
      <x:c r="N87" s="288" t="str">
        <x:v>Conditional coverage wheel</x:v>
      </x:c>
    </x:row>
    <x:row r="88">
      <x:c r="A88" s="295" t="n">
        <x:v>84</x:v>
      </x:c>
      <x:c r="B88" s="296" t="n">
        <x:v>4</x:v>
      </x:c>
      <x:c r="C88" s="296" t="n">
        <x:v>28</x:v>
      </x:c>
      <x:c r="D88" s="296" t="n">
        <x:v>37</x:v>
      </x:c>
      <x:c r="E88" s="296" t="n">
        <x:v>48</x:v>
      </x:c>
      <x:c r="F88" s="296" t="n">
        <x:v>50</x:v>
      </x:c>
      <x:c r="G88" s="296" t="n">
        <x:v>4</x:v>
      </x:c>
      <x:c r="H88" s="296" t="n">
        <x:v>9</x:v>
      </x:c>
      <x:c r="I88" s="296" t="n">
        <x:f>SUM(B88:F88)</x:f>
        <x:v>167</x:v>
      </x:c>
      <x:c r="J88" s="296" t="n">
        <x:f>MOD(B88,2)+MOD(C88,2)+MOD(D88,2)+MOD(E88,2)+MOD(F88,2)</x:f>
        <x:v>1</x:v>
      </x:c>
      <x:c r="K88" s="296" t="n">
        <x:f>COUNTIF(B88:F88,"&gt;31")</x:f>
        <x:v>3</x:v>
      </x:c>
      <x:c r="L88" s="336" t="n">
        <x:f>1/'Executive Summary'!$B$24</x:f>
        <x:v>7.1511238420185165e-9</x:v>
      </x:c>
      <x:c r="M88" s="342" t="n">
        <x:f>2.5</x:f>
        <x:v>2.5</x:v>
      </x:c>
      <x:c r="N88" s="288" t="str">
        <x:v>Conditional coverage wheel</x:v>
      </x:c>
    </x:row>
    <x:row r="89">
      <x:c r="A89" s="295" t="n">
        <x:v>85</x:v>
      </x:c>
      <x:c r="B89" s="296" t="n">
        <x:v>4</x:v>
      </x:c>
      <x:c r="C89" s="296" t="n">
        <x:v>28</x:v>
      </x:c>
      <x:c r="D89" s="296" t="n">
        <x:v>37</x:v>
      </x:c>
      <x:c r="E89" s="296" t="n">
        <x:v>48</x:v>
      </x:c>
      <x:c r="F89" s="296" t="n">
        <x:v>50</x:v>
      </x:c>
      <x:c r="G89" s="296" t="n">
        <x:v>5</x:v>
      </x:c>
      <x:c r="H89" s="296" t="n">
        <x:v>7</x:v>
      </x:c>
      <x:c r="I89" s="296" t="n">
        <x:f>SUM(B89:F89)</x:f>
        <x:v>167</x:v>
      </x:c>
      <x:c r="J89" s="296" t="n">
        <x:f>MOD(B89,2)+MOD(C89,2)+MOD(D89,2)+MOD(E89,2)+MOD(F89,2)</x:f>
        <x:v>1</x:v>
      </x:c>
      <x:c r="K89" s="296" t="n">
        <x:f>COUNTIF(B89:F89,"&gt;31")</x:f>
        <x:v>3</x:v>
      </x:c>
      <x:c r="L89" s="336" t="n">
        <x:f>1/'Executive Summary'!$B$24</x:f>
        <x:v>7.1511238420185165e-9</x:v>
      </x:c>
      <x:c r="M89" s="342" t="n">
        <x:f>2.5</x:f>
        <x:v>2.5</x:v>
      </x:c>
      <x:c r="N89" s="288" t="str">
        <x:v>Conditional coverage wheel</x:v>
      </x:c>
    </x:row>
    <x:row r="90">
      <x:c r="A90" s="295" t="n">
        <x:v>86</x:v>
      </x:c>
      <x:c r="B90" s="296" t="n">
        <x:v>4</x:v>
      </x:c>
      <x:c r="C90" s="296" t="n">
        <x:v>28</x:v>
      </x:c>
      <x:c r="D90" s="296" t="n">
        <x:v>37</x:v>
      </x:c>
      <x:c r="E90" s="296" t="n">
        <x:v>48</x:v>
      </x:c>
      <x:c r="F90" s="296" t="n">
        <x:v>50</x:v>
      </x:c>
      <x:c r="G90" s="296" t="n">
        <x:v>5</x:v>
      </x:c>
      <x:c r="H90" s="296" t="n">
        <x:v>8</x:v>
      </x:c>
      <x:c r="I90" s="296" t="n">
        <x:f>SUM(B90:F90)</x:f>
        <x:v>167</x:v>
      </x:c>
      <x:c r="J90" s="296" t="n">
        <x:f>MOD(B90,2)+MOD(C90,2)+MOD(D90,2)+MOD(E90,2)+MOD(F90,2)</x:f>
        <x:v>1</x:v>
      </x:c>
      <x:c r="K90" s="296" t="n">
        <x:f>COUNTIF(B90:F90,"&gt;31")</x:f>
        <x:v>3</x:v>
      </x:c>
      <x:c r="L90" s="336" t="n">
        <x:f>1/'Executive Summary'!$B$24</x:f>
        <x:v>7.1511238420185165e-9</x:v>
      </x:c>
      <x:c r="M90" s="342" t="n">
        <x:f>2.5</x:f>
        <x:v>2.5</x:v>
      </x:c>
      <x:c r="N90" s="288" t="str">
        <x:v>Conditional coverage wheel</x:v>
      </x:c>
    </x:row>
    <x:row r="91">
      <x:c r="A91" s="295" t="n">
        <x:v>87</x:v>
      </x:c>
      <x:c r="B91" s="296" t="n">
        <x:v>4</x:v>
      </x:c>
      <x:c r="C91" s="296" t="n">
        <x:v>28</x:v>
      </x:c>
      <x:c r="D91" s="296" t="n">
        <x:v>37</x:v>
      </x:c>
      <x:c r="E91" s="296" t="n">
        <x:v>48</x:v>
      </x:c>
      <x:c r="F91" s="296" t="n">
        <x:v>50</x:v>
      </x:c>
      <x:c r="G91" s="296" t="n">
        <x:v>5</x:v>
      </x:c>
      <x:c r="H91" s="296" t="n">
        <x:v>9</x:v>
      </x:c>
      <x:c r="I91" s="296" t="n">
        <x:f>SUM(B91:F91)</x:f>
        <x:v>167</x:v>
      </x:c>
      <x:c r="J91" s="296" t="n">
        <x:f>MOD(B91,2)+MOD(C91,2)+MOD(D91,2)+MOD(E91,2)+MOD(F91,2)</x:f>
        <x:v>1</x:v>
      </x:c>
      <x:c r="K91" s="296" t="n">
        <x:f>COUNTIF(B91:F91,"&gt;31")</x:f>
        <x:v>3</x:v>
      </x:c>
      <x:c r="L91" s="336" t="n">
        <x:f>1/'Executive Summary'!$B$24</x:f>
        <x:v>7.1511238420185165e-9</x:v>
      </x:c>
      <x:c r="M91" s="342" t="n">
        <x:f>2.5</x:f>
        <x:v>2.5</x:v>
      </x:c>
      <x:c r="N91" s="288" t="str">
        <x:v>Conditional coverage wheel</x:v>
      </x:c>
    </x:row>
    <x:row r="92">
      <x:c r="A92" s="295" t="n">
        <x:v>88</x:v>
      </x:c>
      <x:c r="B92" s="296" t="n">
        <x:v>4</x:v>
      </x:c>
      <x:c r="C92" s="296" t="n">
        <x:v>28</x:v>
      </x:c>
      <x:c r="D92" s="296" t="n">
        <x:v>37</x:v>
      </x:c>
      <x:c r="E92" s="296" t="n">
        <x:v>48</x:v>
      </x:c>
      <x:c r="F92" s="296" t="n">
        <x:v>50</x:v>
      </x:c>
      <x:c r="G92" s="296" t="n">
        <x:v>7</x:v>
      </x:c>
      <x:c r="H92" s="296" t="n">
        <x:v>8</x:v>
      </x:c>
      <x:c r="I92" s="296" t="n">
        <x:f>SUM(B92:F92)</x:f>
        <x:v>167</x:v>
      </x:c>
      <x:c r="J92" s="296" t="n">
        <x:f>MOD(B92,2)+MOD(C92,2)+MOD(D92,2)+MOD(E92,2)+MOD(F92,2)</x:f>
        <x:v>1</x:v>
      </x:c>
      <x:c r="K92" s="296" t="n">
        <x:f>COUNTIF(B92:F92,"&gt;31")</x:f>
        <x:v>3</x:v>
      </x:c>
      <x:c r="L92" s="336" t="n">
        <x:f>1/'Executive Summary'!$B$24</x:f>
        <x:v>7.1511238420185165e-9</x:v>
      </x:c>
      <x:c r="M92" s="342" t="n">
        <x:f>2.5</x:f>
        <x:v>2.5</x:v>
      </x:c>
      <x:c r="N92" s="288" t="str">
        <x:v>Conditional coverage wheel</x:v>
      </x:c>
    </x:row>
    <x:row r="93">
      <x:c r="A93" s="295" t="n">
        <x:v>89</x:v>
      </x:c>
      <x:c r="B93" s="296" t="n">
        <x:v>4</x:v>
      </x:c>
      <x:c r="C93" s="296" t="n">
        <x:v>28</x:v>
      </x:c>
      <x:c r="D93" s="296" t="n">
        <x:v>37</x:v>
      </x:c>
      <x:c r="E93" s="296" t="n">
        <x:v>48</x:v>
      </x:c>
      <x:c r="F93" s="296" t="n">
        <x:v>50</x:v>
      </x:c>
      <x:c r="G93" s="296" t="n">
        <x:v>7</x:v>
      </x:c>
      <x:c r="H93" s="296" t="n">
        <x:v>9</x:v>
      </x:c>
      <x:c r="I93" s="296" t="n">
        <x:f>SUM(B93:F93)</x:f>
        <x:v>167</x:v>
      </x:c>
      <x:c r="J93" s="296" t="n">
        <x:f>MOD(B93,2)+MOD(C93,2)+MOD(D93,2)+MOD(E93,2)+MOD(F93,2)</x:f>
        <x:v>1</x:v>
      </x:c>
      <x:c r="K93" s="296" t="n">
        <x:f>COUNTIF(B93:F93,"&gt;31")</x:f>
        <x:v>3</x:v>
      </x:c>
      <x:c r="L93" s="336" t="n">
        <x:f>1/'Executive Summary'!$B$24</x:f>
        <x:v>7.1511238420185165e-9</x:v>
      </x:c>
      <x:c r="M93" s="342" t="n">
        <x:f>2.5</x:f>
        <x:v>2.5</x:v>
      </x:c>
      <x:c r="N93" s="288" t="str">
        <x:v>Conditional coverage wheel</x:v>
      </x:c>
    </x:row>
    <x:row r="94">
      <x:c r="A94" s="295" t="n">
        <x:v>90</x:v>
      </x:c>
      <x:c r="B94" s="296" t="n">
        <x:v>4</x:v>
      </x:c>
      <x:c r="C94" s="296" t="n">
        <x:v>28</x:v>
      </x:c>
      <x:c r="D94" s="296" t="n">
        <x:v>37</x:v>
      </x:c>
      <x:c r="E94" s="296" t="n">
        <x:v>48</x:v>
      </x:c>
      <x:c r="F94" s="296" t="n">
        <x:v>50</x:v>
      </x:c>
      <x:c r="G94" s="296" t="n">
        <x:v>8</x:v>
      </x:c>
      <x:c r="H94" s="296" t="n">
        <x:v>9</x:v>
      </x:c>
      <x:c r="I94" s="296" t="n">
        <x:f>SUM(B94:F94)</x:f>
        <x:v>167</x:v>
      </x:c>
      <x:c r="J94" s="296" t="n">
        <x:f>MOD(B94,2)+MOD(C94,2)+MOD(D94,2)+MOD(E94,2)+MOD(F94,2)</x:f>
        <x:v>1</x:v>
      </x:c>
      <x:c r="K94" s="296" t="n">
        <x:f>COUNTIF(B94:F94,"&gt;31")</x:f>
        <x:v>3</x:v>
      </x:c>
      <x:c r="L94" s="336" t="n">
        <x:f>1/'Executive Summary'!$B$24</x:f>
        <x:v>7.1511238420185165e-9</x:v>
      </x:c>
      <x:c r="M94" s="342" t="n">
        <x:f>2.5</x:f>
        <x:v>2.5</x:v>
      </x:c>
      <x:c r="N94" s="288" t="str">
        <x:v>Conditional coverage wheel</x:v>
      </x:c>
    </x:row>
    <x:row r="95">
      <x:c r="A95" s="295" t="n">
        <x:v>91</x:v>
      </x:c>
      <x:c r="B95" s="296" t="n">
        <x:v>21</x:v>
      </x:c>
      <x:c r="C95" s="296" t="n">
        <x:v>25</x:v>
      </x:c>
      <x:c r="D95" s="296" t="n">
        <x:v>36</x:v>
      </x:c>
      <x:c r="E95" s="296" t="n">
        <x:v>48</x:v>
      </x:c>
      <x:c r="F95" s="296" t="n">
        <x:v>50</x:v>
      </x:c>
      <x:c r="G95" s="296" t="n">
        <x:v>3</x:v>
      </x:c>
      <x:c r="H95" s="296" t="n">
        <x:v>4</x:v>
      </x:c>
      <x:c r="I95" s="296" t="n">
        <x:f>SUM(B95:F95)</x:f>
        <x:v>180</x:v>
      </x:c>
      <x:c r="J95" s="296" t="n">
        <x:f>MOD(B95,2)+MOD(C95,2)+MOD(D95,2)+MOD(E95,2)+MOD(F95,2)</x:f>
        <x:v>2</x:v>
      </x:c>
      <x:c r="K95" s="296" t="n">
        <x:f>COUNTIF(B95:F95,"&gt;31")</x:f>
        <x:v>3</x:v>
      </x:c>
      <x:c r="L95" s="336" t="n">
        <x:f>1/'Executive Summary'!$B$24</x:f>
        <x:v>7.1511238420185165e-9</x:v>
      </x:c>
      <x:c r="M95" s="342" t="n">
        <x:f>2.5</x:f>
        <x:v>2.5</x:v>
      </x:c>
      <x:c r="N95" s="288" t="str">
        <x:v>Conditional coverage wheel</x:v>
      </x:c>
    </x:row>
    <x:row r="96">
      <x:c r="A96" s="295" t="n">
        <x:v>92</x:v>
      </x:c>
      <x:c r="B96" s="296" t="n">
        <x:v>21</x:v>
      </x:c>
      <x:c r="C96" s="296" t="n">
        <x:v>25</x:v>
      </x:c>
      <x:c r="D96" s="296" t="n">
        <x:v>36</x:v>
      </x:c>
      <x:c r="E96" s="296" t="n">
        <x:v>48</x:v>
      </x:c>
      <x:c r="F96" s="296" t="n">
        <x:v>50</x:v>
      </x:c>
      <x:c r="G96" s="296" t="n">
        <x:v>3</x:v>
      </x:c>
      <x:c r="H96" s="296" t="n">
        <x:v>5</x:v>
      </x:c>
      <x:c r="I96" s="296" t="n">
        <x:f>SUM(B96:F96)</x:f>
        <x:v>180</x:v>
      </x:c>
      <x:c r="J96" s="296" t="n">
        <x:f>MOD(B96,2)+MOD(C96,2)+MOD(D96,2)+MOD(E96,2)+MOD(F96,2)</x:f>
        <x:v>2</x:v>
      </x:c>
      <x:c r="K96" s="296" t="n">
        <x:f>COUNTIF(B96:F96,"&gt;31")</x:f>
        <x:v>3</x:v>
      </x:c>
      <x:c r="L96" s="336" t="n">
        <x:f>1/'Executive Summary'!$B$24</x:f>
        <x:v>7.1511238420185165e-9</x:v>
      </x:c>
      <x:c r="M96" s="342" t="n">
        <x:f>2.5</x:f>
        <x:v>2.5</x:v>
      </x:c>
      <x:c r="N96" s="288" t="str">
        <x:v>Conditional coverage wheel</x:v>
      </x:c>
    </x:row>
    <x:row r="97">
      <x:c r="A97" s="295" t="n">
        <x:v>93</x:v>
      </x:c>
      <x:c r="B97" s="296" t="n">
        <x:v>21</x:v>
      </x:c>
      <x:c r="C97" s="296" t="n">
        <x:v>25</x:v>
      </x:c>
      <x:c r="D97" s="296" t="n">
        <x:v>36</x:v>
      </x:c>
      <x:c r="E97" s="296" t="n">
        <x:v>48</x:v>
      </x:c>
      <x:c r="F97" s="296" t="n">
        <x:v>50</x:v>
      </x:c>
      <x:c r="G97" s="296" t="n">
        <x:v>3</x:v>
      </x:c>
      <x:c r="H97" s="296" t="n">
        <x:v>7</x:v>
      </x:c>
      <x:c r="I97" s="296" t="n">
        <x:f>SUM(B97:F97)</x:f>
        <x:v>180</x:v>
      </x:c>
      <x:c r="J97" s="296" t="n">
        <x:f>MOD(B97,2)+MOD(C97,2)+MOD(D97,2)+MOD(E97,2)+MOD(F97,2)</x:f>
        <x:v>2</x:v>
      </x:c>
      <x:c r="K97" s="296" t="n">
        <x:f>COUNTIF(B97:F97,"&gt;31")</x:f>
        <x:v>3</x:v>
      </x:c>
      <x:c r="L97" s="336" t="n">
        <x:f>1/'Executive Summary'!$B$24</x:f>
        <x:v>7.1511238420185165e-9</x:v>
      </x:c>
      <x:c r="M97" s="342" t="n">
        <x:f>2.5</x:f>
        <x:v>2.5</x:v>
      </x:c>
      <x:c r="N97" s="288" t="str">
        <x:v>Conditional coverage wheel</x:v>
      </x:c>
    </x:row>
    <x:row r="98">
      <x:c r="A98" s="295" t="n">
        <x:v>94</x:v>
      </x:c>
      <x:c r="B98" s="296" t="n">
        <x:v>21</x:v>
      </x:c>
      <x:c r="C98" s="296" t="n">
        <x:v>25</x:v>
      </x:c>
      <x:c r="D98" s="296" t="n">
        <x:v>36</x:v>
      </x:c>
      <x:c r="E98" s="296" t="n">
        <x:v>48</x:v>
      </x:c>
      <x:c r="F98" s="296" t="n">
        <x:v>50</x:v>
      </x:c>
      <x:c r="G98" s="296" t="n">
        <x:v>3</x:v>
      </x:c>
      <x:c r="H98" s="296" t="n">
        <x:v>8</x:v>
      </x:c>
      <x:c r="I98" s="296" t="n">
        <x:f>SUM(B98:F98)</x:f>
        <x:v>180</x:v>
      </x:c>
      <x:c r="J98" s="296" t="n">
        <x:f>MOD(B98,2)+MOD(C98,2)+MOD(D98,2)+MOD(E98,2)+MOD(F98,2)</x:f>
        <x:v>2</x:v>
      </x:c>
      <x:c r="K98" s="296" t="n">
        <x:f>COUNTIF(B98:F98,"&gt;31")</x:f>
        <x:v>3</x:v>
      </x:c>
      <x:c r="L98" s="336" t="n">
        <x:f>1/'Executive Summary'!$B$24</x:f>
        <x:v>7.1511238420185165e-9</x:v>
      </x:c>
      <x:c r="M98" s="342" t="n">
        <x:f>2.5</x:f>
        <x:v>2.5</x:v>
      </x:c>
      <x:c r="N98" s="288" t="str">
        <x:v>Conditional coverage wheel</x:v>
      </x:c>
    </x:row>
    <x:row r="99">
      <x:c r="A99" s="295" t="n">
        <x:v>95</x:v>
      </x:c>
      <x:c r="B99" s="296" t="n">
        <x:v>21</x:v>
      </x:c>
      <x:c r="C99" s="296" t="n">
        <x:v>25</x:v>
      </x:c>
      <x:c r="D99" s="296" t="n">
        <x:v>36</x:v>
      </x:c>
      <x:c r="E99" s="296" t="n">
        <x:v>48</x:v>
      </x:c>
      <x:c r="F99" s="296" t="n">
        <x:v>50</x:v>
      </x:c>
      <x:c r="G99" s="296" t="n">
        <x:v>3</x:v>
      </x:c>
      <x:c r="H99" s="296" t="n">
        <x:v>9</x:v>
      </x:c>
      <x:c r="I99" s="296" t="n">
        <x:f>SUM(B99:F99)</x:f>
        <x:v>180</x:v>
      </x:c>
      <x:c r="J99" s="296" t="n">
        <x:f>MOD(B99,2)+MOD(C99,2)+MOD(D99,2)+MOD(E99,2)+MOD(F99,2)</x:f>
        <x:v>2</x:v>
      </x:c>
      <x:c r="K99" s="296" t="n">
        <x:f>COUNTIF(B99:F99,"&gt;31")</x:f>
        <x:v>3</x:v>
      </x:c>
      <x:c r="L99" s="336" t="n">
        <x:f>1/'Executive Summary'!$B$24</x:f>
        <x:v>7.1511238420185165e-9</x:v>
      </x:c>
      <x:c r="M99" s="342" t="n">
        <x:f>2.5</x:f>
        <x:v>2.5</x:v>
      </x:c>
      <x:c r="N99" s="288" t="str">
        <x:v>Conditional coverage wheel</x:v>
      </x:c>
    </x:row>
    <x:row r="100">
      <x:c r="A100" s="295" t="n">
        <x:v>96</x:v>
      </x:c>
      <x:c r="B100" s="296" t="n">
        <x:v>21</x:v>
      </x:c>
      <x:c r="C100" s="296" t="n">
        <x:v>25</x:v>
      </x:c>
      <x:c r="D100" s="296" t="n">
        <x:v>36</x:v>
      </x:c>
      <x:c r="E100" s="296" t="n">
        <x:v>48</x:v>
      </x:c>
      <x:c r="F100" s="296" t="n">
        <x:v>50</x:v>
      </x:c>
      <x:c r="G100" s="296" t="n">
        <x:v>4</x:v>
      </x:c>
      <x:c r="H100" s="296" t="n">
        <x:v>5</x:v>
      </x:c>
      <x:c r="I100" s="296" t="n">
        <x:f>SUM(B100:F100)</x:f>
        <x:v>180</x:v>
      </x:c>
      <x:c r="J100" s="296" t="n">
        <x:f>MOD(B100,2)+MOD(C100,2)+MOD(D100,2)+MOD(E100,2)+MOD(F100,2)</x:f>
        <x:v>2</x:v>
      </x:c>
      <x:c r="K100" s="296" t="n">
        <x:f>COUNTIF(B100:F100,"&gt;31")</x:f>
        <x:v>3</x:v>
      </x:c>
      <x:c r="L100" s="336" t="n">
        <x:f>1/'Executive Summary'!$B$24</x:f>
        <x:v>7.1511238420185165e-9</x:v>
      </x:c>
      <x:c r="M100" s="342" t="n">
        <x:f>2.5</x:f>
        <x:v>2.5</x:v>
      </x:c>
      <x:c r="N100" s="288" t="str">
        <x:v>Conditional coverage wheel</x:v>
      </x:c>
    </x:row>
    <x:row r="101">
      <x:c r="A101" s="295" t="n">
        <x:v>97</x:v>
      </x:c>
      <x:c r="B101" s="296" t="n">
        <x:v>21</x:v>
      </x:c>
      <x:c r="C101" s="296" t="n">
        <x:v>25</x:v>
      </x:c>
      <x:c r="D101" s="296" t="n">
        <x:v>36</x:v>
      </x:c>
      <x:c r="E101" s="296" t="n">
        <x:v>48</x:v>
      </x:c>
      <x:c r="F101" s="296" t="n">
        <x:v>50</x:v>
      </x:c>
      <x:c r="G101" s="296" t="n">
        <x:v>4</x:v>
      </x:c>
      <x:c r="H101" s="296" t="n">
        <x:v>7</x:v>
      </x:c>
      <x:c r="I101" s="296" t="n">
        <x:f>SUM(B101:F101)</x:f>
        <x:v>180</x:v>
      </x:c>
      <x:c r="J101" s="296" t="n">
        <x:f>MOD(B101,2)+MOD(C101,2)+MOD(D101,2)+MOD(E101,2)+MOD(F101,2)</x:f>
        <x:v>2</x:v>
      </x:c>
      <x:c r="K101" s="296" t="n">
        <x:f>COUNTIF(B101:F101,"&gt;31")</x:f>
        <x:v>3</x:v>
      </x:c>
      <x:c r="L101" s="336" t="n">
        <x:f>1/'Executive Summary'!$B$24</x:f>
        <x:v>7.1511238420185165e-9</x:v>
      </x:c>
      <x:c r="M101" s="342" t="n">
        <x:f>2.5</x:f>
        <x:v>2.5</x:v>
      </x:c>
      <x:c r="N101" s="288" t="str">
        <x:v>Conditional coverage wheel</x:v>
      </x:c>
    </x:row>
    <x:row r="102">
      <x:c r="A102" s="295" t="n">
        <x:v>98</x:v>
      </x:c>
      <x:c r="B102" s="296" t="n">
        <x:v>21</x:v>
      </x:c>
      <x:c r="C102" s="296" t="n">
        <x:v>25</x:v>
      </x:c>
      <x:c r="D102" s="296" t="n">
        <x:v>36</x:v>
      </x:c>
      <x:c r="E102" s="296" t="n">
        <x:v>48</x:v>
      </x:c>
      <x:c r="F102" s="296" t="n">
        <x:v>50</x:v>
      </x:c>
      <x:c r="G102" s="296" t="n">
        <x:v>4</x:v>
      </x:c>
      <x:c r="H102" s="296" t="n">
        <x:v>8</x:v>
      </x:c>
      <x:c r="I102" s="296" t="n">
        <x:f>SUM(B102:F102)</x:f>
        <x:v>180</x:v>
      </x:c>
      <x:c r="J102" s="296" t="n">
        <x:f>MOD(B102,2)+MOD(C102,2)+MOD(D102,2)+MOD(E102,2)+MOD(F102,2)</x:f>
        <x:v>2</x:v>
      </x:c>
      <x:c r="K102" s="296" t="n">
        <x:f>COUNTIF(B102:F102,"&gt;31")</x:f>
        <x:v>3</x:v>
      </x:c>
      <x:c r="L102" s="336" t="n">
        <x:f>1/'Executive Summary'!$B$24</x:f>
        <x:v>7.1511238420185165e-9</x:v>
      </x:c>
      <x:c r="M102" s="342" t="n">
        <x:f>2.5</x:f>
        <x:v>2.5</x:v>
      </x:c>
      <x:c r="N102" s="288" t="str">
        <x:v>Conditional coverage wheel</x:v>
      </x:c>
    </x:row>
    <x:row r="103">
      <x:c r="A103" s="295" t="n">
        <x:v>99</x:v>
      </x:c>
      <x:c r="B103" s="296" t="n">
        <x:v>21</x:v>
      </x:c>
      <x:c r="C103" s="296" t="n">
        <x:v>25</x:v>
      </x:c>
      <x:c r="D103" s="296" t="n">
        <x:v>36</x:v>
      </x:c>
      <x:c r="E103" s="296" t="n">
        <x:v>48</x:v>
      </x:c>
      <x:c r="F103" s="296" t="n">
        <x:v>50</x:v>
      </x:c>
      <x:c r="G103" s="296" t="n">
        <x:v>4</x:v>
      </x:c>
      <x:c r="H103" s="296" t="n">
        <x:v>9</x:v>
      </x:c>
      <x:c r="I103" s="296" t="n">
        <x:f>SUM(B103:F103)</x:f>
        <x:v>180</x:v>
      </x:c>
      <x:c r="J103" s="296" t="n">
        <x:f>MOD(B103,2)+MOD(C103,2)+MOD(D103,2)+MOD(E103,2)+MOD(F103,2)</x:f>
        <x:v>2</x:v>
      </x:c>
      <x:c r="K103" s="296" t="n">
        <x:f>COUNTIF(B103:F103,"&gt;31")</x:f>
        <x:v>3</x:v>
      </x:c>
      <x:c r="L103" s="336" t="n">
        <x:f>1/'Executive Summary'!$B$24</x:f>
        <x:v>7.1511238420185165e-9</x:v>
      </x:c>
      <x:c r="M103" s="342" t="n">
        <x:f>2.5</x:f>
        <x:v>2.5</x:v>
      </x:c>
      <x:c r="N103" s="288" t="str">
        <x:v>Conditional coverage wheel</x:v>
      </x:c>
    </x:row>
    <x:row r="104">
      <x:c r="A104" s="295" t="n">
        <x:v>100</x:v>
      </x:c>
      <x:c r="B104" s="296" t="n">
        <x:v>21</x:v>
      </x:c>
      <x:c r="C104" s="296" t="n">
        <x:v>25</x:v>
      </x:c>
      <x:c r="D104" s="296" t="n">
        <x:v>36</x:v>
      </x:c>
      <x:c r="E104" s="296" t="n">
        <x:v>48</x:v>
      </x:c>
      <x:c r="F104" s="296" t="n">
        <x:v>50</x:v>
      </x:c>
      <x:c r="G104" s="296" t="n">
        <x:v>5</x:v>
      </x:c>
      <x:c r="H104" s="296" t="n">
        <x:v>7</x:v>
      </x:c>
      <x:c r="I104" s="296" t="n">
        <x:f>SUM(B104:F104)</x:f>
        <x:v>180</x:v>
      </x:c>
      <x:c r="J104" s="296" t="n">
        <x:f>MOD(B104,2)+MOD(C104,2)+MOD(D104,2)+MOD(E104,2)+MOD(F104,2)</x:f>
        <x:v>2</x:v>
      </x:c>
      <x:c r="K104" s="296" t="n">
        <x:f>COUNTIF(B104:F104,"&gt;31")</x:f>
        <x:v>3</x:v>
      </x:c>
      <x:c r="L104" s="336" t="n">
        <x:f>1/'Executive Summary'!$B$24</x:f>
        <x:v>7.1511238420185165e-9</x:v>
      </x:c>
      <x:c r="M104" s="342" t="n">
        <x:f>2.5</x:f>
        <x:v>2.5</x:v>
      </x:c>
      <x:c r="N104" s="288" t="str">
        <x:v>Conditional coverage wheel</x:v>
      </x:c>
    </x:row>
    <x:row r="105">
      <x:c r="A105" s="295" t="n">
        <x:v>101</x:v>
      </x:c>
      <x:c r="B105" s="296" t="n">
        <x:v>21</x:v>
      </x:c>
      <x:c r="C105" s="296" t="n">
        <x:v>25</x:v>
      </x:c>
      <x:c r="D105" s="296" t="n">
        <x:v>36</x:v>
      </x:c>
      <x:c r="E105" s="296" t="n">
        <x:v>48</x:v>
      </x:c>
      <x:c r="F105" s="296" t="n">
        <x:v>50</x:v>
      </x:c>
      <x:c r="G105" s="296" t="n">
        <x:v>5</x:v>
      </x:c>
      <x:c r="H105" s="296" t="n">
        <x:v>8</x:v>
      </x:c>
      <x:c r="I105" s="296" t="n">
        <x:f>SUM(B105:F105)</x:f>
        <x:v>180</x:v>
      </x:c>
      <x:c r="J105" s="296" t="n">
        <x:f>MOD(B105,2)+MOD(C105,2)+MOD(D105,2)+MOD(E105,2)+MOD(F105,2)</x:f>
        <x:v>2</x:v>
      </x:c>
      <x:c r="K105" s="296" t="n">
        <x:f>COUNTIF(B105:F105,"&gt;31")</x:f>
        <x:v>3</x:v>
      </x:c>
      <x:c r="L105" s="336" t="n">
        <x:f>1/'Executive Summary'!$B$24</x:f>
        <x:v>7.1511238420185165e-9</x:v>
      </x:c>
      <x:c r="M105" s="342" t="n">
        <x:f>2.5</x:f>
        <x:v>2.5</x:v>
      </x:c>
      <x:c r="N105" s="288" t="str">
        <x:v>Conditional coverage wheel</x:v>
      </x:c>
    </x:row>
    <x:row r="106">
      <x:c r="A106" s="295" t="n">
        <x:v>102</x:v>
      </x:c>
      <x:c r="B106" s="296" t="n">
        <x:v>21</x:v>
      </x:c>
      <x:c r="C106" s="296" t="n">
        <x:v>25</x:v>
      </x:c>
      <x:c r="D106" s="296" t="n">
        <x:v>36</x:v>
      </x:c>
      <x:c r="E106" s="296" t="n">
        <x:v>48</x:v>
      </x:c>
      <x:c r="F106" s="296" t="n">
        <x:v>50</x:v>
      </x:c>
      <x:c r="G106" s="296" t="n">
        <x:v>5</x:v>
      </x:c>
      <x:c r="H106" s="296" t="n">
        <x:v>9</x:v>
      </x:c>
      <x:c r="I106" s="296" t="n">
        <x:f>SUM(B106:F106)</x:f>
        <x:v>180</x:v>
      </x:c>
      <x:c r="J106" s="296" t="n">
        <x:f>MOD(B106,2)+MOD(C106,2)+MOD(D106,2)+MOD(E106,2)+MOD(F106,2)</x:f>
        <x:v>2</x:v>
      </x:c>
      <x:c r="K106" s="296" t="n">
        <x:f>COUNTIF(B106:F106,"&gt;31")</x:f>
        <x:v>3</x:v>
      </x:c>
      <x:c r="L106" s="336" t="n">
        <x:f>1/'Executive Summary'!$B$24</x:f>
        <x:v>7.1511238420185165e-9</x:v>
      </x:c>
      <x:c r="M106" s="342" t="n">
        <x:f>2.5</x:f>
        <x:v>2.5</x:v>
      </x:c>
      <x:c r="N106" s="288" t="str">
        <x:v>Conditional coverage wheel</x:v>
      </x:c>
    </x:row>
    <x:row r="107">
      <x:c r="A107" s="295" t="n">
        <x:v>103</x:v>
      </x:c>
      <x:c r="B107" s="296" t="n">
        <x:v>21</x:v>
      </x:c>
      <x:c r="C107" s="296" t="n">
        <x:v>25</x:v>
      </x:c>
      <x:c r="D107" s="296" t="n">
        <x:v>36</x:v>
      </x:c>
      <x:c r="E107" s="296" t="n">
        <x:v>48</x:v>
      </x:c>
      <x:c r="F107" s="296" t="n">
        <x:v>50</x:v>
      </x:c>
      <x:c r="G107" s="296" t="n">
        <x:v>7</x:v>
      </x:c>
      <x:c r="H107" s="296" t="n">
        <x:v>8</x:v>
      </x:c>
      <x:c r="I107" s="296" t="n">
        <x:f>SUM(B107:F107)</x:f>
        <x:v>180</x:v>
      </x:c>
      <x:c r="J107" s="296" t="n">
        <x:f>MOD(B107,2)+MOD(C107,2)+MOD(D107,2)+MOD(E107,2)+MOD(F107,2)</x:f>
        <x:v>2</x:v>
      </x:c>
      <x:c r="K107" s="296" t="n">
        <x:f>COUNTIF(B107:F107,"&gt;31")</x:f>
        <x:v>3</x:v>
      </x:c>
      <x:c r="L107" s="336" t="n">
        <x:f>1/'Executive Summary'!$B$24</x:f>
        <x:v>7.1511238420185165e-9</x:v>
      </x:c>
      <x:c r="M107" s="342" t="n">
        <x:f>2.5</x:f>
        <x:v>2.5</x:v>
      </x:c>
      <x:c r="N107" s="288" t="str">
        <x:v>Conditional coverage wheel</x:v>
      </x:c>
    </x:row>
    <x:row r="108">
      <x:c r="A108" s="295" t="n">
        <x:v>104</x:v>
      </x:c>
      <x:c r="B108" s="296" t="n">
        <x:v>21</x:v>
      </x:c>
      <x:c r="C108" s="296" t="n">
        <x:v>25</x:v>
      </x:c>
      <x:c r="D108" s="296" t="n">
        <x:v>36</x:v>
      </x:c>
      <x:c r="E108" s="296" t="n">
        <x:v>48</x:v>
      </x:c>
      <x:c r="F108" s="296" t="n">
        <x:v>50</x:v>
      </x:c>
      <x:c r="G108" s="296" t="n">
        <x:v>7</x:v>
      </x:c>
      <x:c r="H108" s="296" t="n">
        <x:v>9</x:v>
      </x:c>
      <x:c r="I108" s="296" t="n">
        <x:f>SUM(B108:F108)</x:f>
        <x:v>180</x:v>
      </x:c>
      <x:c r="J108" s="296" t="n">
        <x:f>MOD(B108,2)+MOD(C108,2)+MOD(D108,2)+MOD(E108,2)+MOD(F108,2)</x:f>
        <x:v>2</x:v>
      </x:c>
      <x:c r="K108" s="296" t="n">
        <x:f>COUNTIF(B108:F108,"&gt;31")</x:f>
        <x:v>3</x:v>
      </x:c>
      <x:c r="L108" s="336" t="n">
        <x:f>1/'Executive Summary'!$B$24</x:f>
        <x:v>7.1511238420185165e-9</x:v>
      </x:c>
      <x:c r="M108" s="342" t="n">
        <x:f>2.5</x:f>
        <x:v>2.5</x:v>
      </x:c>
      <x:c r="N108" s="288" t="str">
        <x:v>Conditional coverage wheel</x:v>
      </x:c>
    </x:row>
    <x:row r="109">
      <x:c r="A109" s="295" t="n">
        <x:v>105</x:v>
      </x:c>
      <x:c r="B109" s="296" t="n">
        <x:v>21</x:v>
      </x:c>
      <x:c r="C109" s="296" t="n">
        <x:v>25</x:v>
      </x:c>
      <x:c r="D109" s="296" t="n">
        <x:v>36</x:v>
      </x:c>
      <x:c r="E109" s="296" t="n">
        <x:v>48</x:v>
      </x:c>
      <x:c r="F109" s="296" t="n">
        <x:v>50</x:v>
      </x:c>
      <x:c r="G109" s="296" t="n">
        <x:v>8</x:v>
      </x:c>
      <x:c r="H109" s="296" t="n">
        <x:v>9</x:v>
      </x:c>
      <x:c r="I109" s="296" t="n">
        <x:f>SUM(B109:F109)</x:f>
        <x:v>180</x:v>
      </x:c>
      <x:c r="J109" s="296" t="n">
        <x:f>MOD(B109,2)+MOD(C109,2)+MOD(D109,2)+MOD(E109,2)+MOD(F109,2)</x:f>
        <x:v>2</x:v>
      </x:c>
      <x:c r="K109" s="296" t="n">
        <x:f>COUNTIF(B109:F109,"&gt;31")</x:f>
        <x:v>3</x:v>
      </x:c>
      <x:c r="L109" s="336" t="n">
        <x:f>1/'Executive Summary'!$B$24</x:f>
        <x:v>7.1511238420185165e-9</x:v>
      </x:c>
      <x:c r="M109" s="342" t="n">
        <x:f>2.5</x:f>
        <x:v>2.5</x:v>
      </x:c>
      <x:c r="N109" s="288" t="str">
        <x:v>Conditional coverage wheel</x:v>
      </x:c>
    </x:row>
    <x:row r="110">
      <x:c r="A110" s="295" t="n">
        <x:v>106</x:v>
      </x:c>
      <x:c r="B110" s="296" t="n">
        <x:v>21</x:v>
      </x:c>
      <x:c r="C110" s="296" t="n">
        <x:v>27</x:v>
      </x:c>
      <x:c r="D110" s="296" t="n">
        <x:v>37</x:v>
      </x:c>
      <x:c r="E110" s="296" t="n">
        <x:v>42</x:v>
      </x:c>
      <x:c r="F110" s="296" t="n">
        <x:v>50</x:v>
      </x:c>
      <x:c r="G110" s="296" t="n">
        <x:v>3</x:v>
      </x:c>
      <x:c r="H110" s="296" t="n">
        <x:v>4</x:v>
      </x:c>
      <x:c r="I110" s="296" t="n">
        <x:f>SUM(B110:F110)</x:f>
        <x:v>177</x:v>
      </x:c>
      <x:c r="J110" s="296" t="n">
        <x:f>MOD(B110,2)+MOD(C110,2)+MOD(D110,2)+MOD(E110,2)+MOD(F110,2)</x:f>
        <x:v>3</x:v>
      </x:c>
      <x:c r="K110" s="296" t="n">
        <x:f>COUNTIF(B110:F110,"&gt;31")</x:f>
        <x:v>3</x:v>
      </x:c>
      <x:c r="L110" s="336" t="n">
        <x:f>1/'Executive Summary'!$B$24</x:f>
        <x:v>7.1511238420185165e-9</x:v>
      </x:c>
      <x:c r="M110" s="342" t="n">
        <x:f>2.5</x:f>
        <x:v>2.5</x:v>
      </x:c>
      <x:c r="N110" s="288" t="str">
        <x:v>Conditional coverage wheel</x:v>
      </x:c>
    </x:row>
    <x:row r="111">
      <x:c r="A111" s="295" t="n">
        <x:v>107</x:v>
      </x:c>
      <x:c r="B111" s="296" t="n">
        <x:v>21</x:v>
      </x:c>
      <x:c r="C111" s="296" t="n">
        <x:v>27</x:v>
      </x:c>
      <x:c r="D111" s="296" t="n">
        <x:v>37</x:v>
      </x:c>
      <x:c r="E111" s="296" t="n">
        <x:v>42</x:v>
      </x:c>
      <x:c r="F111" s="296" t="n">
        <x:v>50</x:v>
      </x:c>
      <x:c r="G111" s="296" t="n">
        <x:v>3</x:v>
      </x:c>
      <x:c r="H111" s="296" t="n">
        <x:v>5</x:v>
      </x:c>
      <x:c r="I111" s="296" t="n">
        <x:f>SUM(B111:F111)</x:f>
        <x:v>177</x:v>
      </x:c>
      <x:c r="J111" s="296" t="n">
        <x:f>MOD(B111,2)+MOD(C111,2)+MOD(D111,2)+MOD(E111,2)+MOD(F111,2)</x:f>
        <x:v>3</x:v>
      </x:c>
      <x:c r="K111" s="296" t="n">
        <x:f>COUNTIF(B111:F111,"&gt;31")</x:f>
        <x:v>3</x:v>
      </x:c>
      <x:c r="L111" s="336" t="n">
        <x:f>1/'Executive Summary'!$B$24</x:f>
        <x:v>7.1511238420185165e-9</x:v>
      </x:c>
      <x:c r="M111" s="342" t="n">
        <x:f>2.5</x:f>
        <x:v>2.5</x:v>
      </x:c>
      <x:c r="N111" s="288" t="str">
        <x:v>Conditional coverage wheel</x:v>
      </x:c>
    </x:row>
    <x:row r="112">
      <x:c r="A112" s="295" t="n">
        <x:v>108</x:v>
      </x:c>
      <x:c r="B112" s="296" t="n">
        <x:v>21</x:v>
      </x:c>
      <x:c r="C112" s="296" t="n">
        <x:v>27</x:v>
      </x:c>
      <x:c r="D112" s="296" t="n">
        <x:v>37</x:v>
      </x:c>
      <x:c r="E112" s="296" t="n">
        <x:v>42</x:v>
      </x:c>
      <x:c r="F112" s="296" t="n">
        <x:v>50</x:v>
      </x:c>
      <x:c r="G112" s="296" t="n">
        <x:v>3</x:v>
      </x:c>
      <x:c r="H112" s="296" t="n">
        <x:v>7</x:v>
      </x:c>
      <x:c r="I112" s="296" t="n">
        <x:f>SUM(B112:F112)</x:f>
        <x:v>177</x:v>
      </x:c>
      <x:c r="J112" s="296" t="n">
        <x:f>MOD(B112,2)+MOD(C112,2)+MOD(D112,2)+MOD(E112,2)+MOD(F112,2)</x:f>
        <x:v>3</x:v>
      </x:c>
      <x:c r="K112" s="296" t="n">
        <x:f>COUNTIF(B112:F112,"&gt;31")</x:f>
        <x:v>3</x:v>
      </x:c>
      <x:c r="L112" s="336" t="n">
        <x:f>1/'Executive Summary'!$B$24</x:f>
        <x:v>7.1511238420185165e-9</x:v>
      </x:c>
      <x:c r="M112" s="342" t="n">
        <x:f>2.5</x:f>
        <x:v>2.5</x:v>
      </x:c>
      <x:c r="N112" s="288" t="str">
        <x:v>Conditional coverage wheel</x:v>
      </x:c>
    </x:row>
    <x:row r="113">
      <x:c r="A113" s="295" t="n">
        <x:v>109</x:v>
      </x:c>
      <x:c r="B113" s="296" t="n">
        <x:v>21</x:v>
      </x:c>
      <x:c r="C113" s="296" t="n">
        <x:v>27</x:v>
      </x:c>
      <x:c r="D113" s="296" t="n">
        <x:v>37</x:v>
      </x:c>
      <x:c r="E113" s="296" t="n">
        <x:v>42</x:v>
      </x:c>
      <x:c r="F113" s="296" t="n">
        <x:v>50</x:v>
      </x:c>
      <x:c r="G113" s="296" t="n">
        <x:v>3</x:v>
      </x:c>
      <x:c r="H113" s="296" t="n">
        <x:v>8</x:v>
      </x:c>
      <x:c r="I113" s="296" t="n">
        <x:f>SUM(B113:F113)</x:f>
        <x:v>177</x:v>
      </x:c>
      <x:c r="J113" s="296" t="n">
        <x:f>MOD(B113,2)+MOD(C113,2)+MOD(D113,2)+MOD(E113,2)+MOD(F113,2)</x:f>
        <x:v>3</x:v>
      </x:c>
      <x:c r="K113" s="296" t="n">
        <x:f>COUNTIF(B113:F113,"&gt;31")</x:f>
        <x:v>3</x:v>
      </x:c>
      <x:c r="L113" s="336" t="n">
        <x:f>1/'Executive Summary'!$B$24</x:f>
        <x:v>7.1511238420185165e-9</x:v>
      </x:c>
      <x:c r="M113" s="342" t="n">
        <x:f>2.5</x:f>
        <x:v>2.5</x:v>
      </x:c>
      <x:c r="N113" s="288" t="str">
        <x:v>Conditional coverage wheel</x:v>
      </x:c>
    </x:row>
    <x:row r="114">
      <x:c r="A114" s="295" t="n">
        <x:v>110</x:v>
      </x:c>
      <x:c r="B114" s="296" t="n">
        <x:v>21</x:v>
      </x:c>
      <x:c r="C114" s="296" t="n">
        <x:v>27</x:v>
      </x:c>
      <x:c r="D114" s="296" t="n">
        <x:v>37</x:v>
      </x:c>
      <x:c r="E114" s="296" t="n">
        <x:v>42</x:v>
      </x:c>
      <x:c r="F114" s="296" t="n">
        <x:v>50</x:v>
      </x:c>
      <x:c r="G114" s="296" t="n">
        <x:v>3</x:v>
      </x:c>
      <x:c r="H114" s="296" t="n">
        <x:v>9</x:v>
      </x:c>
      <x:c r="I114" s="296" t="n">
        <x:f>SUM(B114:F114)</x:f>
        <x:v>177</x:v>
      </x:c>
      <x:c r="J114" s="296" t="n">
        <x:f>MOD(B114,2)+MOD(C114,2)+MOD(D114,2)+MOD(E114,2)+MOD(F114,2)</x:f>
        <x:v>3</x:v>
      </x:c>
      <x:c r="K114" s="296" t="n">
        <x:f>COUNTIF(B114:F114,"&gt;31")</x:f>
        <x:v>3</x:v>
      </x:c>
      <x:c r="L114" s="336" t="n">
        <x:f>1/'Executive Summary'!$B$24</x:f>
        <x:v>7.1511238420185165e-9</x:v>
      </x:c>
      <x:c r="M114" s="342" t="n">
        <x:f>2.5</x:f>
        <x:v>2.5</x:v>
      </x:c>
      <x:c r="N114" s="288" t="str">
        <x:v>Conditional coverage wheel</x:v>
      </x:c>
    </x:row>
    <x:row r="115">
      <x:c r="A115" s="295" t="n">
        <x:v>111</x:v>
      </x:c>
      <x:c r="B115" s="296" t="n">
        <x:v>21</x:v>
      </x:c>
      <x:c r="C115" s="296" t="n">
        <x:v>27</x:v>
      </x:c>
      <x:c r="D115" s="296" t="n">
        <x:v>37</x:v>
      </x:c>
      <x:c r="E115" s="296" t="n">
        <x:v>42</x:v>
      </x:c>
      <x:c r="F115" s="296" t="n">
        <x:v>50</x:v>
      </x:c>
      <x:c r="G115" s="296" t="n">
        <x:v>4</x:v>
      </x:c>
      <x:c r="H115" s="296" t="n">
        <x:v>5</x:v>
      </x:c>
      <x:c r="I115" s="296" t="n">
        <x:f>SUM(B115:F115)</x:f>
        <x:v>177</x:v>
      </x:c>
      <x:c r="J115" s="296" t="n">
        <x:f>MOD(B115,2)+MOD(C115,2)+MOD(D115,2)+MOD(E115,2)+MOD(F115,2)</x:f>
        <x:v>3</x:v>
      </x:c>
      <x:c r="K115" s="296" t="n">
        <x:f>COUNTIF(B115:F115,"&gt;31")</x:f>
        <x:v>3</x:v>
      </x:c>
      <x:c r="L115" s="336" t="n">
        <x:f>1/'Executive Summary'!$B$24</x:f>
        <x:v>7.1511238420185165e-9</x:v>
      </x:c>
      <x:c r="M115" s="342" t="n">
        <x:f>2.5</x:f>
        <x:v>2.5</x:v>
      </x:c>
      <x:c r="N115" s="288" t="str">
        <x:v>Conditional coverage wheel</x:v>
      </x:c>
    </x:row>
    <x:row r="116">
      <x:c r="A116" s="295" t="n">
        <x:v>112</x:v>
      </x:c>
      <x:c r="B116" s="296" t="n">
        <x:v>21</x:v>
      </x:c>
      <x:c r="C116" s="296" t="n">
        <x:v>27</x:v>
      </x:c>
      <x:c r="D116" s="296" t="n">
        <x:v>37</x:v>
      </x:c>
      <x:c r="E116" s="296" t="n">
        <x:v>42</x:v>
      </x:c>
      <x:c r="F116" s="296" t="n">
        <x:v>50</x:v>
      </x:c>
      <x:c r="G116" s="296" t="n">
        <x:v>4</x:v>
      </x:c>
      <x:c r="H116" s="296" t="n">
        <x:v>7</x:v>
      </x:c>
      <x:c r="I116" s="296" t="n">
        <x:f>SUM(B116:F116)</x:f>
        <x:v>177</x:v>
      </x:c>
      <x:c r="J116" s="296" t="n">
        <x:f>MOD(B116,2)+MOD(C116,2)+MOD(D116,2)+MOD(E116,2)+MOD(F116,2)</x:f>
        <x:v>3</x:v>
      </x:c>
      <x:c r="K116" s="296" t="n">
        <x:f>COUNTIF(B116:F116,"&gt;31")</x:f>
        <x:v>3</x:v>
      </x:c>
      <x:c r="L116" s="336" t="n">
        <x:f>1/'Executive Summary'!$B$24</x:f>
        <x:v>7.1511238420185165e-9</x:v>
      </x:c>
      <x:c r="M116" s="342" t="n">
        <x:f>2.5</x:f>
        <x:v>2.5</x:v>
      </x:c>
      <x:c r="N116" s="288" t="str">
        <x:v>Conditional coverage wheel</x:v>
      </x:c>
    </x:row>
    <x:row r="117">
      <x:c r="A117" s="295" t="n">
        <x:v>113</x:v>
      </x:c>
      <x:c r="B117" s="296" t="n">
        <x:v>21</x:v>
      </x:c>
      <x:c r="C117" s="296" t="n">
        <x:v>27</x:v>
      </x:c>
      <x:c r="D117" s="296" t="n">
        <x:v>37</x:v>
      </x:c>
      <x:c r="E117" s="296" t="n">
        <x:v>42</x:v>
      </x:c>
      <x:c r="F117" s="296" t="n">
        <x:v>50</x:v>
      </x:c>
      <x:c r="G117" s="296" t="n">
        <x:v>4</x:v>
      </x:c>
      <x:c r="H117" s="296" t="n">
        <x:v>8</x:v>
      </x:c>
      <x:c r="I117" s="296" t="n">
        <x:f>SUM(B117:F117)</x:f>
        <x:v>177</x:v>
      </x:c>
      <x:c r="J117" s="296" t="n">
        <x:f>MOD(B117,2)+MOD(C117,2)+MOD(D117,2)+MOD(E117,2)+MOD(F117,2)</x:f>
        <x:v>3</x:v>
      </x:c>
      <x:c r="K117" s="296" t="n">
        <x:f>COUNTIF(B117:F117,"&gt;31")</x:f>
        <x:v>3</x:v>
      </x:c>
      <x:c r="L117" s="336" t="n">
        <x:f>1/'Executive Summary'!$B$24</x:f>
        <x:v>7.1511238420185165e-9</x:v>
      </x:c>
      <x:c r="M117" s="342" t="n">
        <x:f>2.5</x:f>
        <x:v>2.5</x:v>
      </x:c>
      <x:c r="N117" s="288" t="str">
        <x:v>Conditional coverage wheel</x:v>
      </x:c>
    </x:row>
    <x:row r="118">
      <x:c r="A118" s="295" t="n">
        <x:v>114</x:v>
      </x:c>
      <x:c r="B118" s="296" t="n">
        <x:v>21</x:v>
      </x:c>
      <x:c r="C118" s="296" t="n">
        <x:v>27</x:v>
      </x:c>
      <x:c r="D118" s="296" t="n">
        <x:v>37</x:v>
      </x:c>
      <x:c r="E118" s="296" t="n">
        <x:v>42</x:v>
      </x:c>
      <x:c r="F118" s="296" t="n">
        <x:v>50</x:v>
      </x:c>
      <x:c r="G118" s="296" t="n">
        <x:v>4</x:v>
      </x:c>
      <x:c r="H118" s="296" t="n">
        <x:v>9</x:v>
      </x:c>
      <x:c r="I118" s="296" t="n">
        <x:f>SUM(B118:F118)</x:f>
        <x:v>177</x:v>
      </x:c>
      <x:c r="J118" s="296" t="n">
        <x:f>MOD(B118,2)+MOD(C118,2)+MOD(D118,2)+MOD(E118,2)+MOD(F118,2)</x:f>
        <x:v>3</x:v>
      </x:c>
      <x:c r="K118" s="296" t="n">
        <x:f>COUNTIF(B118:F118,"&gt;31")</x:f>
        <x:v>3</x:v>
      </x:c>
      <x:c r="L118" s="336" t="n">
        <x:f>1/'Executive Summary'!$B$24</x:f>
        <x:v>7.1511238420185165e-9</x:v>
      </x:c>
      <x:c r="M118" s="342" t="n">
        <x:f>2.5</x:f>
        <x:v>2.5</x:v>
      </x:c>
      <x:c r="N118" s="288" t="str">
        <x:v>Conditional coverage wheel</x:v>
      </x:c>
    </x:row>
    <x:row r="119">
      <x:c r="A119" s="295" t="n">
        <x:v>115</x:v>
      </x:c>
      <x:c r="B119" s="296" t="n">
        <x:v>21</x:v>
      </x:c>
      <x:c r="C119" s="296" t="n">
        <x:v>27</x:v>
      </x:c>
      <x:c r="D119" s="296" t="n">
        <x:v>37</x:v>
      </x:c>
      <x:c r="E119" s="296" t="n">
        <x:v>42</x:v>
      </x:c>
      <x:c r="F119" s="296" t="n">
        <x:v>50</x:v>
      </x:c>
      <x:c r="G119" s="296" t="n">
        <x:v>5</x:v>
      </x:c>
      <x:c r="H119" s="296" t="n">
        <x:v>7</x:v>
      </x:c>
      <x:c r="I119" s="296" t="n">
        <x:f>SUM(B119:F119)</x:f>
        <x:v>177</x:v>
      </x:c>
      <x:c r="J119" s="296" t="n">
        <x:f>MOD(B119,2)+MOD(C119,2)+MOD(D119,2)+MOD(E119,2)+MOD(F119,2)</x:f>
        <x:v>3</x:v>
      </x:c>
      <x:c r="K119" s="296" t="n">
        <x:f>COUNTIF(B119:F119,"&gt;31")</x:f>
        <x:v>3</x:v>
      </x:c>
      <x:c r="L119" s="336" t="n">
        <x:f>1/'Executive Summary'!$B$24</x:f>
        <x:v>7.1511238420185165e-9</x:v>
      </x:c>
      <x:c r="M119" s="342" t="n">
        <x:f>2.5</x:f>
        <x:v>2.5</x:v>
      </x:c>
      <x:c r="N119" s="288" t="str">
        <x:v>Conditional coverage wheel</x:v>
      </x:c>
    </x:row>
    <x:row r="120">
      <x:c r="A120" s="295" t="n">
        <x:v>116</x:v>
      </x:c>
      <x:c r="B120" s="296" t="n">
        <x:v>21</x:v>
      </x:c>
      <x:c r="C120" s="296" t="n">
        <x:v>27</x:v>
      </x:c>
      <x:c r="D120" s="296" t="n">
        <x:v>37</x:v>
      </x:c>
      <x:c r="E120" s="296" t="n">
        <x:v>42</x:v>
      </x:c>
      <x:c r="F120" s="296" t="n">
        <x:v>50</x:v>
      </x:c>
      <x:c r="G120" s="296" t="n">
        <x:v>5</x:v>
      </x:c>
      <x:c r="H120" s="296" t="n">
        <x:v>8</x:v>
      </x:c>
      <x:c r="I120" s="296" t="n">
        <x:f>SUM(B120:F120)</x:f>
        <x:v>177</x:v>
      </x:c>
      <x:c r="J120" s="296" t="n">
        <x:f>MOD(B120,2)+MOD(C120,2)+MOD(D120,2)+MOD(E120,2)+MOD(F120,2)</x:f>
        <x:v>3</x:v>
      </x:c>
      <x:c r="K120" s="296" t="n">
        <x:f>COUNTIF(B120:F120,"&gt;31")</x:f>
        <x:v>3</x:v>
      </x:c>
      <x:c r="L120" s="336" t="n">
        <x:f>1/'Executive Summary'!$B$24</x:f>
        <x:v>7.1511238420185165e-9</x:v>
      </x:c>
      <x:c r="M120" s="342" t="n">
        <x:f>2.5</x:f>
        <x:v>2.5</x:v>
      </x:c>
      <x:c r="N120" s="288" t="str">
        <x:v>Conditional coverage wheel</x:v>
      </x:c>
    </x:row>
    <x:row r="121">
      <x:c r="A121" s="295" t="n">
        <x:v>117</x:v>
      </x:c>
      <x:c r="B121" s="296" t="n">
        <x:v>21</x:v>
      </x:c>
      <x:c r="C121" s="296" t="n">
        <x:v>27</x:v>
      </x:c>
      <x:c r="D121" s="296" t="n">
        <x:v>37</x:v>
      </x:c>
      <x:c r="E121" s="296" t="n">
        <x:v>42</x:v>
      </x:c>
      <x:c r="F121" s="296" t="n">
        <x:v>50</x:v>
      </x:c>
      <x:c r="G121" s="296" t="n">
        <x:v>5</x:v>
      </x:c>
      <x:c r="H121" s="296" t="n">
        <x:v>9</x:v>
      </x:c>
      <x:c r="I121" s="296" t="n">
        <x:f>SUM(B121:F121)</x:f>
        <x:v>177</x:v>
      </x:c>
      <x:c r="J121" s="296" t="n">
        <x:f>MOD(B121,2)+MOD(C121,2)+MOD(D121,2)+MOD(E121,2)+MOD(F121,2)</x:f>
        <x:v>3</x:v>
      </x:c>
      <x:c r="K121" s="296" t="n">
        <x:f>COUNTIF(B121:F121,"&gt;31")</x:f>
        <x:v>3</x:v>
      </x:c>
      <x:c r="L121" s="336" t="n">
        <x:f>1/'Executive Summary'!$B$24</x:f>
        <x:v>7.1511238420185165e-9</x:v>
      </x:c>
      <x:c r="M121" s="342" t="n">
        <x:f>2.5</x:f>
        <x:v>2.5</x:v>
      </x:c>
      <x:c r="N121" s="288" t="str">
        <x:v>Conditional coverage wheel</x:v>
      </x:c>
    </x:row>
    <x:row r="122">
      <x:c r="A122" s="295" t="n">
        <x:v>118</x:v>
      </x:c>
      <x:c r="B122" s="296" t="n">
        <x:v>21</x:v>
      </x:c>
      <x:c r="C122" s="296" t="n">
        <x:v>27</x:v>
      </x:c>
      <x:c r="D122" s="296" t="n">
        <x:v>37</x:v>
      </x:c>
      <x:c r="E122" s="296" t="n">
        <x:v>42</x:v>
      </x:c>
      <x:c r="F122" s="296" t="n">
        <x:v>50</x:v>
      </x:c>
      <x:c r="G122" s="296" t="n">
        <x:v>7</x:v>
      </x:c>
      <x:c r="H122" s="296" t="n">
        <x:v>8</x:v>
      </x:c>
      <x:c r="I122" s="296" t="n">
        <x:f>SUM(B122:F122)</x:f>
        <x:v>177</x:v>
      </x:c>
      <x:c r="J122" s="296" t="n">
        <x:f>MOD(B122,2)+MOD(C122,2)+MOD(D122,2)+MOD(E122,2)+MOD(F122,2)</x:f>
        <x:v>3</x:v>
      </x:c>
      <x:c r="K122" s="296" t="n">
        <x:f>COUNTIF(B122:F122,"&gt;31")</x:f>
        <x:v>3</x:v>
      </x:c>
      <x:c r="L122" s="336" t="n">
        <x:f>1/'Executive Summary'!$B$24</x:f>
        <x:v>7.1511238420185165e-9</x:v>
      </x:c>
      <x:c r="M122" s="342" t="n">
        <x:f>2.5</x:f>
        <x:v>2.5</x:v>
      </x:c>
      <x:c r="N122" s="288" t="str">
        <x:v>Conditional coverage wheel</x:v>
      </x:c>
    </x:row>
    <x:row r="123">
      <x:c r="A123" s="295" t="n">
        <x:v>119</x:v>
      </x:c>
      <x:c r="B123" s="296" t="n">
        <x:v>21</x:v>
      </x:c>
      <x:c r="C123" s="296" t="n">
        <x:v>27</x:v>
      </x:c>
      <x:c r="D123" s="296" t="n">
        <x:v>37</x:v>
      </x:c>
      <x:c r="E123" s="296" t="n">
        <x:v>42</x:v>
      </x:c>
      <x:c r="F123" s="296" t="n">
        <x:v>50</x:v>
      </x:c>
      <x:c r="G123" s="296" t="n">
        <x:v>7</x:v>
      </x:c>
      <x:c r="H123" s="296" t="n">
        <x:v>9</x:v>
      </x:c>
      <x:c r="I123" s="296" t="n">
        <x:f>SUM(B123:F123)</x:f>
        <x:v>177</x:v>
      </x:c>
      <x:c r="J123" s="296" t="n">
        <x:f>MOD(B123,2)+MOD(C123,2)+MOD(D123,2)+MOD(E123,2)+MOD(F123,2)</x:f>
        <x:v>3</x:v>
      </x:c>
      <x:c r="K123" s="296" t="n">
        <x:f>COUNTIF(B123:F123,"&gt;31")</x:f>
        <x:v>3</x:v>
      </x:c>
      <x:c r="L123" s="336" t="n">
        <x:f>1/'Executive Summary'!$B$24</x:f>
        <x:v>7.1511238420185165e-9</x:v>
      </x:c>
      <x:c r="M123" s="342" t="n">
        <x:f>2.5</x:f>
        <x:v>2.5</x:v>
      </x:c>
      <x:c r="N123" s="288" t="str">
        <x:v>Conditional coverage wheel</x:v>
      </x:c>
    </x:row>
    <x:row r="124">
      <x:c r="A124" s="295" t="n">
        <x:v>120</x:v>
      </x:c>
      <x:c r="B124" s="296" t="n">
        <x:v>21</x:v>
      </x:c>
      <x:c r="C124" s="296" t="n">
        <x:v>27</x:v>
      </x:c>
      <x:c r="D124" s="296" t="n">
        <x:v>37</x:v>
      </x:c>
      <x:c r="E124" s="296" t="n">
        <x:v>42</x:v>
      </x:c>
      <x:c r="F124" s="296" t="n">
        <x:v>50</x:v>
      </x:c>
      <x:c r="G124" s="296" t="n">
        <x:v>8</x:v>
      </x:c>
      <x:c r="H124" s="296" t="n">
        <x:v>9</x:v>
      </x:c>
      <x:c r="I124" s="296" t="n">
        <x:f>SUM(B124:F124)</x:f>
        <x:v>177</x:v>
      </x:c>
      <x:c r="J124" s="296" t="n">
        <x:f>MOD(B124,2)+MOD(C124,2)+MOD(D124,2)+MOD(E124,2)+MOD(F124,2)</x:f>
        <x:v>3</x:v>
      </x:c>
      <x:c r="K124" s="296" t="n">
        <x:f>COUNTIF(B124:F124,"&gt;31")</x:f>
        <x:v>3</x:v>
      </x:c>
      <x:c r="L124" s="336" t="n">
        <x:f>1/'Executive Summary'!$B$24</x:f>
        <x:v>7.1511238420185165e-9</x:v>
      </x:c>
      <x:c r="M124" s="342" t="n">
        <x:f>2.5</x:f>
        <x:v>2.5</x:v>
      </x:c>
      <x:c r="N124" s="288" t="str">
        <x:v>Conditional coverage wheel</x:v>
      </x:c>
    </x:row>
    <x:row r="125">
      <x:c r="A125" s="295" t="n">
        <x:v>121</x:v>
      </x:c>
      <x:c r="B125" s="296" t="n">
        <x:v>21</x:v>
      </x:c>
      <x:c r="C125" s="296" t="n">
        <x:v>28</x:v>
      </x:c>
      <x:c r="D125" s="296" t="n">
        <x:v>35</x:v>
      </x:c>
      <x:c r="E125" s="296" t="n">
        <x:v>44</x:v>
      </x:c>
      <x:c r="F125" s="296" t="n">
        <x:v>50</x:v>
      </x:c>
      <x:c r="G125" s="296" t="n">
        <x:v>3</x:v>
      </x:c>
      <x:c r="H125" s="296" t="n">
        <x:v>4</x:v>
      </x:c>
      <x:c r="I125" s="296" t="n">
        <x:f>SUM(B125:F125)</x:f>
        <x:v>178</x:v>
      </x:c>
      <x:c r="J125" s="296" t="n">
        <x:f>MOD(B125,2)+MOD(C125,2)+MOD(D125,2)+MOD(E125,2)+MOD(F125,2)</x:f>
        <x:v>2</x:v>
      </x:c>
      <x:c r="K125" s="296" t="n">
        <x:f>COUNTIF(B125:F125,"&gt;31")</x:f>
        <x:v>3</x:v>
      </x:c>
      <x:c r="L125" s="336" t="n">
        <x:f>1/'Executive Summary'!$B$24</x:f>
        <x:v>7.1511238420185165e-9</x:v>
      </x:c>
      <x:c r="M125" s="342" t="n">
        <x:f>2.5</x:f>
        <x:v>2.5</x:v>
      </x:c>
      <x:c r="N125" s="288" t="str">
        <x:v>Conditional coverage wheel</x:v>
      </x:c>
    </x:row>
    <x:row r="126">
      <x:c r="A126" s="295" t="n">
        <x:v>122</x:v>
      </x:c>
      <x:c r="B126" s="296" t="n">
        <x:v>21</x:v>
      </x:c>
      <x:c r="C126" s="296" t="n">
        <x:v>28</x:v>
      </x:c>
      <x:c r="D126" s="296" t="n">
        <x:v>35</x:v>
      </x:c>
      <x:c r="E126" s="296" t="n">
        <x:v>44</x:v>
      </x:c>
      <x:c r="F126" s="296" t="n">
        <x:v>50</x:v>
      </x:c>
      <x:c r="G126" s="296" t="n">
        <x:v>3</x:v>
      </x:c>
      <x:c r="H126" s="296" t="n">
        <x:v>5</x:v>
      </x:c>
      <x:c r="I126" s="296" t="n">
        <x:f>SUM(B126:F126)</x:f>
        <x:v>178</x:v>
      </x:c>
      <x:c r="J126" s="296" t="n">
        <x:f>MOD(B126,2)+MOD(C126,2)+MOD(D126,2)+MOD(E126,2)+MOD(F126,2)</x:f>
        <x:v>2</x:v>
      </x:c>
      <x:c r="K126" s="296" t="n">
        <x:f>COUNTIF(B126:F126,"&gt;31")</x:f>
        <x:v>3</x:v>
      </x:c>
      <x:c r="L126" s="336" t="n">
        <x:f>1/'Executive Summary'!$B$24</x:f>
        <x:v>7.1511238420185165e-9</x:v>
      </x:c>
      <x:c r="M126" s="342" t="n">
        <x:f>2.5</x:f>
        <x:v>2.5</x:v>
      </x:c>
      <x:c r="N126" s="288" t="str">
        <x:v>Conditional coverage wheel</x:v>
      </x:c>
    </x:row>
    <x:row r="127">
      <x:c r="A127" s="295" t="n">
        <x:v>123</x:v>
      </x:c>
      <x:c r="B127" s="296" t="n">
        <x:v>21</x:v>
      </x:c>
      <x:c r="C127" s="296" t="n">
        <x:v>28</x:v>
      </x:c>
      <x:c r="D127" s="296" t="n">
        <x:v>35</x:v>
      </x:c>
      <x:c r="E127" s="296" t="n">
        <x:v>44</x:v>
      </x:c>
      <x:c r="F127" s="296" t="n">
        <x:v>50</x:v>
      </x:c>
      <x:c r="G127" s="296" t="n">
        <x:v>3</x:v>
      </x:c>
      <x:c r="H127" s="296" t="n">
        <x:v>7</x:v>
      </x:c>
      <x:c r="I127" s="296" t="n">
        <x:f>SUM(B127:F127)</x:f>
        <x:v>178</x:v>
      </x:c>
      <x:c r="J127" s="296" t="n">
        <x:f>MOD(B127,2)+MOD(C127,2)+MOD(D127,2)+MOD(E127,2)+MOD(F127,2)</x:f>
        <x:v>2</x:v>
      </x:c>
      <x:c r="K127" s="296" t="n">
        <x:f>COUNTIF(B127:F127,"&gt;31")</x:f>
        <x:v>3</x:v>
      </x:c>
      <x:c r="L127" s="336" t="n">
        <x:f>1/'Executive Summary'!$B$24</x:f>
        <x:v>7.1511238420185165e-9</x:v>
      </x:c>
      <x:c r="M127" s="342" t="n">
        <x:f>2.5</x:f>
        <x:v>2.5</x:v>
      </x:c>
      <x:c r="N127" s="288" t="str">
        <x:v>Conditional coverage wheel</x:v>
      </x:c>
    </x:row>
    <x:row r="128">
      <x:c r="A128" s="295" t="n">
        <x:v>124</x:v>
      </x:c>
      <x:c r="B128" s="296" t="n">
        <x:v>21</x:v>
      </x:c>
      <x:c r="C128" s="296" t="n">
        <x:v>28</x:v>
      </x:c>
      <x:c r="D128" s="296" t="n">
        <x:v>35</x:v>
      </x:c>
      <x:c r="E128" s="296" t="n">
        <x:v>44</x:v>
      </x:c>
      <x:c r="F128" s="296" t="n">
        <x:v>50</x:v>
      </x:c>
      <x:c r="G128" s="296" t="n">
        <x:v>3</x:v>
      </x:c>
      <x:c r="H128" s="296" t="n">
        <x:v>8</x:v>
      </x:c>
      <x:c r="I128" s="296" t="n">
        <x:f>SUM(B128:F128)</x:f>
        <x:v>178</x:v>
      </x:c>
      <x:c r="J128" s="296" t="n">
        <x:f>MOD(B128,2)+MOD(C128,2)+MOD(D128,2)+MOD(E128,2)+MOD(F128,2)</x:f>
        <x:v>2</x:v>
      </x:c>
      <x:c r="K128" s="296" t="n">
        <x:f>COUNTIF(B128:F128,"&gt;31")</x:f>
        <x:v>3</x:v>
      </x:c>
      <x:c r="L128" s="336" t="n">
        <x:f>1/'Executive Summary'!$B$24</x:f>
        <x:v>7.1511238420185165e-9</x:v>
      </x:c>
      <x:c r="M128" s="342" t="n">
        <x:f>2.5</x:f>
        <x:v>2.5</x:v>
      </x:c>
      <x:c r="N128" s="288" t="str">
        <x:v>Conditional coverage wheel</x:v>
      </x:c>
    </x:row>
    <x:row r="129">
      <x:c r="A129" s="295" t="n">
        <x:v>125</x:v>
      </x:c>
      <x:c r="B129" s="296" t="n">
        <x:v>21</x:v>
      </x:c>
      <x:c r="C129" s="296" t="n">
        <x:v>28</x:v>
      </x:c>
      <x:c r="D129" s="296" t="n">
        <x:v>35</x:v>
      </x:c>
      <x:c r="E129" s="296" t="n">
        <x:v>44</x:v>
      </x:c>
      <x:c r="F129" s="296" t="n">
        <x:v>50</x:v>
      </x:c>
      <x:c r="G129" s="296" t="n">
        <x:v>3</x:v>
      </x:c>
      <x:c r="H129" s="296" t="n">
        <x:v>9</x:v>
      </x:c>
      <x:c r="I129" s="296" t="n">
        <x:f>SUM(B129:F129)</x:f>
        <x:v>178</x:v>
      </x:c>
      <x:c r="J129" s="296" t="n">
        <x:f>MOD(B129,2)+MOD(C129,2)+MOD(D129,2)+MOD(E129,2)+MOD(F129,2)</x:f>
        <x:v>2</x:v>
      </x:c>
      <x:c r="K129" s="296" t="n">
        <x:f>COUNTIF(B129:F129,"&gt;31")</x:f>
        <x:v>3</x:v>
      </x:c>
      <x:c r="L129" s="336" t="n">
        <x:f>1/'Executive Summary'!$B$24</x:f>
        <x:v>7.1511238420185165e-9</x:v>
      </x:c>
      <x:c r="M129" s="342" t="n">
        <x:f>2.5</x:f>
        <x:v>2.5</x:v>
      </x:c>
      <x:c r="N129" s="288" t="str">
        <x:v>Conditional coverage wheel</x:v>
      </x:c>
    </x:row>
    <x:row r="130">
      <x:c r="A130" s="295" t="n">
        <x:v>126</x:v>
      </x:c>
      <x:c r="B130" s="296" t="n">
        <x:v>21</x:v>
      </x:c>
      <x:c r="C130" s="296" t="n">
        <x:v>28</x:v>
      </x:c>
      <x:c r="D130" s="296" t="n">
        <x:v>35</x:v>
      </x:c>
      <x:c r="E130" s="296" t="n">
        <x:v>44</x:v>
      </x:c>
      <x:c r="F130" s="296" t="n">
        <x:v>50</x:v>
      </x:c>
      <x:c r="G130" s="296" t="n">
        <x:v>4</x:v>
      </x:c>
      <x:c r="H130" s="296" t="n">
        <x:v>5</x:v>
      </x:c>
      <x:c r="I130" s="296" t="n">
        <x:f>SUM(B130:F130)</x:f>
        <x:v>178</x:v>
      </x:c>
      <x:c r="J130" s="296" t="n">
        <x:f>MOD(B130,2)+MOD(C130,2)+MOD(D130,2)+MOD(E130,2)+MOD(F130,2)</x:f>
        <x:v>2</x:v>
      </x:c>
      <x:c r="K130" s="296" t="n">
        <x:f>COUNTIF(B130:F130,"&gt;31")</x:f>
        <x:v>3</x:v>
      </x:c>
      <x:c r="L130" s="336" t="n">
        <x:f>1/'Executive Summary'!$B$24</x:f>
        <x:v>7.1511238420185165e-9</x:v>
      </x:c>
      <x:c r="M130" s="342" t="n">
        <x:f>2.5</x:f>
        <x:v>2.5</x:v>
      </x:c>
      <x:c r="N130" s="288" t="str">
        <x:v>Conditional coverage wheel</x:v>
      </x:c>
    </x:row>
    <x:row r="131">
      <x:c r="A131" s="295" t="n">
        <x:v>127</x:v>
      </x:c>
      <x:c r="B131" s="296" t="n">
        <x:v>21</x:v>
      </x:c>
      <x:c r="C131" s="296" t="n">
        <x:v>28</x:v>
      </x:c>
      <x:c r="D131" s="296" t="n">
        <x:v>35</x:v>
      </x:c>
      <x:c r="E131" s="296" t="n">
        <x:v>44</x:v>
      </x:c>
      <x:c r="F131" s="296" t="n">
        <x:v>50</x:v>
      </x:c>
      <x:c r="G131" s="296" t="n">
        <x:v>4</x:v>
      </x:c>
      <x:c r="H131" s="296" t="n">
        <x:v>7</x:v>
      </x:c>
      <x:c r="I131" s="296" t="n">
        <x:f>SUM(B131:F131)</x:f>
        <x:v>178</x:v>
      </x:c>
      <x:c r="J131" s="296" t="n">
        <x:f>MOD(B131,2)+MOD(C131,2)+MOD(D131,2)+MOD(E131,2)+MOD(F131,2)</x:f>
        <x:v>2</x:v>
      </x:c>
      <x:c r="K131" s="296" t="n">
        <x:f>COUNTIF(B131:F131,"&gt;31")</x:f>
        <x:v>3</x:v>
      </x:c>
      <x:c r="L131" s="336" t="n">
        <x:f>1/'Executive Summary'!$B$24</x:f>
        <x:v>7.1511238420185165e-9</x:v>
      </x:c>
      <x:c r="M131" s="342" t="n">
        <x:f>2.5</x:f>
        <x:v>2.5</x:v>
      </x:c>
      <x:c r="N131" s="288" t="str">
        <x:v>Conditional coverage wheel</x:v>
      </x:c>
    </x:row>
    <x:row r="132">
      <x:c r="A132" s="295" t="n">
        <x:v>128</x:v>
      </x:c>
      <x:c r="B132" s="296" t="n">
        <x:v>21</x:v>
      </x:c>
      <x:c r="C132" s="296" t="n">
        <x:v>28</x:v>
      </x:c>
      <x:c r="D132" s="296" t="n">
        <x:v>35</x:v>
      </x:c>
      <x:c r="E132" s="296" t="n">
        <x:v>44</x:v>
      </x:c>
      <x:c r="F132" s="296" t="n">
        <x:v>50</x:v>
      </x:c>
      <x:c r="G132" s="296" t="n">
        <x:v>4</x:v>
      </x:c>
      <x:c r="H132" s="296" t="n">
        <x:v>8</x:v>
      </x:c>
      <x:c r="I132" s="296" t="n">
        <x:f>SUM(B132:F132)</x:f>
        <x:v>178</x:v>
      </x:c>
      <x:c r="J132" s="296" t="n">
        <x:f>MOD(B132,2)+MOD(C132,2)+MOD(D132,2)+MOD(E132,2)+MOD(F132,2)</x:f>
        <x:v>2</x:v>
      </x:c>
      <x:c r="K132" s="296" t="n">
        <x:f>COUNTIF(B132:F132,"&gt;31")</x:f>
        <x:v>3</x:v>
      </x:c>
      <x:c r="L132" s="336" t="n">
        <x:f>1/'Executive Summary'!$B$24</x:f>
        <x:v>7.1511238420185165e-9</x:v>
      </x:c>
      <x:c r="M132" s="342" t="n">
        <x:f>2.5</x:f>
        <x:v>2.5</x:v>
      </x:c>
      <x:c r="N132" s="288" t="str">
        <x:v>Conditional coverage wheel</x:v>
      </x:c>
    </x:row>
    <x:row r="133">
      <x:c r="A133" s="295" t="n">
        <x:v>129</x:v>
      </x:c>
      <x:c r="B133" s="296" t="n">
        <x:v>21</x:v>
      </x:c>
      <x:c r="C133" s="296" t="n">
        <x:v>28</x:v>
      </x:c>
      <x:c r="D133" s="296" t="n">
        <x:v>35</x:v>
      </x:c>
      <x:c r="E133" s="296" t="n">
        <x:v>44</x:v>
      </x:c>
      <x:c r="F133" s="296" t="n">
        <x:v>50</x:v>
      </x:c>
      <x:c r="G133" s="296" t="n">
        <x:v>4</x:v>
      </x:c>
      <x:c r="H133" s="296" t="n">
        <x:v>9</x:v>
      </x:c>
      <x:c r="I133" s="296" t="n">
        <x:f>SUM(B133:F133)</x:f>
        <x:v>178</x:v>
      </x:c>
      <x:c r="J133" s="296" t="n">
        <x:f>MOD(B133,2)+MOD(C133,2)+MOD(D133,2)+MOD(E133,2)+MOD(F133,2)</x:f>
        <x:v>2</x:v>
      </x:c>
      <x:c r="K133" s="296" t="n">
        <x:f>COUNTIF(B133:F133,"&gt;31")</x:f>
        <x:v>3</x:v>
      </x:c>
      <x:c r="L133" s="336" t="n">
        <x:f>1/'Executive Summary'!$B$24</x:f>
        <x:v>7.1511238420185165e-9</x:v>
      </x:c>
      <x:c r="M133" s="342" t="n">
        <x:f>2.5</x:f>
        <x:v>2.5</x:v>
      </x:c>
      <x:c r="N133" s="288" t="str">
        <x:v>Conditional coverage wheel</x:v>
      </x:c>
    </x:row>
    <x:row r="134">
      <x:c r="A134" s="295" t="n">
        <x:v>130</x:v>
      </x:c>
      <x:c r="B134" s="296" t="n">
        <x:v>21</x:v>
      </x:c>
      <x:c r="C134" s="296" t="n">
        <x:v>28</x:v>
      </x:c>
      <x:c r="D134" s="296" t="n">
        <x:v>35</x:v>
      </x:c>
      <x:c r="E134" s="296" t="n">
        <x:v>44</x:v>
      </x:c>
      <x:c r="F134" s="296" t="n">
        <x:v>50</x:v>
      </x:c>
      <x:c r="G134" s="296" t="n">
        <x:v>5</x:v>
      </x:c>
      <x:c r="H134" s="296" t="n">
        <x:v>7</x:v>
      </x:c>
      <x:c r="I134" s="296" t="n">
        <x:f>SUM(B134:F134)</x:f>
        <x:v>178</x:v>
      </x:c>
      <x:c r="J134" s="296" t="n">
        <x:f>MOD(B134,2)+MOD(C134,2)+MOD(D134,2)+MOD(E134,2)+MOD(F134,2)</x:f>
        <x:v>2</x:v>
      </x:c>
      <x:c r="K134" s="296" t="n">
        <x:f>COUNTIF(B134:F134,"&gt;31")</x:f>
        <x:v>3</x:v>
      </x:c>
      <x:c r="L134" s="336" t="n">
        <x:f>1/'Executive Summary'!$B$24</x:f>
        <x:v>7.1511238420185165e-9</x:v>
      </x:c>
      <x:c r="M134" s="342" t="n">
        <x:f>2.5</x:f>
        <x:v>2.5</x:v>
      </x:c>
      <x:c r="N134" s="288" t="str">
        <x:v>Conditional coverage wheel</x:v>
      </x:c>
    </x:row>
    <x:row r="135">
      <x:c r="A135" s="295" t="n">
        <x:v>131</x:v>
      </x:c>
      <x:c r="B135" s="296" t="n">
        <x:v>21</x:v>
      </x:c>
      <x:c r="C135" s="296" t="n">
        <x:v>28</x:v>
      </x:c>
      <x:c r="D135" s="296" t="n">
        <x:v>35</x:v>
      </x:c>
      <x:c r="E135" s="296" t="n">
        <x:v>44</x:v>
      </x:c>
      <x:c r="F135" s="296" t="n">
        <x:v>50</x:v>
      </x:c>
      <x:c r="G135" s="296" t="n">
        <x:v>5</x:v>
      </x:c>
      <x:c r="H135" s="296" t="n">
        <x:v>8</x:v>
      </x:c>
      <x:c r="I135" s="296" t="n">
        <x:f>SUM(B135:F135)</x:f>
        <x:v>178</x:v>
      </x:c>
      <x:c r="J135" s="296" t="n">
        <x:f>MOD(B135,2)+MOD(C135,2)+MOD(D135,2)+MOD(E135,2)+MOD(F135,2)</x:f>
        <x:v>2</x:v>
      </x:c>
      <x:c r="K135" s="296" t="n">
        <x:f>COUNTIF(B135:F135,"&gt;31")</x:f>
        <x:v>3</x:v>
      </x:c>
      <x:c r="L135" s="336" t="n">
        <x:f>1/'Executive Summary'!$B$24</x:f>
        <x:v>7.1511238420185165e-9</x:v>
      </x:c>
      <x:c r="M135" s="342" t="n">
        <x:f>2.5</x:f>
        <x:v>2.5</x:v>
      </x:c>
      <x:c r="N135" s="288" t="str">
        <x:v>Conditional coverage wheel</x:v>
      </x:c>
    </x:row>
    <x:row r="136">
      <x:c r="A136" s="295" t="n">
        <x:v>132</x:v>
      </x:c>
      <x:c r="B136" s="296" t="n">
        <x:v>21</x:v>
      </x:c>
      <x:c r="C136" s="296" t="n">
        <x:v>28</x:v>
      </x:c>
      <x:c r="D136" s="296" t="n">
        <x:v>35</x:v>
      </x:c>
      <x:c r="E136" s="296" t="n">
        <x:v>44</x:v>
      </x:c>
      <x:c r="F136" s="296" t="n">
        <x:v>50</x:v>
      </x:c>
      <x:c r="G136" s="296" t="n">
        <x:v>5</x:v>
      </x:c>
      <x:c r="H136" s="296" t="n">
        <x:v>9</x:v>
      </x:c>
      <x:c r="I136" s="296" t="n">
        <x:f>SUM(B136:F136)</x:f>
        <x:v>178</x:v>
      </x:c>
      <x:c r="J136" s="296" t="n">
        <x:f>MOD(B136,2)+MOD(C136,2)+MOD(D136,2)+MOD(E136,2)+MOD(F136,2)</x:f>
        <x:v>2</x:v>
      </x:c>
      <x:c r="K136" s="296" t="n">
        <x:f>COUNTIF(B136:F136,"&gt;31")</x:f>
        <x:v>3</x:v>
      </x:c>
      <x:c r="L136" s="336" t="n">
        <x:f>1/'Executive Summary'!$B$24</x:f>
        <x:v>7.1511238420185165e-9</x:v>
      </x:c>
      <x:c r="M136" s="342" t="n">
        <x:f>2.5</x:f>
        <x:v>2.5</x:v>
      </x:c>
      <x:c r="N136" s="288" t="str">
        <x:v>Conditional coverage wheel</x:v>
      </x:c>
    </x:row>
    <x:row r="137">
      <x:c r="A137" s="295" t="n">
        <x:v>133</x:v>
      </x:c>
      <x:c r="B137" s="296" t="n">
        <x:v>21</x:v>
      </x:c>
      <x:c r="C137" s="296" t="n">
        <x:v>28</x:v>
      </x:c>
      <x:c r="D137" s="296" t="n">
        <x:v>35</x:v>
      </x:c>
      <x:c r="E137" s="296" t="n">
        <x:v>44</x:v>
      </x:c>
      <x:c r="F137" s="296" t="n">
        <x:v>50</x:v>
      </x:c>
      <x:c r="G137" s="296" t="n">
        <x:v>7</x:v>
      </x:c>
      <x:c r="H137" s="296" t="n">
        <x:v>8</x:v>
      </x:c>
      <x:c r="I137" s="296" t="n">
        <x:f>SUM(B137:F137)</x:f>
        <x:v>178</x:v>
      </x:c>
      <x:c r="J137" s="296" t="n">
        <x:f>MOD(B137,2)+MOD(C137,2)+MOD(D137,2)+MOD(E137,2)+MOD(F137,2)</x:f>
        <x:v>2</x:v>
      </x:c>
      <x:c r="K137" s="296" t="n">
        <x:f>COUNTIF(B137:F137,"&gt;31")</x:f>
        <x:v>3</x:v>
      </x:c>
      <x:c r="L137" s="336" t="n">
        <x:f>1/'Executive Summary'!$B$24</x:f>
        <x:v>7.1511238420185165e-9</x:v>
      </x:c>
      <x:c r="M137" s="342" t="n">
        <x:f>2.5</x:f>
        <x:v>2.5</x:v>
      </x:c>
      <x:c r="N137" s="288" t="str">
        <x:v>Conditional coverage wheel</x:v>
      </x:c>
    </x:row>
    <x:row r="138">
      <x:c r="A138" s="295" t="n">
        <x:v>134</x:v>
      </x:c>
      <x:c r="B138" s="296" t="n">
        <x:v>21</x:v>
      </x:c>
      <x:c r="C138" s="296" t="n">
        <x:v>28</x:v>
      </x:c>
      <x:c r="D138" s="296" t="n">
        <x:v>35</x:v>
      </x:c>
      <x:c r="E138" s="296" t="n">
        <x:v>44</x:v>
      </x:c>
      <x:c r="F138" s="296" t="n">
        <x:v>50</x:v>
      </x:c>
      <x:c r="G138" s="296" t="n">
        <x:v>7</x:v>
      </x:c>
      <x:c r="H138" s="296" t="n">
        <x:v>9</x:v>
      </x:c>
      <x:c r="I138" s="296" t="n">
        <x:f>SUM(B138:F138)</x:f>
        <x:v>178</x:v>
      </x:c>
      <x:c r="J138" s="296" t="n">
        <x:f>MOD(B138,2)+MOD(C138,2)+MOD(D138,2)+MOD(E138,2)+MOD(F138,2)</x:f>
        <x:v>2</x:v>
      </x:c>
      <x:c r="K138" s="296" t="n">
        <x:f>COUNTIF(B138:F138,"&gt;31")</x:f>
        <x:v>3</x:v>
      </x:c>
      <x:c r="L138" s="336" t="n">
        <x:f>1/'Executive Summary'!$B$24</x:f>
        <x:v>7.1511238420185165e-9</x:v>
      </x:c>
      <x:c r="M138" s="342" t="n">
        <x:f>2.5</x:f>
        <x:v>2.5</x:v>
      </x:c>
      <x:c r="N138" s="288" t="str">
        <x:v>Conditional coverage wheel</x:v>
      </x:c>
    </x:row>
    <x:row r="139">
      <x:c r="A139" s="295" t="n">
        <x:v>135</x:v>
      </x:c>
      <x:c r="B139" s="296" t="n">
        <x:v>21</x:v>
      </x:c>
      <x:c r="C139" s="296" t="n">
        <x:v>28</x:v>
      </x:c>
      <x:c r="D139" s="296" t="n">
        <x:v>35</x:v>
      </x:c>
      <x:c r="E139" s="296" t="n">
        <x:v>44</x:v>
      </x:c>
      <x:c r="F139" s="296" t="n">
        <x:v>50</x:v>
      </x:c>
      <x:c r="G139" s="296" t="n">
        <x:v>8</x:v>
      </x:c>
      <x:c r="H139" s="296" t="n">
        <x:v>9</x:v>
      </x:c>
      <x:c r="I139" s="296" t="n">
        <x:f>SUM(B139:F139)</x:f>
        <x:v>178</x:v>
      </x:c>
      <x:c r="J139" s="296" t="n">
        <x:f>MOD(B139,2)+MOD(C139,2)+MOD(D139,2)+MOD(E139,2)+MOD(F139,2)</x:f>
        <x:v>2</x:v>
      </x:c>
      <x:c r="K139" s="296" t="n">
        <x:f>COUNTIF(B139:F139,"&gt;31")</x:f>
        <x:v>3</x:v>
      </x:c>
      <x:c r="L139" s="336" t="n">
        <x:f>1/'Executive Summary'!$B$24</x:f>
        <x:v>7.1511238420185165e-9</x:v>
      </x:c>
      <x:c r="M139" s="342" t="n">
        <x:f>2.5</x:f>
        <x:v>2.5</x:v>
      </x:c>
      <x:c r="N139" s="288" t="str">
        <x:v>Conditional coverage wheel</x:v>
      </x:c>
    </x:row>
    <x:row r="140">
      <x:c r="A140" s="295" t="n">
        <x:v>136</x:v>
      </x:c>
      <x:c r="B140" s="296" t="n">
        <x:v>25</x:v>
      </x:c>
      <x:c r="C140" s="296" t="n">
        <x:v>27</x:v>
      </x:c>
      <x:c r="D140" s="296" t="n">
        <x:v>35</x:v>
      </x:c>
      <x:c r="E140" s="296" t="n">
        <x:v>37</x:v>
      </x:c>
      <x:c r="F140" s="296" t="n">
        <x:v>44</x:v>
      </x:c>
      <x:c r="G140" s="296" t="n">
        <x:v>3</x:v>
      </x:c>
      <x:c r="H140" s="296" t="n">
        <x:v>4</x:v>
      </x:c>
      <x:c r="I140" s="296" t="n">
        <x:f>SUM(B140:F140)</x:f>
        <x:v>168</x:v>
      </x:c>
      <x:c r="J140" s="296" t="n">
        <x:f>MOD(B140,2)+MOD(C140,2)+MOD(D140,2)+MOD(E140,2)+MOD(F140,2)</x:f>
        <x:v>4</x:v>
      </x:c>
      <x:c r="K140" s="296" t="n">
        <x:f>COUNTIF(B140:F140,"&gt;31")</x:f>
        <x:v>3</x:v>
      </x:c>
      <x:c r="L140" s="336" t="n">
        <x:f>1/'Executive Summary'!$B$24</x:f>
        <x:v>7.1511238420185165e-9</x:v>
      </x:c>
      <x:c r="M140" s="342" t="n">
        <x:f>2.5</x:f>
        <x:v>2.5</x:v>
      </x:c>
      <x:c r="N140" s="288" t="str">
        <x:v>Conditional coverage wheel</x:v>
      </x:c>
    </x:row>
    <x:row r="141">
      <x:c r="A141" s="295" t="n">
        <x:v>137</x:v>
      </x:c>
      <x:c r="B141" s="296" t="n">
        <x:v>25</x:v>
      </x:c>
      <x:c r="C141" s="296" t="n">
        <x:v>27</x:v>
      </x:c>
      <x:c r="D141" s="296" t="n">
        <x:v>35</x:v>
      </x:c>
      <x:c r="E141" s="296" t="n">
        <x:v>37</x:v>
      </x:c>
      <x:c r="F141" s="296" t="n">
        <x:v>44</x:v>
      </x:c>
      <x:c r="G141" s="296" t="n">
        <x:v>3</x:v>
      </x:c>
      <x:c r="H141" s="296" t="n">
        <x:v>5</x:v>
      </x:c>
      <x:c r="I141" s="296" t="n">
        <x:f>SUM(B141:F141)</x:f>
        <x:v>168</x:v>
      </x:c>
      <x:c r="J141" s="296" t="n">
        <x:f>MOD(B141,2)+MOD(C141,2)+MOD(D141,2)+MOD(E141,2)+MOD(F141,2)</x:f>
        <x:v>4</x:v>
      </x:c>
      <x:c r="K141" s="296" t="n">
        <x:f>COUNTIF(B141:F141,"&gt;31")</x:f>
        <x:v>3</x:v>
      </x:c>
      <x:c r="L141" s="336" t="n">
        <x:f>1/'Executive Summary'!$B$24</x:f>
        <x:v>7.1511238420185165e-9</x:v>
      </x:c>
      <x:c r="M141" s="342" t="n">
        <x:f>2.5</x:f>
        <x:v>2.5</x:v>
      </x:c>
      <x:c r="N141" s="288" t="str">
        <x:v>Conditional coverage wheel</x:v>
      </x:c>
    </x:row>
    <x:row r="142">
      <x:c r="A142" s="295" t="n">
        <x:v>138</x:v>
      </x:c>
      <x:c r="B142" s="296" t="n">
        <x:v>25</x:v>
      </x:c>
      <x:c r="C142" s="296" t="n">
        <x:v>27</x:v>
      </x:c>
      <x:c r="D142" s="296" t="n">
        <x:v>35</x:v>
      </x:c>
      <x:c r="E142" s="296" t="n">
        <x:v>37</x:v>
      </x:c>
      <x:c r="F142" s="296" t="n">
        <x:v>44</x:v>
      </x:c>
      <x:c r="G142" s="296" t="n">
        <x:v>3</x:v>
      </x:c>
      <x:c r="H142" s="296" t="n">
        <x:v>7</x:v>
      </x:c>
      <x:c r="I142" s="296" t="n">
        <x:f>SUM(B142:F142)</x:f>
        <x:v>168</x:v>
      </x:c>
      <x:c r="J142" s="296" t="n">
        <x:f>MOD(B142,2)+MOD(C142,2)+MOD(D142,2)+MOD(E142,2)+MOD(F142,2)</x:f>
        <x:v>4</x:v>
      </x:c>
      <x:c r="K142" s="296" t="n">
        <x:f>COUNTIF(B142:F142,"&gt;31")</x:f>
        <x:v>3</x:v>
      </x:c>
      <x:c r="L142" s="336" t="n">
        <x:f>1/'Executive Summary'!$B$24</x:f>
        <x:v>7.1511238420185165e-9</x:v>
      </x:c>
      <x:c r="M142" s="342" t="n">
        <x:f>2.5</x:f>
        <x:v>2.5</x:v>
      </x:c>
      <x:c r="N142" s="288" t="str">
        <x:v>Conditional coverage wheel</x:v>
      </x:c>
    </x:row>
    <x:row r="143">
      <x:c r="A143" s="295" t="n">
        <x:v>139</x:v>
      </x:c>
      <x:c r="B143" s="296" t="n">
        <x:v>25</x:v>
      </x:c>
      <x:c r="C143" s="296" t="n">
        <x:v>27</x:v>
      </x:c>
      <x:c r="D143" s="296" t="n">
        <x:v>35</x:v>
      </x:c>
      <x:c r="E143" s="296" t="n">
        <x:v>37</x:v>
      </x:c>
      <x:c r="F143" s="296" t="n">
        <x:v>44</x:v>
      </x:c>
      <x:c r="G143" s="296" t="n">
        <x:v>3</x:v>
      </x:c>
      <x:c r="H143" s="296" t="n">
        <x:v>8</x:v>
      </x:c>
      <x:c r="I143" s="296" t="n">
        <x:f>SUM(B143:F143)</x:f>
        <x:v>168</x:v>
      </x:c>
      <x:c r="J143" s="296" t="n">
        <x:f>MOD(B143,2)+MOD(C143,2)+MOD(D143,2)+MOD(E143,2)+MOD(F143,2)</x:f>
        <x:v>4</x:v>
      </x:c>
      <x:c r="K143" s="296" t="n">
        <x:f>COUNTIF(B143:F143,"&gt;31")</x:f>
        <x:v>3</x:v>
      </x:c>
      <x:c r="L143" s="336" t="n">
        <x:f>1/'Executive Summary'!$B$24</x:f>
        <x:v>7.1511238420185165e-9</x:v>
      </x:c>
      <x:c r="M143" s="342" t="n">
        <x:f>2.5</x:f>
        <x:v>2.5</x:v>
      </x:c>
      <x:c r="N143" s="288" t="str">
        <x:v>Conditional coverage wheel</x:v>
      </x:c>
    </x:row>
    <x:row r="144">
      <x:c r="A144" s="295" t="n">
        <x:v>140</x:v>
      </x:c>
      <x:c r="B144" s="296" t="n">
        <x:v>25</x:v>
      </x:c>
      <x:c r="C144" s="296" t="n">
        <x:v>27</x:v>
      </x:c>
      <x:c r="D144" s="296" t="n">
        <x:v>35</x:v>
      </x:c>
      <x:c r="E144" s="296" t="n">
        <x:v>37</x:v>
      </x:c>
      <x:c r="F144" s="296" t="n">
        <x:v>44</x:v>
      </x:c>
      <x:c r="G144" s="296" t="n">
        <x:v>3</x:v>
      </x:c>
      <x:c r="H144" s="296" t="n">
        <x:v>9</x:v>
      </x:c>
      <x:c r="I144" s="296" t="n">
        <x:f>SUM(B144:F144)</x:f>
        <x:v>168</x:v>
      </x:c>
      <x:c r="J144" s="296" t="n">
        <x:f>MOD(B144,2)+MOD(C144,2)+MOD(D144,2)+MOD(E144,2)+MOD(F144,2)</x:f>
        <x:v>4</x:v>
      </x:c>
      <x:c r="K144" s="296" t="n">
        <x:f>COUNTIF(B144:F144,"&gt;31")</x:f>
        <x:v>3</x:v>
      </x:c>
      <x:c r="L144" s="336" t="n">
        <x:f>1/'Executive Summary'!$B$24</x:f>
        <x:v>7.1511238420185165e-9</x:v>
      </x:c>
      <x:c r="M144" s="342" t="n">
        <x:f>2.5</x:f>
        <x:v>2.5</x:v>
      </x:c>
      <x:c r="N144" s="288" t="str">
        <x:v>Conditional coverage wheel</x:v>
      </x:c>
    </x:row>
    <x:row r="145">
      <x:c r="A145" s="295" t="n">
        <x:v>141</x:v>
      </x:c>
      <x:c r="B145" s="296" t="n">
        <x:v>25</x:v>
      </x:c>
      <x:c r="C145" s="296" t="n">
        <x:v>27</x:v>
      </x:c>
      <x:c r="D145" s="296" t="n">
        <x:v>35</x:v>
      </x:c>
      <x:c r="E145" s="296" t="n">
        <x:v>37</x:v>
      </x:c>
      <x:c r="F145" s="296" t="n">
        <x:v>44</x:v>
      </x:c>
      <x:c r="G145" s="296" t="n">
        <x:v>4</x:v>
      </x:c>
      <x:c r="H145" s="296" t="n">
        <x:v>5</x:v>
      </x:c>
      <x:c r="I145" s="296" t="n">
        <x:f>SUM(B145:F145)</x:f>
        <x:v>168</x:v>
      </x:c>
      <x:c r="J145" s="296" t="n">
        <x:f>MOD(B145,2)+MOD(C145,2)+MOD(D145,2)+MOD(E145,2)+MOD(F145,2)</x:f>
        <x:v>4</x:v>
      </x:c>
      <x:c r="K145" s="296" t="n">
        <x:f>COUNTIF(B145:F145,"&gt;31")</x:f>
        <x:v>3</x:v>
      </x:c>
      <x:c r="L145" s="336" t="n">
        <x:f>1/'Executive Summary'!$B$24</x:f>
        <x:v>7.1511238420185165e-9</x:v>
      </x:c>
      <x:c r="M145" s="342" t="n">
        <x:f>2.5</x:f>
        <x:v>2.5</x:v>
      </x:c>
      <x:c r="N145" s="288" t="str">
        <x:v>Conditional coverage wheel</x:v>
      </x:c>
    </x:row>
    <x:row r="146">
      <x:c r="A146" s="295" t="n">
        <x:v>142</x:v>
      </x:c>
      <x:c r="B146" s="296" t="n">
        <x:v>25</x:v>
      </x:c>
      <x:c r="C146" s="296" t="n">
        <x:v>27</x:v>
      </x:c>
      <x:c r="D146" s="296" t="n">
        <x:v>35</x:v>
      </x:c>
      <x:c r="E146" s="296" t="n">
        <x:v>37</x:v>
      </x:c>
      <x:c r="F146" s="296" t="n">
        <x:v>44</x:v>
      </x:c>
      <x:c r="G146" s="296" t="n">
        <x:v>4</x:v>
      </x:c>
      <x:c r="H146" s="296" t="n">
        <x:v>7</x:v>
      </x:c>
      <x:c r="I146" s="296" t="n">
        <x:f>SUM(B146:F146)</x:f>
        <x:v>168</x:v>
      </x:c>
      <x:c r="J146" s="296" t="n">
        <x:f>MOD(B146,2)+MOD(C146,2)+MOD(D146,2)+MOD(E146,2)+MOD(F146,2)</x:f>
        <x:v>4</x:v>
      </x:c>
      <x:c r="K146" s="296" t="n">
        <x:f>COUNTIF(B146:F146,"&gt;31")</x:f>
        <x:v>3</x:v>
      </x:c>
      <x:c r="L146" s="336" t="n">
        <x:f>1/'Executive Summary'!$B$24</x:f>
        <x:v>7.1511238420185165e-9</x:v>
      </x:c>
      <x:c r="M146" s="342" t="n">
        <x:f>2.5</x:f>
        <x:v>2.5</x:v>
      </x:c>
      <x:c r="N146" s="288" t="str">
        <x:v>Conditional coverage wheel</x:v>
      </x:c>
    </x:row>
    <x:row r="147">
      <x:c r="A147" s="295" t="n">
        <x:v>143</x:v>
      </x:c>
      <x:c r="B147" s="296" t="n">
        <x:v>25</x:v>
      </x:c>
      <x:c r="C147" s="296" t="n">
        <x:v>27</x:v>
      </x:c>
      <x:c r="D147" s="296" t="n">
        <x:v>35</x:v>
      </x:c>
      <x:c r="E147" s="296" t="n">
        <x:v>37</x:v>
      </x:c>
      <x:c r="F147" s="296" t="n">
        <x:v>44</x:v>
      </x:c>
      <x:c r="G147" s="296" t="n">
        <x:v>4</x:v>
      </x:c>
      <x:c r="H147" s="296" t="n">
        <x:v>8</x:v>
      </x:c>
      <x:c r="I147" s="296" t="n">
        <x:f>SUM(B147:F147)</x:f>
        <x:v>168</x:v>
      </x:c>
      <x:c r="J147" s="296" t="n">
        <x:f>MOD(B147,2)+MOD(C147,2)+MOD(D147,2)+MOD(E147,2)+MOD(F147,2)</x:f>
        <x:v>4</x:v>
      </x:c>
      <x:c r="K147" s="296" t="n">
        <x:f>COUNTIF(B147:F147,"&gt;31")</x:f>
        <x:v>3</x:v>
      </x:c>
      <x:c r="L147" s="336" t="n">
        <x:f>1/'Executive Summary'!$B$24</x:f>
        <x:v>7.1511238420185165e-9</x:v>
      </x:c>
      <x:c r="M147" s="342" t="n">
        <x:f>2.5</x:f>
        <x:v>2.5</x:v>
      </x:c>
      <x:c r="N147" s="288" t="str">
        <x:v>Conditional coverage wheel</x:v>
      </x:c>
    </x:row>
    <x:row r="148">
      <x:c r="A148" s="295" t="n">
        <x:v>144</x:v>
      </x:c>
      <x:c r="B148" s="296" t="n">
        <x:v>25</x:v>
      </x:c>
      <x:c r="C148" s="296" t="n">
        <x:v>27</x:v>
      </x:c>
      <x:c r="D148" s="296" t="n">
        <x:v>35</x:v>
      </x:c>
      <x:c r="E148" s="296" t="n">
        <x:v>37</x:v>
      </x:c>
      <x:c r="F148" s="296" t="n">
        <x:v>44</x:v>
      </x:c>
      <x:c r="G148" s="296" t="n">
        <x:v>4</x:v>
      </x:c>
      <x:c r="H148" s="296" t="n">
        <x:v>9</x:v>
      </x:c>
      <x:c r="I148" s="296" t="n">
        <x:f>SUM(B148:F148)</x:f>
        <x:v>168</x:v>
      </x:c>
      <x:c r="J148" s="296" t="n">
        <x:f>MOD(B148,2)+MOD(C148,2)+MOD(D148,2)+MOD(E148,2)+MOD(F148,2)</x:f>
        <x:v>4</x:v>
      </x:c>
      <x:c r="K148" s="296" t="n">
        <x:f>COUNTIF(B148:F148,"&gt;31")</x:f>
        <x:v>3</x:v>
      </x:c>
      <x:c r="L148" s="336" t="n">
        <x:f>1/'Executive Summary'!$B$24</x:f>
        <x:v>7.1511238420185165e-9</x:v>
      </x:c>
      <x:c r="M148" s="342" t="n">
        <x:f>2.5</x:f>
        <x:v>2.5</x:v>
      </x:c>
      <x:c r="N148" s="288" t="str">
        <x:v>Conditional coverage wheel</x:v>
      </x:c>
    </x:row>
    <x:row r="149">
      <x:c r="A149" s="295" t="n">
        <x:v>145</x:v>
      </x:c>
      <x:c r="B149" s="296" t="n">
        <x:v>25</x:v>
      </x:c>
      <x:c r="C149" s="296" t="n">
        <x:v>27</x:v>
      </x:c>
      <x:c r="D149" s="296" t="n">
        <x:v>35</x:v>
      </x:c>
      <x:c r="E149" s="296" t="n">
        <x:v>37</x:v>
      </x:c>
      <x:c r="F149" s="296" t="n">
        <x:v>44</x:v>
      </x:c>
      <x:c r="G149" s="296" t="n">
        <x:v>5</x:v>
      </x:c>
      <x:c r="H149" s="296" t="n">
        <x:v>7</x:v>
      </x:c>
      <x:c r="I149" s="296" t="n">
        <x:f>SUM(B149:F149)</x:f>
        <x:v>168</x:v>
      </x:c>
      <x:c r="J149" s="296" t="n">
        <x:f>MOD(B149,2)+MOD(C149,2)+MOD(D149,2)+MOD(E149,2)+MOD(F149,2)</x:f>
        <x:v>4</x:v>
      </x:c>
      <x:c r="K149" s="296" t="n">
        <x:f>COUNTIF(B149:F149,"&gt;31")</x:f>
        <x:v>3</x:v>
      </x:c>
      <x:c r="L149" s="336" t="n">
        <x:f>1/'Executive Summary'!$B$24</x:f>
        <x:v>7.1511238420185165e-9</x:v>
      </x:c>
      <x:c r="M149" s="342" t="n">
        <x:f>2.5</x:f>
        <x:v>2.5</x:v>
      </x:c>
      <x:c r="N149" s="288" t="str">
        <x:v>Conditional coverage wheel</x:v>
      </x:c>
    </x:row>
    <x:row r="150">
      <x:c r="A150" s="295" t="n">
        <x:v>146</x:v>
      </x:c>
      <x:c r="B150" s="296" t="n">
        <x:v>25</x:v>
      </x:c>
      <x:c r="C150" s="296" t="n">
        <x:v>27</x:v>
      </x:c>
      <x:c r="D150" s="296" t="n">
        <x:v>35</x:v>
      </x:c>
      <x:c r="E150" s="296" t="n">
        <x:v>37</x:v>
      </x:c>
      <x:c r="F150" s="296" t="n">
        <x:v>44</x:v>
      </x:c>
      <x:c r="G150" s="296" t="n">
        <x:v>5</x:v>
      </x:c>
      <x:c r="H150" s="296" t="n">
        <x:v>8</x:v>
      </x:c>
      <x:c r="I150" s="296" t="n">
        <x:f>SUM(B150:F150)</x:f>
        <x:v>168</x:v>
      </x:c>
      <x:c r="J150" s="296" t="n">
        <x:f>MOD(B150,2)+MOD(C150,2)+MOD(D150,2)+MOD(E150,2)+MOD(F150,2)</x:f>
        <x:v>4</x:v>
      </x:c>
      <x:c r="K150" s="296" t="n">
        <x:f>COUNTIF(B150:F150,"&gt;31")</x:f>
        <x:v>3</x:v>
      </x:c>
      <x:c r="L150" s="336" t="n">
        <x:f>1/'Executive Summary'!$B$24</x:f>
        <x:v>7.1511238420185165e-9</x:v>
      </x:c>
      <x:c r="M150" s="342" t="n">
        <x:f>2.5</x:f>
        <x:v>2.5</x:v>
      </x:c>
      <x:c r="N150" s="288" t="str">
        <x:v>Conditional coverage wheel</x:v>
      </x:c>
    </x:row>
    <x:row r="151">
      <x:c r="A151" s="295" t="n">
        <x:v>147</x:v>
      </x:c>
      <x:c r="B151" s="296" t="n">
        <x:v>25</x:v>
      </x:c>
      <x:c r="C151" s="296" t="n">
        <x:v>27</x:v>
      </x:c>
      <x:c r="D151" s="296" t="n">
        <x:v>35</x:v>
      </x:c>
      <x:c r="E151" s="296" t="n">
        <x:v>37</x:v>
      </x:c>
      <x:c r="F151" s="296" t="n">
        <x:v>44</x:v>
      </x:c>
      <x:c r="G151" s="296" t="n">
        <x:v>5</x:v>
      </x:c>
      <x:c r="H151" s="296" t="n">
        <x:v>9</x:v>
      </x:c>
      <x:c r="I151" s="296" t="n">
        <x:f>SUM(B151:F151)</x:f>
        <x:v>168</x:v>
      </x:c>
      <x:c r="J151" s="296" t="n">
        <x:f>MOD(B151,2)+MOD(C151,2)+MOD(D151,2)+MOD(E151,2)+MOD(F151,2)</x:f>
        <x:v>4</x:v>
      </x:c>
      <x:c r="K151" s="296" t="n">
        <x:f>COUNTIF(B151:F151,"&gt;31")</x:f>
        <x:v>3</x:v>
      </x:c>
      <x:c r="L151" s="336" t="n">
        <x:f>1/'Executive Summary'!$B$24</x:f>
        <x:v>7.1511238420185165e-9</x:v>
      </x:c>
      <x:c r="M151" s="342" t="n">
        <x:f>2.5</x:f>
        <x:v>2.5</x:v>
      </x:c>
      <x:c r="N151" s="288" t="str">
        <x:v>Conditional coverage wheel</x:v>
      </x:c>
    </x:row>
    <x:row r="152">
      <x:c r="A152" s="295" t="n">
        <x:v>148</x:v>
      </x:c>
      <x:c r="B152" s="296" t="n">
        <x:v>25</x:v>
      </x:c>
      <x:c r="C152" s="296" t="n">
        <x:v>27</x:v>
      </x:c>
      <x:c r="D152" s="296" t="n">
        <x:v>35</x:v>
      </x:c>
      <x:c r="E152" s="296" t="n">
        <x:v>37</x:v>
      </x:c>
      <x:c r="F152" s="296" t="n">
        <x:v>44</x:v>
      </x:c>
      <x:c r="G152" s="296" t="n">
        <x:v>7</x:v>
      </x:c>
      <x:c r="H152" s="296" t="n">
        <x:v>8</x:v>
      </x:c>
      <x:c r="I152" s="296" t="n">
        <x:f>SUM(B152:F152)</x:f>
        <x:v>168</x:v>
      </x:c>
      <x:c r="J152" s="296" t="n">
        <x:f>MOD(B152,2)+MOD(C152,2)+MOD(D152,2)+MOD(E152,2)+MOD(F152,2)</x:f>
        <x:v>4</x:v>
      </x:c>
      <x:c r="K152" s="296" t="n">
        <x:f>COUNTIF(B152:F152,"&gt;31")</x:f>
        <x:v>3</x:v>
      </x:c>
      <x:c r="L152" s="336" t="n">
        <x:f>1/'Executive Summary'!$B$24</x:f>
        <x:v>7.1511238420185165e-9</x:v>
      </x:c>
      <x:c r="M152" s="342" t="n">
        <x:f>2.5</x:f>
        <x:v>2.5</x:v>
      </x:c>
      <x:c r="N152" s="288" t="str">
        <x:v>Conditional coverage wheel</x:v>
      </x:c>
    </x:row>
    <x:row r="153">
      <x:c r="A153" s="295" t="n">
        <x:v>149</x:v>
      </x:c>
      <x:c r="B153" s="296" t="n">
        <x:v>25</x:v>
      </x:c>
      <x:c r="C153" s="296" t="n">
        <x:v>27</x:v>
      </x:c>
      <x:c r="D153" s="296" t="n">
        <x:v>35</x:v>
      </x:c>
      <x:c r="E153" s="296" t="n">
        <x:v>37</x:v>
      </x:c>
      <x:c r="F153" s="296" t="n">
        <x:v>44</x:v>
      </x:c>
      <x:c r="G153" s="296" t="n">
        <x:v>7</x:v>
      </x:c>
      <x:c r="H153" s="296" t="n">
        <x:v>9</x:v>
      </x:c>
      <x:c r="I153" s="296" t="n">
        <x:f>SUM(B153:F153)</x:f>
        <x:v>168</x:v>
      </x:c>
      <x:c r="J153" s="296" t="n">
        <x:f>MOD(B153,2)+MOD(C153,2)+MOD(D153,2)+MOD(E153,2)+MOD(F153,2)</x:f>
        <x:v>4</x:v>
      </x:c>
      <x:c r="K153" s="296" t="n">
        <x:f>COUNTIF(B153:F153,"&gt;31")</x:f>
        <x:v>3</x:v>
      </x:c>
      <x:c r="L153" s="336" t="n">
        <x:f>1/'Executive Summary'!$B$24</x:f>
        <x:v>7.1511238420185165e-9</x:v>
      </x:c>
      <x:c r="M153" s="342" t="n">
        <x:f>2.5</x:f>
        <x:v>2.5</x:v>
      </x:c>
      <x:c r="N153" s="288" t="str">
        <x:v>Conditional coverage wheel</x:v>
      </x:c>
    </x:row>
    <x:row r="154">
      <x:c r="A154" s="295" t="n">
        <x:v>150</x:v>
      </x:c>
      <x:c r="B154" s="296" t="n">
        <x:v>25</x:v>
      </x:c>
      <x:c r="C154" s="296" t="n">
        <x:v>27</x:v>
      </x:c>
      <x:c r="D154" s="296" t="n">
        <x:v>35</x:v>
      </x:c>
      <x:c r="E154" s="296" t="n">
        <x:v>37</x:v>
      </x:c>
      <x:c r="F154" s="296" t="n">
        <x:v>44</x:v>
      </x:c>
      <x:c r="G154" s="296" t="n">
        <x:v>8</x:v>
      </x:c>
      <x:c r="H154" s="296" t="n">
        <x:v>9</x:v>
      </x:c>
      <x:c r="I154" s="296" t="n">
        <x:f>SUM(B154:F154)</x:f>
        <x:v>168</x:v>
      </x:c>
      <x:c r="J154" s="296" t="n">
        <x:f>MOD(B154,2)+MOD(C154,2)+MOD(D154,2)+MOD(E154,2)+MOD(F154,2)</x:f>
        <x:v>4</x:v>
      </x:c>
      <x:c r="K154" s="296" t="n">
        <x:f>COUNTIF(B154:F154,"&gt;31")</x:f>
        <x:v>3</x:v>
      </x:c>
      <x:c r="L154" s="336" t="n">
        <x:f>1/'Executive Summary'!$B$24</x:f>
        <x:v>7.1511238420185165e-9</x:v>
      </x:c>
      <x:c r="M154" s="342" t="n">
        <x:f>2.5</x:f>
        <x:v>2.5</x:v>
      </x:c>
      <x:c r="N154" s="288" t="str">
        <x:v>Conditional coverage wheel</x:v>
      </x:c>
    </x:row>
    <x:row r="155">
      <x:c r="A155" s="295" t="n">
        <x:v>151</x:v>
      </x:c>
      <x:c r="B155" s="296" t="n">
        <x:v>25</x:v>
      </x:c>
      <x:c r="C155" s="296" t="n">
        <x:v>28</x:v>
      </x:c>
      <x:c r="D155" s="296" t="n">
        <x:v>36</x:v>
      </x:c>
      <x:c r="E155" s="296" t="n">
        <x:v>37</x:v>
      </x:c>
      <x:c r="F155" s="296" t="n">
        <x:v>42</x:v>
      </x:c>
      <x:c r="G155" s="296" t="n">
        <x:v>3</x:v>
      </x:c>
      <x:c r="H155" s="296" t="n">
        <x:v>4</x:v>
      </x:c>
      <x:c r="I155" s="296" t="n">
        <x:f>SUM(B155:F155)</x:f>
        <x:v>168</x:v>
      </x:c>
      <x:c r="J155" s="296" t="n">
        <x:f>MOD(B155,2)+MOD(C155,2)+MOD(D155,2)+MOD(E155,2)+MOD(F155,2)</x:f>
        <x:v>2</x:v>
      </x:c>
      <x:c r="K155" s="296" t="n">
        <x:f>COUNTIF(B155:F155,"&gt;31")</x:f>
        <x:v>3</x:v>
      </x:c>
      <x:c r="L155" s="336" t="n">
        <x:f>1/'Executive Summary'!$B$24</x:f>
        <x:v>7.1511238420185165e-9</x:v>
      </x:c>
      <x:c r="M155" s="342" t="n">
        <x:f>2.5</x:f>
        <x:v>2.5</x:v>
      </x:c>
      <x:c r="N155" s="288" t="str">
        <x:v>Conditional coverage wheel</x:v>
      </x:c>
    </x:row>
    <x:row r="156">
      <x:c r="A156" s="295" t="n">
        <x:v>152</x:v>
      </x:c>
      <x:c r="B156" s="296" t="n">
        <x:v>25</x:v>
      </x:c>
      <x:c r="C156" s="296" t="n">
        <x:v>28</x:v>
      </x:c>
      <x:c r="D156" s="296" t="n">
        <x:v>36</x:v>
      </x:c>
      <x:c r="E156" s="296" t="n">
        <x:v>37</x:v>
      </x:c>
      <x:c r="F156" s="296" t="n">
        <x:v>42</x:v>
      </x:c>
      <x:c r="G156" s="296" t="n">
        <x:v>3</x:v>
      </x:c>
      <x:c r="H156" s="296" t="n">
        <x:v>5</x:v>
      </x:c>
      <x:c r="I156" s="296" t="n">
        <x:f>SUM(B156:F156)</x:f>
        <x:v>168</x:v>
      </x:c>
      <x:c r="J156" s="296" t="n">
        <x:f>MOD(B156,2)+MOD(C156,2)+MOD(D156,2)+MOD(E156,2)+MOD(F156,2)</x:f>
        <x:v>2</x:v>
      </x:c>
      <x:c r="K156" s="296" t="n">
        <x:f>COUNTIF(B156:F156,"&gt;31")</x:f>
        <x:v>3</x:v>
      </x:c>
      <x:c r="L156" s="336" t="n">
        <x:f>1/'Executive Summary'!$B$24</x:f>
        <x:v>7.1511238420185165e-9</x:v>
      </x:c>
      <x:c r="M156" s="342" t="n">
        <x:f>2.5</x:f>
        <x:v>2.5</x:v>
      </x:c>
      <x:c r="N156" s="288" t="str">
        <x:v>Conditional coverage wheel</x:v>
      </x:c>
    </x:row>
    <x:row r="157">
      <x:c r="A157" s="295" t="n">
        <x:v>153</x:v>
      </x:c>
      <x:c r="B157" s="296" t="n">
        <x:v>25</x:v>
      </x:c>
      <x:c r="C157" s="296" t="n">
        <x:v>28</x:v>
      </x:c>
      <x:c r="D157" s="296" t="n">
        <x:v>36</x:v>
      </x:c>
      <x:c r="E157" s="296" t="n">
        <x:v>37</x:v>
      </x:c>
      <x:c r="F157" s="296" t="n">
        <x:v>42</x:v>
      </x:c>
      <x:c r="G157" s="296" t="n">
        <x:v>3</x:v>
      </x:c>
      <x:c r="H157" s="296" t="n">
        <x:v>7</x:v>
      </x:c>
      <x:c r="I157" s="296" t="n">
        <x:f>SUM(B157:F157)</x:f>
        <x:v>168</x:v>
      </x:c>
      <x:c r="J157" s="296" t="n">
        <x:f>MOD(B157,2)+MOD(C157,2)+MOD(D157,2)+MOD(E157,2)+MOD(F157,2)</x:f>
        <x:v>2</x:v>
      </x:c>
      <x:c r="K157" s="296" t="n">
        <x:f>COUNTIF(B157:F157,"&gt;31")</x:f>
        <x:v>3</x:v>
      </x:c>
      <x:c r="L157" s="336" t="n">
        <x:f>1/'Executive Summary'!$B$24</x:f>
        <x:v>7.1511238420185165e-9</x:v>
      </x:c>
      <x:c r="M157" s="342" t="n">
        <x:f>2.5</x:f>
        <x:v>2.5</x:v>
      </x:c>
      <x:c r="N157" s="288" t="str">
        <x:v>Conditional coverage wheel</x:v>
      </x:c>
    </x:row>
    <x:row r="158">
      <x:c r="A158" s="295" t="n">
        <x:v>154</x:v>
      </x:c>
      <x:c r="B158" s="296" t="n">
        <x:v>25</x:v>
      </x:c>
      <x:c r="C158" s="296" t="n">
        <x:v>28</x:v>
      </x:c>
      <x:c r="D158" s="296" t="n">
        <x:v>36</x:v>
      </x:c>
      <x:c r="E158" s="296" t="n">
        <x:v>37</x:v>
      </x:c>
      <x:c r="F158" s="296" t="n">
        <x:v>42</x:v>
      </x:c>
      <x:c r="G158" s="296" t="n">
        <x:v>3</x:v>
      </x:c>
      <x:c r="H158" s="296" t="n">
        <x:v>8</x:v>
      </x:c>
      <x:c r="I158" s="296" t="n">
        <x:f>SUM(B158:F158)</x:f>
        <x:v>168</x:v>
      </x:c>
      <x:c r="J158" s="296" t="n">
        <x:f>MOD(B158,2)+MOD(C158,2)+MOD(D158,2)+MOD(E158,2)+MOD(F158,2)</x:f>
        <x:v>2</x:v>
      </x:c>
      <x:c r="K158" s="296" t="n">
        <x:f>COUNTIF(B158:F158,"&gt;31")</x:f>
        <x:v>3</x:v>
      </x:c>
      <x:c r="L158" s="336" t="n">
        <x:f>1/'Executive Summary'!$B$24</x:f>
        <x:v>7.1511238420185165e-9</x:v>
      </x:c>
      <x:c r="M158" s="342" t="n">
        <x:f>2.5</x:f>
        <x:v>2.5</x:v>
      </x:c>
      <x:c r="N158" s="288" t="str">
        <x:v>Conditional coverage wheel</x:v>
      </x:c>
    </x:row>
    <x:row r="159">
      <x:c r="A159" s="295" t="n">
        <x:v>155</x:v>
      </x:c>
      <x:c r="B159" s="296" t="n">
        <x:v>25</x:v>
      </x:c>
      <x:c r="C159" s="296" t="n">
        <x:v>28</x:v>
      </x:c>
      <x:c r="D159" s="296" t="n">
        <x:v>36</x:v>
      </x:c>
      <x:c r="E159" s="296" t="n">
        <x:v>37</x:v>
      </x:c>
      <x:c r="F159" s="296" t="n">
        <x:v>42</x:v>
      </x:c>
      <x:c r="G159" s="296" t="n">
        <x:v>3</x:v>
      </x:c>
      <x:c r="H159" s="296" t="n">
        <x:v>9</x:v>
      </x:c>
      <x:c r="I159" s="296" t="n">
        <x:f>SUM(B159:F159)</x:f>
        <x:v>168</x:v>
      </x:c>
      <x:c r="J159" s="296" t="n">
        <x:f>MOD(B159,2)+MOD(C159,2)+MOD(D159,2)+MOD(E159,2)+MOD(F159,2)</x:f>
        <x:v>2</x:v>
      </x:c>
      <x:c r="K159" s="296" t="n">
        <x:f>COUNTIF(B159:F159,"&gt;31")</x:f>
        <x:v>3</x:v>
      </x:c>
      <x:c r="L159" s="336" t="n">
        <x:f>1/'Executive Summary'!$B$24</x:f>
        <x:v>7.1511238420185165e-9</x:v>
      </x:c>
      <x:c r="M159" s="342" t="n">
        <x:f>2.5</x:f>
        <x:v>2.5</x:v>
      </x:c>
      <x:c r="N159" s="288" t="str">
        <x:v>Conditional coverage wheel</x:v>
      </x:c>
    </x:row>
    <x:row r="160">
      <x:c r="A160" s="295" t="n">
        <x:v>156</x:v>
      </x:c>
      <x:c r="B160" s="296" t="n">
        <x:v>25</x:v>
      </x:c>
      <x:c r="C160" s="296" t="n">
        <x:v>28</x:v>
      </x:c>
      <x:c r="D160" s="296" t="n">
        <x:v>36</x:v>
      </x:c>
      <x:c r="E160" s="296" t="n">
        <x:v>37</x:v>
      </x:c>
      <x:c r="F160" s="296" t="n">
        <x:v>42</x:v>
      </x:c>
      <x:c r="G160" s="296" t="n">
        <x:v>4</x:v>
      </x:c>
      <x:c r="H160" s="296" t="n">
        <x:v>5</x:v>
      </x:c>
      <x:c r="I160" s="296" t="n">
        <x:f>SUM(B160:F160)</x:f>
        <x:v>168</x:v>
      </x:c>
      <x:c r="J160" s="296" t="n">
        <x:f>MOD(B160,2)+MOD(C160,2)+MOD(D160,2)+MOD(E160,2)+MOD(F160,2)</x:f>
        <x:v>2</x:v>
      </x:c>
      <x:c r="K160" s="296" t="n">
        <x:f>COUNTIF(B160:F160,"&gt;31")</x:f>
        <x:v>3</x:v>
      </x:c>
      <x:c r="L160" s="336" t="n">
        <x:f>1/'Executive Summary'!$B$24</x:f>
        <x:v>7.1511238420185165e-9</x:v>
      </x:c>
      <x:c r="M160" s="342" t="n">
        <x:f>2.5</x:f>
        <x:v>2.5</x:v>
      </x:c>
      <x:c r="N160" s="288" t="str">
        <x:v>Conditional coverage wheel</x:v>
      </x:c>
    </x:row>
    <x:row r="161">
      <x:c r="A161" s="295" t="n">
        <x:v>157</x:v>
      </x:c>
      <x:c r="B161" s="296" t="n">
        <x:v>25</x:v>
      </x:c>
      <x:c r="C161" s="296" t="n">
        <x:v>28</x:v>
      </x:c>
      <x:c r="D161" s="296" t="n">
        <x:v>36</x:v>
      </x:c>
      <x:c r="E161" s="296" t="n">
        <x:v>37</x:v>
      </x:c>
      <x:c r="F161" s="296" t="n">
        <x:v>42</x:v>
      </x:c>
      <x:c r="G161" s="296" t="n">
        <x:v>4</x:v>
      </x:c>
      <x:c r="H161" s="296" t="n">
        <x:v>7</x:v>
      </x:c>
      <x:c r="I161" s="296" t="n">
        <x:f>SUM(B161:F161)</x:f>
        <x:v>168</x:v>
      </x:c>
      <x:c r="J161" s="296" t="n">
        <x:f>MOD(B161,2)+MOD(C161,2)+MOD(D161,2)+MOD(E161,2)+MOD(F161,2)</x:f>
        <x:v>2</x:v>
      </x:c>
      <x:c r="K161" s="296" t="n">
        <x:f>COUNTIF(B161:F161,"&gt;31")</x:f>
        <x:v>3</x:v>
      </x:c>
      <x:c r="L161" s="336" t="n">
        <x:f>1/'Executive Summary'!$B$24</x:f>
        <x:v>7.1511238420185165e-9</x:v>
      </x:c>
      <x:c r="M161" s="342" t="n">
        <x:f>2.5</x:f>
        <x:v>2.5</x:v>
      </x:c>
      <x:c r="N161" s="288" t="str">
        <x:v>Conditional coverage wheel</x:v>
      </x:c>
    </x:row>
    <x:row r="162">
      <x:c r="A162" s="295" t="n">
        <x:v>158</x:v>
      </x:c>
      <x:c r="B162" s="296" t="n">
        <x:v>25</x:v>
      </x:c>
      <x:c r="C162" s="296" t="n">
        <x:v>28</x:v>
      </x:c>
      <x:c r="D162" s="296" t="n">
        <x:v>36</x:v>
      </x:c>
      <x:c r="E162" s="296" t="n">
        <x:v>37</x:v>
      </x:c>
      <x:c r="F162" s="296" t="n">
        <x:v>42</x:v>
      </x:c>
      <x:c r="G162" s="296" t="n">
        <x:v>4</x:v>
      </x:c>
      <x:c r="H162" s="296" t="n">
        <x:v>8</x:v>
      </x:c>
      <x:c r="I162" s="296" t="n">
        <x:f>SUM(B162:F162)</x:f>
        <x:v>168</x:v>
      </x:c>
      <x:c r="J162" s="296" t="n">
        <x:f>MOD(B162,2)+MOD(C162,2)+MOD(D162,2)+MOD(E162,2)+MOD(F162,2)</x:f>
        <x:v>2</x:v>
      </x:c>
      <x:c r="K162" s="296" t="n">
        <x:f>COUNTIF(B162:F162,"&gt;31")</x:f>
        <x:v>3</x:v>
      </x:c>
      <x:c r="L162" s="336" t="n">
        <x:f>1/'Executive Summary'!$B$24</x:f>
        <x:v>7.1511238420185165e-9</x:v>
      </x:c>
      <x:c r="M162" s="342" t="n">
        <x:f>2.5</x:f>
        <x:v>2.5</x:v>
      </x:c>
      <x:c r="N162" s="288" t="str">
        <x:v>Conditional coverage wheel</x:v>
      </x:c>
    </x:row>
    <x:row r="163">
      <x:c r="A163" s="295" t="n">
        <x:v>159</x:v>
      </x:c>
      <x:c r="B163" s="296" t="n">
        <x:v>25</x:v>
      </x:c>
      <x:c r="C163" s="296" t="n">
        <x:v>28</x:v>
      </x:c>
      <x:c r="D163" s="296" t="n">
        <x:v>36</x:v>
      </x:c>
      <x:c r="E163" s="296" t="n">
        <x:v>37</x:v>
      </x:c>
      <x:c r="F163" s="296" t="n">
        <x:v>42</x:v>
      </x:c>
      <x:c r="G163" s="296" t="n">
        <x:v>4</x:v>
      </x:c>
      <x:c r="H163" s="296" t="n">
        <x:v>9</x:v>
      </x:c>
      <x:c r="I163" s="296" t="n">
        <x:f>SUM(B163:F163)</x:f>
        <x:v>168</x:v>
      </x:c>
      <x:c r="J163" s="296" t="n">
        <x:f>MOD(B163,2)+MOD(C163,2)+MOD(D163,2)+MOD(E163,2)+MOD(F163,2)</x:f>
        <x:v>2</x:v>
      </x:c>
      <x:c r="K163" s="296" t="n">
        <x:f>COUNTIF(B163:F163,"&gt;31")</x:f>
        <x:v>3</x:v>
      </x:c>
      <x:c r="L163" s="336" t="n">
        <x:f>1/'Executive Summary'!$B$24</x:f>
        <x:v>7.1511238420185165e-9</x:v>
      </x:c>
      <x:c r="M163" s="342" t="n">
        <x:f>2.5</x:f>
        <x:v>2.5</x:v>
      </x:c>
      <x:c r="N163" s="288" t="str">
        <x:v>Conditional coverage wheel</x:v>
      </x:c>
    </x:row>
    <x:row r="164">
      <x:c r="A164" s="295" t="n">
        <x:v>160</x:v>
      </x:c>
      <x:c r="B164" s="296" t="n">
        <x:v>25</x:v>
      </x:c>
      <x:c r="C164" s="296" t="n">
        <x:v>28</x:v>
      </x:c>
      <x:c r="D164" s="296" t="n">
        <x:v>36</x:v>
      </x:c>
      <x:c r="E164" s="296" t="n">
        <x:v>37</x:v>
      </x:c>
      <x:c r="F164" s="296" t="n">
        <x:v>42</x:v>
      </x:c>
      <x:c r="G164" s="296" t="n">
        <x:v>5</x:v>
      </x:c>
      <x:c r="H164" s="296" t="n">
        <x:v>7</x:v>
      </x:c>
      <x:c r="I164" s="296" t="n">
        <x:f>SUM(B164:F164)</x:f>
        <x:v>168</x:v>
      </x:c>
      <x:c r="J164" s="296" t="n">
        <x:f>MOD(B164,2)+MOD(C164,2)+MOD(D164,2)+MOD(E164,2)+MOD(F164,2)</x:f>
        <x:v>2</x:v>
      </x:c>
      <x:c r="K164" s="296" t="n">
        <x:f>COUNTIF(B164:F164,"&gt;31")</x:f>
        <x:v>3</x:v>
      </x:c>
      <x:c r="L164" s="336" t="n">
        <x:f>1/'Executive Summary'!$B$24</x:f>
        <x:v>7.1511238420185165e-9</x:v>
      </x:c>
      <x:c r="M164" s="342" t="n">
        <x:f>2.5</x:f>
        <x:v>2.5</x:v>
      </x:c>
      <x:c r="N164" s="288" t="str">
        <x:v>Conditional coverage wheel</x:v>
      </x:c>
    </x:row>
    <x:row r="165">
      <x:c r="A165" s="295" t="n">
        <x:v>161</x:v>
      </x:c>
      <x:c r="B165" s="296" t="n">
        <x:v>25</x:v>
      </x:c>
      <x:c r="C165" s="296" t="n">
        <x:v>28</x:v>
      </x:c>
      <x:c r="D165" s="296" t="n">
        <x:v>36</x:v>
      </x:c>
      <x:c r="E165" s="296" t="n">
        <x:v>37</x:v>
      </x:c>
      <x:c r="F165" s="296" t="n">
        <x:v>42</x:v>
      </x:c>
      <x:c r="G165" s="296" t="n">
        <x:v>5</x:v>
      </x:c>
      <x:c r="H165" s="296" t="n">
        <x:v>8</x:v>
      </x:c>
      <x:c r="I165" s="296" t="n">
        <x:f>SUM(B165:F165)</x:f>
        <x:v>168</x:v>
      </x:c>
      <x:c r="J165" s="296" t="n">
        <x:f>MOD(B165,2)+MOD(C165,2)+MOD(D165,2)+MOD(E165,2)+MOD(F165,2)</x:f>
        <x:v>2</x:v>
      </x:c>
      <x:c r="K165" s="296" t="n">
        <x:f>COUNTIF(B165:F165,"&gt;31")</x:f>
        <x:v>3</x:v>
      </x:c>
      <x:c r="L165" s="336" t="n">
        <x:f>1/'Executive Summary'!$B$24</x:f>
        <x:v>7.1511238420185165e-9</x:v>
      </x:c>
      <x:c r="M165" s="342" t="n">
        <x:f>2.5</x:f>
        <x:v>2.5</x:v>
      </x:c>
      <x:c r="N165" s="288" t="str">
        <x:v>Conditional coverage wheel</x:v>
      </x:c>
    </x:row>
    <x:row r="166">
      <x:c r="A166" s="295" t="n">
        <x:v>162</x:v>
      </x:c>
      <x:c r="B166" s="296" t="n">
        <x:v>25</x:v>
      </x:c>
      <x:c r="C166" s="296" t="n">
        <x:v>28</x:v>
      </x:c>
      <x:c r="D166" s="296" t="n">
        <x:v>36</x:v>
      </x:c>
      <x:c r="E166" s="296" t="n">
        <x:v>37</x:v>
      </x:c>
      <x:c r="F166" s="296" t="n">
        <x:v>42</x:v>
      </x:c>
      <x:c r="G166" s="296" t="n">
        <x:v>5</x:v>
      </x:c>
      <x:c r="H166" s="296" t="n">
        <x:v>9</x:v>
      </x:c>
      <x:c r="I166" s="296" t="n">
        <x:f>SUM(B166:F166)</x:f>
        <x:v>168</x:v>
      </x:c>
      <x:c r="J166" s="296" t="n">
        <x:f>MOD(B166,2)+MOD(C166,2)+MOD(D166,2)+MOD(E166,2)+MOD(F166,2)</x:f>
        <x:v>2</x:v>
      </x:c>
      <x:c r="K166" s="296" t="n">
        <x:f>COUNTIF(B166:F166,"&gt;31")</x:f>
        <x:v>3</x:v>
      </x:c>
      <x:c r="L166" s="336" t="n">
        <x:f>1/'Executive Summary'!$B$24</x:f>
        <x:v>7.1511238420185165e-9</x:v>
      </x:c>
      <x:c r="M166" s="342" t="n">
        <x:f>2.5</x:f>
        <x:v>2.5</x:v>
      </x:c>
      <x:c r="N166" s="288" t="str">
        <x:v>Conditional coverage wheel</x:v>
      </x:c>
    </x:row>
    <x:row r="167">
      <x:c r="A167" s="295" t="n">
        <x:v>163</x:v>
      </x:c>
      <x:c r="B167" s="296" t="n">
        <x:v>25</x:v>
      </x:c>
      <x:c r="C167" s="296" t="n">
        <x:v>28</x:v>
      </x:c>
      <x:c r="D167" s="296" t="n">
        <x:v>36</x:v>
      </x:c>
      <x:c r="E167" s="296" t="n">
        <x:v>37</x:v>
      </x:c>
      <x:c r="F167" s="296" t="n">
        <x:v>42</x:v>
      </x:c>
      <x:c r="G167" s="296" t="n">
        <x:v>7</x:v>
      </x:c>
      <x:c r="H167" s="296" t="n">
        <x:v>8</x:v>
      </x:c>
      <x:c r="I167" s="296" t="n">
        <x:f>SUM(B167:F167)</x:f>
        <x:v>168</x:v>
      </x:c>
      <x:c r="J167" s="296" t="n">
        <x:f>MOD(B167,2)+MOD(C167,2)+MOD(D167,2)+MOD(E167,2)+MOD(F167,2)</x:f>
        <x:v>2</x:v>
      </x:c>
      <x:c r="K167" s="296" t="n">
        <x:f>COUNTIF(B167:F167,"&gt;31")</x:f>
        <x:v>3</x:v>
      </x:c>
      <x:c r="L167" s="336" t="n">
        <x:f>1/'Executive Summary'!$B$24</x:f>
        <x:v>7.1511238420185165e-9</x:v>
      </x:c>
      <x:c r="M167" s="342" t="n">
        <x:f>2.5</x:f>
        <x:v>2.5</x:v>
      </x:c>
      <x:c r="N167" s="288" t="str">
        <x:v>Conditional coverage wheel</x:v>
      </x:c>
    </x:row>
    <x:row r="168">
      <x:c r="A168" s="295" t="n">
        <x:v>164</x:v>
      </x:c>
      <x:c r="B168" s="296" t="n">
        <x:v>25</x:v>
      </x:c>
      <x:c r="C168" s="296" t="n">
        <x:v>28</x:v>
      </x:c>
      <x:c r="D168" s="296" t="n">
        <x:v>36</x:v>
      </x:c>
      <x:c r="E168" s="296" t="n">
        <x:v>37</x:v>
      </x:c>
      <x:c r="F168" s="296" t="n">
        <x:v>42</x:v>
      </x:c>
      <x:c r="G168" s="296" t="n">
        <x:v>7</x:v>
      </x:c>
      <x:c r="H168" s="296" t="n">
        <x:v>9</x:v>
      </x:c>
      <x:c r="I168" s="296" t="n">
        <x:f>SUM(B168:F168)</x:f>
        <x:v>168</x:v>
      </x:c>
      <x:c r="J168" s="296" t="n">
        <x:f>MOD(B168,2)+MOD(C168,2)+MOD(D168,2)+MOD(E168,2)+MOD(F168,2)</x:f>
        <x:v>2</x:v>
      </x:c>
      <x:c r="K168" s="296" t="n">
        <x:f>COUNTIF(B168:F168,"&gt;31")</x:f>
        <x:v>3</x:v>
      </x:c>
      <x:c r="L168" s="336" t="n">
        <x:f>1/'Executive Summary'!$B$24</x:f>
        <x:v>7.1511238420185165e-9</x:v>
      </x:c>
      <x:c r="M168" s="342" t="n">
        <x:f>2.5</x:f>
        <x:v>2.5</x:v>
      </x:c>
      <x:c r="N168" s="288" t="str">
        <x:v>Conditional coverage wheel</x:v>
      </x:c>
    </x:row>
    <x:row r="169">
      <x:c r="A169" s="295" t="n">
        <x:v>165</x:v>
      </x:c>
      <x:c r="B169" s="296" t="n">
        <x:v>25</x:v>
      </x:c>
      <x:c r="C169" s="296" t="n">
        <x:v>28</x:v>
      </x:c>
      <x:c r="D169" s="296" t="n">
        <x:v>36</x:v>
      </x:c>
      <x:c r="E169" s="296" t="n">
        <x:v>37</x:v>
      </x:c>
      <x:c r="F169" s="296" t="n">
        <x:v>42</x:v>
      </x:c>
      <x:c r="G169" s="296" t="n">
        <x:v>8</x:v>
      </x:c>
      <x:c r="H169" s="296" t="n">
        <x:v>9</x:v>
      </x:c>
      <x:c r="I169" s="296" t="n">
        <x:f>SUM(B169:F169)</x:f>
        <x:v>168</x:v>
      </x:c>
      <x:c r="J169" s="296" t="n">
        <x:f>MOD(B169,2)+MOD(C169,2)+MOD(D169,2)+MOD(E169,2)+MOD(F169,2)</x:f>
        <x:v>2</x:v>
      </x:c>
      <x:c r="K169" s="296" t="n">
        <x:f>COUNTIF(B169:F169,"&gt;31")</x:f>
        <x:v>3</x:v>
      </x:c>
      <x:c r="L169" s="336" t="n">
        <x:f>1/'Executive Summary'!$B$24</x:f>
        <x:v>7.1511238420185165e-9</x:v>
      </x:c>
      <x:c r="M169" s="342" t="n">
        <x:f>2.5</x:f>
        <x:v>2.5</x:v>
      </x:c>
      <x:c r="N169" s="288" t="str">
        <x:v>Conditional coverage wheel</x:v>
      </x:c>
    </x:row>
    <x:row r="170">
      <x:c r="A170" s="295" t="n">
        <x:v>166</x:v>
      </x:c>
      <x:c r="B170" s="296" t="n">
        <x:v>27</x:v>
      </x:c>
      <x:c r="C170" s="296" t="n">
        <x:v>28</x:v>
      </x:c>
      <x:c r="D170" s="296" t="n">
        <x:v>35</x:v>
      </x:c>
      <x:c r="E170" s="296" t="n">
        <x:v>36</x:v>
      </x:c>
      <x:c r="F170" s="296" t="n">
        <x:v>48</x:v>
      </x:c>
      <x:c r="G170" s="296" t="n">
        <x:v>3</x:v>
      </x:c>
      <x:c r="H170" s="296" t="n">
        <x:v>4</x:v>
      </x:c>
      <x:c r="I170" s="296" t="n">
        <x:f>SUM(B170:F170)</x:f>
        <x:v>174</x:v>
      </x:c>
      <x:c r="J170" s="296" t="n">
        <x:f>MOD(B170,2)+MOD(C170,2)+MOD(D170,2)+MOD(E170,2)+MOD(F170,2)</x:f>
        <x:v>2</x:v>
      </x:c>
      <x:c r="K170" s="296" t="n">
        <x:f>COUNTIF(B170:F170,"&gt;31")</x:f>
        <x:v>3</x:v>
      </x:c>
      <x:c r="L170" s="336" t="n">
        <x:f>1/'Executive Summary'!$B$24</x:f>
        <x:v>7.1511238420185165e-9</x:v>
      </x:c>
      <x:c r="M170" s="342" t="n">
        <x:f>2.5</x:f>
        <x:v>2.5</x:v>
      </x:c>
      <x:c r="N170" s="288" t="str">
        <x:v>Conditional coverage wheel</x:v>
      </x:c>
    </x:row>
    <x:row r="171">
      <x:c r="A171" s="295" t="n">
        <x:v>167</x:v>
      </x:c>
      <x:c r="B171" s="296" t="n">
        <x:v>27</x:v>
      </x:c>
      <x:c r="C171" s="296" t="n">
        <x:v>28</x:v>
      </x:c>
      <x:c r="D171" s="296" t="n">
        <x:v>35</x:v>
      </x:c>
      <x:c r="E171" s="296" t="n">
        <x:v>36</x:v>
      </x:c>
      <x:c r="F171" s="296" t="n">
        <x:v>48</x:v>
      </x:c>
      <x:c r="G171" s="296" t="n">
        <x:v>3</x:v>
      </x:c>
      <x:c r="H171" s="296" t="n">
        <x:v>5</x:v>
      </x:c>
      <x:c r="I171" s="296" t="n">
        <x:f>SUM(B171:F171)</x:f>
        <x:v>174</x:v>
      </x:c>
      <x:c r="J171" s="296" t="n">
        <x:f>MOD(B171,2)+MOD(C171,2)+MOD(D171,2)+MOD(E171,2)+MOD(F171,2)</x:f>
        <x:v>2</x:v>
      </x:c>
      <x:c r="K171" s="296" t="n">
        <x:f>COUNTIF(B171:F171,"&gt;31")</x:f>
        <x:v>3</x:v>
      </x:c>
      <x:c r="L171" s="336" t="n">
        <x:f>1/'Executive Summary'!$B$24</x:f>
        <x:v>7.1511238420185165e-9</x:v>
      </x:c>
      <x:c r="M171" s="342" t="n">
        <x:f>2.5</x:f>
        <x:v>2.5</x:v>
      </x:c>
      <x:c r="N171" s="288" t="str">
        <x:v>Conditional coverage wheel</x:v>
      </x:c>
    </x:row>
    <x:row r="172">
      <x:c r="A172" s="295" t="n">
        <x:v>168</x:v>
      </x:c>
      <x:c r="B172" s="296" t="n">
        <x:v>27</x:v>
      </x:c>
      <x:c r="C172" s="296" t="n">
        <x:v>28</x:v>
      </x:c>
      <x:c r="D172" s="296" t="n">
        <x:v>35</x:v>
      </x:c>
      <x:c r="E172" s="296" t="n">
        <x:v>36</x:v>
      </x:c>
      <x:c r="F172" s="296" t="n">
        <x:v>48</x:v>
      </x:c>
      <x:c r="G172" s="296" t="n">
        <x:v>3</x:v>
      </x:c>
      <x:c r="H172" s="296" t="n">
        <x:v>7</x:v>
      </x:c>
      <x:c r="I172" s="296" t="n">
        <x:f>SUM(B172:F172)</x:f>
        <x:v>174</x:v>
      </x:c>
      <x:c r="J172" s="296" t="n">
        <x:f>MOD(B172,2)+MOD(C172,2)+MOD(D172,2)+MOD(E172,2)+MOD(F172,2)</x:f>
        <x:v>2</x:v>
      </x:c>
      <x:c r="K172" s="296" t="n">
        <x:f>COUNTIF(B172:F172,"&gt;31")</x:f>
        <x:v>3</x:v>
      </x:c>
      <x:c r="L172" s="336" t="n">
        <x:f>1/'Executive Summary'!$B$24</x:f>
        <x:v>7.1511238420185165e-9</x:v>
      </x:c>
      <x:c r="M172" s="342" t="n">
        <x:f>2.5</x:f>
        <x:v>2.5</x:v>
      </x:c>
      <x:c r="N172" s="288" t="str">
        <x:v>Conditional coverage wheel</x:v>
      </x:c>
    </x:row>
    <x:row r="173">
      <x:c r="A173" s="295" t="n">
        <x:v>169</x:v>
      </x:c>
      <x:c r="B173" s="296" t="n">
        <x:v>27</x:v>
      </x:c>
      <x:c r="C173" s="296" t="n">
        <x:v>28</x:v>
      </x:c>
      <x:c r="D173" s="296" t="n">
        <x:v>35</x:v>
      </x:c>
      <x:c r="E173" s="296" t="n">
        <x:v>36</x:v>
      </x:c>
      <x:c r="F173" s="296" t="n">
        <x:v>48</x:v>
      </x:c>
      <x:c r="G173" s="296" t="n">
        <x:v>3</x:v>
      </x:c>
      <x:c r="H173" s="296" t="n">
        <x:v>8</x:v>
      </x:c>
      <x:c r="I173" s="296" t="n">
        <x:f>SUM(B173:F173)</x:f>
        <x:v>174</x:v>
      </x:c>
      <x:c r="J173" s="296" t="n">
        <x:f>MOD(B173,2)+MOD(C173,2)+MOD(D173,2)+MOD(E173,2)+MOD(F173,2)</x:f>
        <x:v>2</x:v>
      </x:c>
      <x:c r="K173" s="296" t="n">
        <x:f>COUNTIF(B173:F173,"&gt;31")</x:f>
        <x:v>3</x:v>
      </x:c>
      <x:c r="L173" s="336" t="n">
        <x:f>1/'Executive Summary'!$B$24</x:f>
        <x:v>7.1511238420185165e-9</x:v>
      </x:c>
      <x:c r="M173" s="342" t="n">
        <x:f>2.5</x:f>
        <x:v>2.5</x:v>
      </x:c>
      <x:c r="N173" s="288" t="str">
        <x:v>Conditional coverage wheel</x:v>
      </x:c>
    </x:row>
    <x:row r="174">
      <x:c r="A174" s="295" t="n">
        <x:v>170</x:v>
      </x:c>
      <x:c r="B174" s="296" t="n">
        <x:v>27</x:v>
      </x:c>
      <x:c r="C174" s="296" t="n">
        <x:v>28</x:v>
      </x:c>
      <x:c r="D174" s="296" t="n">
        <x:v>35</x:v>
      </x:c>
      <x:c r="E174" s="296" t="n">
        <x:v>36</x:v>
      </x:c>
      <x:c r="F174" s="296" t="n">
        <x:v>48</x:v>
      </x:c>
      <x:c r="G174" s="296" t="n">
        <x:v>3</x:v>
      </x:c>
      <x:c r="H174" s="296" t="n">
        <x:v>9</x:v>
      </x:c>
      <x:c r="I174" s="296" t="n">
        <x:f>SUM(B174:F174)</x:f>
        <x:v>174</x:v>
      </x:c>
      <x:c r="J174" s="296" t="n">
        <x:f>MOD(B174,2)+MOD(C174,2)+MOD(D174,2)+MOD(E174,2)+MOD(F174,2)</x:f>
        <x:v>2</x:v>
      </x:c>
      <x:c r="K174" s="296" t="n">
        <x:f>COUNTIF(B174:F174,"&gt;31")</x:f>
        <x:v>3</x:v>
      </x:c>
      <x:c r="L174" s="336" t="n">
        <x:f>1/'Executive Summary'!$B$24</x:f>
        <x:v>7.1511238420185165e-9</x:v>
      </x:c>
      <x:c r="M174" s="342" t="n">
        <x:f>2.5</x:f>
        <x:v>2.5</x:v>
      </x:c>
      <x:c r="N174" s="288" t="str">
        <x:v>Conditional coverage wheel</x:v>
      </x:c>
    </x:row>
    <x:row r="175">
      <x:c r="A175" s="295" t="n">
        <x:v>171</x:v>
      </x:c>
      <x:c r="B175" s="296" t="n">
        <x:v>27</x:v>
      </x:c>
      <x:c r="C175" s="296" t="n">
        <x:v>28</x:v>
      </x:c>
      <x:c r="D175" s="296" t="n">
        <x:v>35</x:v>
      </x:c>
      <x:c r="E175" s="296" t="n">
        <x:v>36</x:v>
      </x:c>
      <x:c r="F175" s="296" t="n">
        <x:v>48</x:v>
      </x:c>
      <x:c r="G175" s="296" t="n">
        <x:v>4</x:v>
      </x:c>
      <x:c r="H175" s="296" t="n">
        <x:v>5</x:v>
      </x:c>
      <x:c r="I175" s="296" t="n">
        <x:f>SUM(B175:F175)</x:f>
        <x:v>174</x:v>
      </x:c>
      <x:c r="J175" s="296" t="n">
        <x:f>MOD(B175,2)+MOD(C175,2)+MOD(D175,2)+MOD(E175,2)+MOD(F175,2)</x:f>
        <x:v>2</x:v>
      </x:c>
      <x:c r="K175" s="296" t="n">
        <x:f>COUNTIF(B175:F175,"&gt;31")</x:f>
        <x:v>3</x:v>
      </x:c>
      <x:c r="L175" s="336" t="n">
        <x:f>1/'Executive Summary'!$B$24</x:f>
        <x:v>7.1511238420185165e-9</x:v>
      </x:c>
      <x:c r="M175" s="342" t="n">
        <x:f>2.5</x:f>
        <x:v>2.5</x:v>
      </x:c>
      <x:c r="N175" s="288" t="str">
        <x:v>Conditional coverage wheel</x:v>
      </x:c>
    </x:row>
    <x:row r="176">
      <x:c r="A176" s="295" t="n">
        <x:v>172</x:v>
      </x:c>
      <x:c r="B176" s="296" t="n">
        <x:v>27</x:v>
      </x:c>
      <x:c r="C176" s="296" t="n">
        <x:v>28</x:v>
      </x:c>
      <x:c r="D176" s="296" t="n">
        <x:v>35</x:v>
      </x:c>
      <x:c r="E176" s="296" t="n">
        <x:v>36</x:v>
      </x:c>
      <x:c r="F176" s="296" t="n">
        <x:v>48</x:v>
      </x:c>
      <x:c r="G176" s="296" t="n">
        <x:v>4</x:v>
      </x:c>
      <x:c r="H176" s="296" t="n">
        <x:v>7</x:v>
      </x:c>
      <x:c r="I176" s="296" t="n">
        <x:f>SUM(B176:F176)</x:f>
        <x:v>174</x:v>
      </x:c>
      <x:c r="J176" s="296" t="n">
        <x:f>MOD(B176,2)+MOD(C176,2)+MOD(D176,2)+MOD(E176,2)+MOD(F176,2)</x:f>
        <x:v>2</x:v>
      </x:c>
      <x:c r="K176" s="296" t="n">
        <x:f>COUNTIF(B176:F176,"&gt;31")</x:f>
        <x:v>3</x:v>
      </x:c>
      <x:c r="L176" s="336" t="n">
        <x:f>1/'Executive Summary'!$B$24</x:f>
        <x:v>7.1511238420185165e-9</x:v>
      </x:c>
      <x:c r="M176" s="342" t="n">
        <x:f>2.5</x:f>
        <x:v>2.5</x:v>
      </x:c>
      <x:c r="N176" s="288" t="str">
        <x:v>Conditional coverage wheel</x:v>
      </x:c>
    </x:row>
    <x:row r="177">
      <x:c r="A177" s="295" t="n">
        <x:v>173</x:v>
      </x:c>
      <x:c r="B177" s="296" t="n">
        <x:v>27</x:v>
      </x:c>
      <x:c r="C177" s="296" t="n">
        <x:v>28</x:v>
      </x:c>
      <x:c r="D177" s="296" t="n">
        <x:v>35</x:v>
      </x:c>
      <x:c r="E177" s="296" t="n">
        <x:v>36</x:v>
      </x:c>
      <x:c r="F177" s="296" t="n">
        <x:v>48</x:v>
      </x:c>
      <x:c r="G177" s="296" t="n">
        <x:v>4</x:v>
      </x:c>
      <x:c r="H177" s="296" t="n">
        <x:v>8</x:v>
      </x:c>
      <x:c r="I177" s="296" t="n">
        <x:f>SUM(B177:F177)</x:f>
        <x:v>174</x:v>
      </x:c>
      <x:c r="J177" s="296" t="n">
        <x:f>MOD(B177,2)+MOD(C177,2)+MOD(D177,2)+MOD(E177,2)+MOD(F177,2)</x:f>
        <x:v>2</x:v>
      </x:c>
      <x:c r="K177" s="296" t="n">
        <x:f>COUNTIF(B177:F177,"&gt;31")</x:f>
        <x:v>3</x:v>
      </x:c>
      <x:c r="L177" s="336" t="n">
        <x:f>1/'Executive Summary'!$B$24</x:f>
        <x:v>7.1511238420185165e-9</x:v>
      </x:c>
      <x:c r="M177" s="342" t="n">
        <x:f>2.5</x:f>
        <x:v>2.5</x:v>
      </x:c>
      <x:c r="N177" s="288" t="str">
        <x:v>Conditional coverage wheel</x:v>
      </x:c>
    </x:row>
    <x:row r="178">
      <x:c r="A178" s="295" t="n">
        <x:v>174</x:v>
      </x:c>
      <x:c r="B178" s="296" t="n">
        <x:v>27</x:v>
      </x:c>
      <x:c r="C178" s="296" t="n">
        <x:v>28</x:v>
      </x:c>
      <x:c r="D178" s="296" t="n">
        <x:v>35</x:v>
      </x:c>
      <x:c r="E178" s="296" t="n">
        <x:v>36</x:v>
      </x:c>
      <x:c r="F178" s="296" t="n">
        <x:v>48</x:v>
      </x:c>
      <x:c r="G178" s="296" t="n">
        <x:v>4</x:v>
      </x:c>
      <x:c r="H178" s="296" t="n">
        <x:v>9</x:v>
      </x:c>
      <x:c r="I178" s="296" t="n">
        <x:f>SUM(B178:F178)</x:f>
        <x:v>174</x:v>
      </x:c>
      <x:c r="J178" s="296" t="n">
        <x:f>MOD(B178,2)+MOD(C178,2)+MOD(D178,2)+MOD(E178,2)+MOD(F178,2)</x:f>
        <x:v>2</x:v>
      </x:c>
      <x:c r="K178" s="296" t="n">
        <x:f>COUNTIF(B178:F178,"&gt;31")</x:f>
        <x:v>3</x:v>
      </x:c>
      <x:c r="L178" s="336" t="n">
        <x:f>1/'Executive Summary'!$B$24</x:f>
        <x:v>7.1511238420185165e-9</x:v>
      </x:c>
      <x:c r="M178" s="342" t="n">
        <x:f>2.5</x:f>
        <x:v>2.5</x:v>
      </x:c>
      <x:c r="N178" s="288" t="str">
        <x:v>Conditional coverage wheel</x:v>
      </x:c>
    </x:row>
    <x:row r="179">
      <x:c r="A179" s="295" t="n">
        <x:v>175</x:v>
      </x:c>
      <x:c r="B179" s="296" t="n">
        <x:v>27</x:v>
      </x:c>
      <x:c r="C179" s="296" t="n">
        <x:v>28</x:v>
      </x:c>
      <x:c r="D179" s="296" t="n">
        <x:v>35</x:v>
      </x:c>
      <x:c r="E179" s="296" t="n">
        <x:v>36</x:v>
      </x:c>
      <x:c r="F179" s="296" t="n">
        <x:v>48</x:v>
      </x:c>
      <x:c r="G179" s="296" t="n">
        <x:v>5</x:v>
      </x:c>
      <x:c r="H179" s="296" t="n">
        <x:v>7</x:v>
      </x:c>
      <x:c r="I179" s="296" t="n">
        <x:f>SUM(B179:F179)</x:f>
        <x:v>174</x:v>
      </x:c>
      <x:c r="J179" s="296" t="n">
        <x:f>MOD(B179,2)+MOD(C179,2)+MOD(D179,2)+MOD(E179,2)+MOD(F179,2)</x:f>
        <x:v>2</x:v>
      </x:c>
      <x:c r="K179" s="296" t="n">
        <x:f>COUNTIF(B179:F179,"&gt;31")</x:f>
        <x:v>3</x:v>
      </x:c>
      <x:c r="L179" s="336" t="n">
        <x:f>1/'Executive Summary'!$B$24</x:f>
        <x:v>7.1511238420185165e-9</x:v>
      </x:c>
      <x:c r="M179" s="342" t="n">
        <x:f>2.5</x:f>
        <x:v>2.5</x:v>
      </x:c>
      <x:c r="N179" s="288" t="str">
        <x:v>Conditional coverage wheel</x:v>
      </x:c>
    </x:row>
    <x:row r="180">
      <x:c r="A180" s="295" t="n">
        <x:v>176</x:v>
      </x:c>
      <x:c r="B180" s="296" t="n">
        <x:v>27</x:v>
      </x:c>
      <x:c r="C180" s="296" t="n">
        <x:v>28</x:v>
      </x:c>
      <x:c r="D180" s="296" t="n">
        <x:v>35</x:v>
      </x:c>
      <x:c r="E180" s="296" t="n">
        <x:v>36</x:v>
      </x:c>
      <x:c r="F180" s="296" t="n">
        <x:v>48</x:v>
      </x:c>
      <x:c r="G180" s="296" t="n">
        <x:v>5</x:v>
      </x:c>
      <x:c r="H180" s="296" t="n">
        <x:v>8</x:v>
      </x:c>
      <x:c r="I180" s="296" t="n">
        <x:f>SUM(B180:F180)</x:f>
        <x:v>174</x:v>
      </x:c>
      <x:c r="J180" s="296" t="n">
        <x:f>MOD(B180,2)+MOD(C180,2)+MOD(D180,2)+MOD(E180,2)+MOD(F180,2)</x:f>
        <x:v>2</x:v>
      </x:c>
      <x:c r="K180" s="296" t="n">
        <x:f>COUNTIF(B180:F180,"&gt;31")</x:f>
        <x:v>3</x:v>
      </x:c>
      <x:c r="L180" s="336" t="n">
        <x:f>1/'Executive Summary'!$B$24</x:f>
        <x:v>7.1511238420185165e-9</x:v>
      </x:c>
      <x:c r="M180" s="342" t="n">
        <x:f>2.5</x:f>
        <x:v>2.5</x:v>
      </x:c>
      <x:c r="N180" s="288" t="str">
        <x:v>Conditional coverage wheel</x:v>
      </x:c>
    </x:row>
    <x:row r="181">
      <x:c r="A181" s="295" t="n">
        <x:v>177</x:v>
      </x:c>
      <x:c r="B181" s="296" t="n">
        <x:v>27</x:v>
      </x:c>
      <x:c r="C181" s="296" t="n">
        <x:v>28</x:v>
      </x:c>
      <x:c r="D181" s="296" t="n">
        <x:v>35</x:v>
      </x:c>
      <x:c r="E181" s="296" t="n">
        <x:v>36</x:v>
      </x:c>
      <x:c r="F181" s="296" t="n">
        <x:v>48</x:v>
      </x:c>
      <x:c r="G181" s="296" t="n">
        <x:v>5</x:v>
      </x:c>
      <x:c r="H181" s="296" t="n">
        <x:v>9</x:v>
      </x:c>
      <x:c r="I181" s="296" t="n">
        <x:f>SUM(B181:F181)</x:f>
        <x:v>174</x:v>
      </x:c>
      <x:c r="J181" s="296" t="n">
        <x:f>MOD(B181,2)+MOD(C181,2)+MOD(D181,2)+MOD(E181,2)+MOD(F181,2)</x:f>
        <x:v>2</x:v>
      </x:c>
      <x:c r="K181" s="296" t="n">
        <x:f>COUNTIF(B181:F181,"&gt;31")</x:f>
        <x:v>3</x:v>
      </x:c>
      <x:c r="L181" s="336" t="n">
        <x:f>1/'Executive Summary'!$B$24</x:f>
        <x:v>7.1511238420185165e-9</x:v>
      </x:c>
      <x:c r="M181" s="342" t="n">
        <x:f>2.5</x:f>
        <x:v>2.5</x:v>
      </x:c>
      <x:c r="N181" s="288" t="str">
        <x:v>Conditional coverage wheel</x:v>
      </x:c>
    </x:row>
    <x:row r="182">
      <x:c r="A182" s="295" t="n">
        <x:v>178</x:v>
      </x:c>
      <x:c r="B182" s="296" t="n">
        <x:v>27</x:v>
      </x:c>
      <x:c r="C182" s="296" t="n">
        <x:v>28</x:v>
      </x:c>
      <x:c r="D182" s="296" t="n">
        <x:v>35</x:v>
      </x:c>
      <x:c r="E182" s="296" t="n">
        <x:v>36</x:v>
      </x:c>
      <x:c r="F182" s="296" t="n">
        <x:v>48</x:v>
      </x:c>
      <x:c r="G182" s="296" t="n">
        <x:v>7</x:v>
      </x:c>
      <x:c r="H182" s="296" t="n">
        <x:v>8</x:v>
      </x:c>
      <x:c r="I182" s="296" t="n">
        <x:f>SUM(B182:F182)</x:f>
        <x:v>174</x:v>
      </x:c>
      <x:c r="J182" s="296" t="n">
        <x:f>MOD(B182,2)+MOD(C182,2)+MOD(D182,2)+MOD(E182,2)+MOD(F182,2)</x:f>
        <x:v>2</x:v>
      </x:c>
      <x:c r="K182" s="296" t="n">
        <x:f>COUNTIF(B182:F182,"&gt;31")</x:f>
        <x:v>3</x:v>
      </x:c>
      <x:c r="L182" s="336" t="n">
        <x:f>1/'Executive Summary'!$B$24</x:f>
        <x:v>7.1511238420185165e-9</x:v>
      </x:c>
      <x:c r="M182" s="342" t="n">
        <x:f>2.5</x:f>
        <x:v>2.5</x:v>
      </x:c>
      <x:c r="N182" s="288" t="str">
        <x:v>Conditional coverage wheel</x:v>
      </x:c>
    </x:row>
    <x:row r="183">
      <x:c r="A183" s="295" t="n">
        <x:v>179</x:v>
      </x:c>
      <x:c r="B183" s="296" t="n">
        <x:v>27</x:v>
      </x:c>
      <x:c r="C183" s="296" t="n">
        <x:v>28</x:v>
      </x:c>
      <x:c r="D183" s="296" t="n">
        <x:v>35</x:v>
      </x:c>
      <x:c r="E183" s="296" t="n">
        <x:v>36</x:v>
      </x:c>
      <x:c r="F183" s="296" t="n">
        <x:v>48</x:v>
      </x:c>
      <x:c r="G183" s="296" t="n">
        <x:v>7</x:v>
      </x:c>
      <x:c r="H183" s="296" t="n">
        <x:v>9</x:v>
      </x:c>
      <x:c r="I183" s="296" t="n">
        <x:f>SUM(B183:F183)</x:f>
        <x:v>174</x:v>
      </x:c>
      <x:c r="J183" s="296" t="n">
        <x:f>MOD(B183,2)+MOD(C183,2)+MOD(D183,2)+MOD(E183,2)+MOD(F183,2)</x:f>
        <x:v>2</x:v>
      </x:c>
      <x:c r="K183" s="296" t="n">
        <x:f>COUNTIF(B183:F183,"&gt;31")</x:f>
        <x:v>3</x:v>
      </x:c>
      <x:c r="L183" s="336" t="n">
        <x:f>1/'Executive Summary'!$B$24</x:f>
        <x:v>7.1511238420185165e-9</x:v>
      </x:c>
      <x:c r="M183" s="342" t="n">
        <x:f>2.5</x:f>
        <x:v>2.5</x:v>
      </x:c>
      <x:c r="N183" s="288" t="str">
        <x:v>Conditional coverage wheel</x:v>
      </x:c>
    </x:row>
    <x:row r="184">
      <x:c r="A184" s="295" t="n">
        <x:v>180</x:v>
      </x:c>
      <x:c r="B184" s="296" t="n">
        <x:v>27</x:v>
      </x:c>
      <x:c r="C184" s="296" t="n">
        <x:v>28</x:v>
      </x:c>
      <x:c r="D184" s="296" t="n">
        <x:v>35</x:v>
      </x:c>
      <x:c r="E184" s="296" t="n">
        <x:v>36</x:v>
      </x:c>
      <x:c r="F184" s="296" t="n">
        <x:v>48</x:v>
      </x:c>
      <x:c r="G184" s="296" t="n">
        <x:v>8</x:v>
      </x:c>
      <x:c r="H184" s="296" t="n">
        <x:v>9</x:v>
      </x:c>
      <x:c r="I184" s="296" t="n">
        <x:f>SUM(B184:F184)</x:f>
        <x:v>174</x:v>
      </x:c>
      <x:c r="J184" s="296" t="n">
        <x:f>MOD(B184,2)+MOD(C184,2)+MOD(D184,2)+MOD(E184,2)+MOD(F184,2)</x:f>
        <x:v>2</x:v>
      </x:c>
      <x:c r="K184" s="296" t="n">
        <x:f>COUNTIF(B184:F184,"&gt;31")</x:f>
        <x:v>3</x:v>
      </x:c>
      <x:c r="L184" s="336" t="n">
        <x:f>1/'Executive Summary'!$B$24</x:f>
        <x:v>7.1511238420185165e-9</x:v>
      </x:c>
      <x:c r="M184" s="342" t="n">
        <x:f>2.5</x:f>
        <x:v>2.5</x:v>
      </x:c>
      <x:c r="N184" s="288" t="str">
        <x:v>Conditional coverage wheel</x:v>
      </x:c>
    </x:row>
    <x:row r="185">
      <x:c r="A185" s="295" t="n">
        <x:v>181</x:v>
      </x:c>
      <x:c r="B185" s="296" t="n">
        <x:v>25</x:v>
      </x:c>
      <x:c r="C185" s="296" t="n">
        <x:v>27</x:v>
      </x:c>
      <x:c r="D185" s="296" t="n">
        <x:v>42</x:v>
      </x:c>
      <x:c r="E185" s="296" t="n">
        <x:v>44</x:v>
      </x:c>
      <x:c r="F185" s="296" t="n">
        <x:v>48</x:v>
      </x:c>
      <x:c r="G185" s="296" t="n">
        <x:v>3</x:v>
      </x:c>
      <x:c r="H185" s="296" t="n">
        <x:v>4</x:v>
      </x:c>
      <x:c r="I185" s="296" t="n">
        <x:f>SUM(B185:F185)</x:f>
        <x:v>186</x:v>
      </x:c>
      <x:c r="J185" s="296" t="n">
        <x:f>MOD(B185,2)+MOD(C185,2)+MOD(D185,2)+MOD(E185,2)+MOD(F185,2)</x:f>
        <x:v>2</x:v>
      </x:c>
      <x:c r="K185" s="296" t="n">
        <x:f>COUNTIF(B185:F185,"&gt;31")</x:f>
        <x:v>3</x:v>
      </x:c>
      <x:c r="L185" s="336" t="n">
        <x:f>1/'Executive Summary'!$B$24</x:f>
        <x:v>7.1511238420185165e-9</x:v>
      </x:c>
      <x:c r="M185" s="342" t="n">
        <x:f>2.5</x:f>
        <x:v>2.5</x:v>
      </x:c>
      <x:c r="N185" s="288" t="str">
        <x:v>Conditional coverage wheel</x:v>
      </x:c>
    </x:row>
    <x:row r="186">
      <x:c r="A186" s="295" t="n">
        <x:v>182</x:v>
      </x:c>
      <x:c r="B186" s="296" t="n">
        <x:v>25</x:v>
      </x:c>
      <x:c r="C186" s="296" t="n">
        <x:v>27</x:v>
      </x:c>
      <x:c r="D186" s="296" t="n">
        <x:v>42</x:v>
      </x:c>
      <x:c r="E186" s="296" t="n">
        <x:v>44</x:v>
      </x:c>
      <x:c r="F186" s="296" t="n">
        <x:v>48</x:v>
      </x:c>
      <x:c r="G186" s="296" t="n">
        <x:v>3</x:v>
      </x:c>
      <x:c r="H186" s="296" t="n">
        <x:v>5</x:v>
      </x:c>
      <x:c r="I186" s="296" t="n">
        <x:f>SUM(B186:F186)</x:f>
        <x:v>186</x:v>
      </x:c>
      <x:c r="J186" s="296" t="n">
        <x:f>MOD(B186,2)+MOD(C186,2)+MOD(D186,2)+MOD(E186,2)+MOD(F186,2)</x:f>
        <x:v>2</x:v>
      </x:c>
      <x:c r="K186" s="296" t="n">
        <x:f>COUNTIF(B186:F186,"&gt;31")</x:f>
        <x:v>3</x:v>
      </x:c>
      <x:c r="L186" s="336" t="n">
        <x:f>1/'Executive Summary'!$B$24</x:f>
        <x:v>7.1511238420185165e-9</x:v>
      </x:c>
      <x:c r="M186" s="342" t="n">
        <x:f>2.5</x:f>
        <x:v>2.5</x:v>
      </x:c>
      <x:c r="N186" s="288" t="str">
        <x:v>Conditional coverage wheel</x:v>
      </x:c>
    </x:row>
    <x:row r="187">
      <x:c r="A187" s="295" t="n">
        <x:v>183</x:v>
      </x:c>
      <x:c r="B187" s="296" t="n">
        <x:v>25</x:v>
      </x:c>
      <x:c r="C187" s="296" t="n">
        <x:v>27</x:v>
      </x:c>
      <x:c r="D187" s="296" t="n">
        <x:v>42</x:v>
      </x:c>
      <x:c r="E187" s="296" t="n">
        <x:v>44</x:v>
      </x:c>
      <x:c r="F187" s="296" t="n">
        <x:v>48</x:v>
      </x:c>
      <x:c r="G187" s="296" t="n">
        <x:v>3</x:v>
      </x:c>
      <x:c r="H187" s="296" t="n">
        <x:v>7</x:v>
      </x:c>
      <x:c r="I187" s="296" t="n">
        <x:f>SUM(B187:F187)</x:f>
        <x:v>186</x:v>
      </x:c>
      <x:c r="J187" s="296" t="n">
        <x:f>MOD(B187,2)+MOD(C187,2)+MOD(D187,2)+MOD(E187,2)+MOD(F187,2)</x:f>
        <x:v>2</x:v>
      </x:c>
      <x:c r="K187" s="296" t="n">
        <x:f>COUNTIF(B187:F187,"&gt;31")</x:f>
        <x:v>3</x:v>
      </x:c>
      <x:c r="L187" s="336" t="n">
        <x:f>1/'Executive Summary'!$B$24</x:f>
        <x:v>7.1511238420185165e-9</x:v>
      </x:c>
      <x:c r="M187" s="342" t="n">
        <x:f>2.5</x:f>
        <x:v>2.5</x:v>
      </x:c>
      <x:c r="N187" s="288" t="str">
        <x:v>Conditional coverage wheel</x:v>
      </x:c>
    </x:row>
    <x:row r="188">
      <x:c r="A188" s="295" t="n">
        <x:v>184</x:v>
      </x:c>
      <x:c r="B188" s="296" t="n">
        <x:v>25</x:v>
      </x:c>
      <x:c r="C188" s="296" t="n">
        <x:v>27</x:v>
      </x:c>
      <x:c r="D188" s="296" t="n">
        <x:v>42</x:v>
      </x:c>
      <x:c r="E188" s="296" t="n">
        <x:v>44</x:v>
      </x:c>
      <x:c r="F188" s="296" t="n">
        <x:v>48</x:v>
      </x:c>
      <x:c r="G188" s="296" t="n">
        <x:v>3</x:v>
      </x:c>
      <x:c r="H188" s="296" t="n">
        <x:v>8</x:v>
      </x:c>
      <x:c r="I188" s="296" t="n">
        <x:f>SUM(B188:F188)</x:f>
        <x:v>186</x:v>
      </x:c>
      <x:c r="J188" s="296" t="n">
        <x:f>MOD(B188,2)+MOD(C188,2)+MOD(D188,2)+MOD(E188,2)+MOD(F188,2)</x:f>
        <x:v>2</x:v>
      </x:c>
      <x:c r="K188" s="296" t="n">
        <x:f>COUNTIF(B188:F188,"&gt;31")</x:f>
        <x:v>3</x:v>
      </x:c>
      <x:c r="L188" s="336" t="n">
        <x:f>1/'Executive Summary'!$B$24</x:f>
        <x:v>7.1511238420185165e-9</x:v>
      </x:c>
      <x:c r="M188" s="342" t="n">
        <x:f>2.5</x:f>
        <x:v>2.5</x:v>
      </x:c>
      <x:c r="N188" s="288" t="str">
        <x:v>Conditional coverage wheel</x:v>
      </x:c>
    </x:row>
    <x:row r="189">
      <x:c r="A189" s="295" t="n">
        <x:v>185</x:v>
      </x:c>
      <x:c r="B189" s="296" t="n">
        <x:v>25</x:v>
      </x:c>
      <x:c r="C189" s="296" t="n">
        <x:v>27</x:v>
      </x:c>
      <x:c r="D189" s="296" t="n">
        <x:v>42</x:v>
      </x:c>
      <x:c r="E189" s="296" t="n">
        <x:v>44</x:v>
      </x:c>
      <x:c r="F189" s="296" t="n">
        <x:v>48</x:v>
      </x:c>
      <x:c r="G189" s="296" t="n">
        <x:v>3</x:v>
      </x:c>
      <x:c r="H189" s="296" t="n">
        <x:v>9</x:v>
      </x:c>
      <x:c r="I189" s="296" t="n">
        <x:f>SUM(B189:F189)</x:f>
        <x:v>186</x:v>
      </x:c>
      <x:c r="J189" s="296" t="n">
        <x:f>MOD(B189,2)+MOD(C189,2)+MOD(D189,2)+MOD(E189,2)+MOD(F189,2)</x:f>
        <x:v>2</x:v>
      </x:c>
      <x:c r="K189" s="296" t="n">
        <x:f>COUNTIF(B189:F189,"&gt;31")</x:f>
        <x:v>3</x:v>
      </x:c>
      <x:c r="L189" s="336" t="n">
        <x:f>1/'Executive Summary'!$B$24</x:f>
        <x:v>7.1511238420185165e-9</x:v>
      </x:c>
      <x:c r="M189" s="342" t="n">
        <x:f>2.5</x:f>
        <x:v>2.5</x:v>
      </x:c>
      <x:c r="N189" s="288" t="str">
        <x:v>Conditional coverage wheel</x:v>
      </x:c>
    </x:row>
    <x:row r="190">
      <x:c r="A190" s="295" t="n">
        <x:v>186</x:v>
      </x:c>
      <x:c r="B190" s="296" t="n">
        <x:v>25</x:v>
      </x:c>
      <x:c r="C190" s="296" t="n">
        <x:v>27</x:v>
      </x:c>
      <x:c r="D190" s="296" t="n">
        <x:v>42</x:v>
      </x:c>
      <x:c r="E190" s="296" t="n">
        <x:v>44</x:v>
      </x:c>
      <x:c r="F190" s="296" t="n">
        <x:v>48</x:v>
      </x:c>
      <x:c r="G190" s="296" t="n">
        <x:v>4</x:v>
      </x:c>
      <x:c r="H190" s="296" t="n">
        <x:v>5</x:v>
      </x:c>
      <x:c r="I190" s="296" t="n">
        <x:f>SUM(B190:F190)</x:f>
        <x:v>186</x:v>
      </x:c>
      <x:c r="J190" s="296" t="n">
        <x:f>MOD(B190,2)+MOD(C190,2)+MOD(D190,2)+MOD(E190,2)+MOD(F190,2)</x:f>
        <x:v>2</x:v>
      </x:c>
      <x:c r="K190" s="296" t="n">
        <x:f>COUNTIF(B190:F190,"&gt;31")</x:f>
        <x:v>3</x:v>
      </x:c>
      <x:c r="L190" s="336" t="n">
        <x:f>1/'Executive Summary'!$B$24</x:f>
        <x:v>7.1511238420185165e-9</x:v>
      </x:c>
      <x:c r="M190" s="342" t="n">
        <x:f>2.5</x:f>
        <x:v>2.5</x:v>
      </x:c>
      <x:c r="N190" s="288" t="str">
        <x:v>Conditional coverage wheel</x:v>
      </x:c>
    </x:row>
    <x:row r="191">
      <x:c r="A191" s="295" t="n">
        <x:v>187</x:v>
      </x:c>
      <x:c r="B191" s="296" t="n">
        <x:v>25</x:v>
      </x:c>
      <x:c r="C191" s="296" t="n">
        <x:v>27</x:v>
      </x:c>
      <x:c r="D191" s="296" t="n">
        <x:v>42</x:v>
      </x:c>
      <x:c r="E191" s="296" t="n">
        <x:v>44</x:v>
      </x:c>
      <x:c r="F191" s="296" t="n">
        <x:v>48</x:v>
      </x:c>
      <x:c r="G191" s="296" t="n">
        <x:v>4</x:v>
      </x:c>
      <x:c r="H191" s="296" t="n">
        <x:v>7</x:v>
      </x:c>
      <x:c r="I191" s="296" t="n">
        <x:f>SUM(B191:F191)</x:f>
        <x:v>186</x:v>
      </x:c>
      <x:c r="J191" s="296" t="n">
        <x:f>MOD(B191,2)+MOD(C191,2)+MOD(D191,2)+MOD(E191,2)+MOD(F191,2)</x:f>
        <x:v>2</x:v>
      </x:c>
      <x:c r="K191" s="296" t="n">
        <x:f>COUNTIF(B191:F191,"&gt;31")</x:f>
        <x:v>3</x:v>
      </x:c>
      <x:c r="L191" s="336" t="n">
        <x:f>1/'Executive Summary'!$B$24</x:f>
        <x:v>7.1511238420185165e-9</x:v>
      </x:c>
      <x:c r="M191" s="342" t="n">
        <x:f>2.5</x:f>
        <x:v>2.5</x:v>
      </x:c>
      <x:c r="N191" s="288" t="str">
        <x:v>Conditional coverage wheel</x:v>
      </x:c>
    </x:row>
    <x:row r="192">
      <x:c r="A192" s="295" t="n">
        <x:v>188</x:v>
      </x:c>
      <x:c r="B192" s="296" t="n">
        <x:v>25</x:v>
      </x:c>
      <x:c r="C192" s="296" t="n">
        <x:v>27</x:v>
      </x:c>
      <x:c r="D192" s="296" t="n">
        <x:v>42</x:v>
      </x:c>
      <x:c r="E192" s="296" t="n">
        <x:v>44</x:v>
      </x:c>
      <x:c r="F192" s="296" t="n">
        <x:v>48</x:v>
      </x:c>
      <x:c r="G192" s="296" t="n">
        <x:v>4</x:v>
      </x:c>
      <x:c r="H192" s="296" t="n">
        <x:v>8</x:v>
      </x:c>
      <x:c r="I192" s="296" t="n">
        <x:f>SUM(B192:F192)</x:f>
        <x:v>186</x:v>
      </x:c>
      <x:c r="J192" s="296" t="n">
        <x:f>MOD(B192,2)+MOD(C192,2)+MOD(D192,2)+MOD(E192,2)+MOD(F192,2)</x:f>
        <x:v>2</x:v>
      </x:c>
      <x:c r="K192" s="296" t="n">
        <x:f>COUNTIF(B192:F192,"&gt;31")</x:f>
        <x:v>3</x:v>
      </x:c>
      <x:c r="L192" s="336" t="n">
        <x:f>1/'Executive Summary'!$B$24</x:f>
        <x:v>7.1511238420185165e-9</x:v>
      </x:c>
      <x:c r="M192" s="342" t="n">
        <x:f>2.5</x:f>
        <x:v>2.5</x:v>
      </x:c>
      <x:c r="N192" s="288" t="str">
        <x:v>Conditional coverage wheel</x:v>
      </x:c>
    </x:row>
    <x:row r="193">
      <x:c r="A193" s="295" t="n">
        <x:v>189</x:v>
      </x:c>
      <x:c r="B193" s="296" t="n">
        <x:v>25</x:v>
      </x:c>
      <x:c r="C193" s="296" t="n">
        <x:v>27</x:v>
      </x:c>
      <x:c r="D193" s="296" t="n">
        <x:v>42</x:v>
      </x:c>
      <x:c r="E193" s="296" t="n">
        <x:v>44</x:v>
      </x:c>
      <x:c r="F193" s="296" t="n">
        <x:v>48</x:v>
      </x:c>
      <x:c r="G193" s="296" t="n">
        <x:v>4</x:v>
      </x:c>
      <x:c r="H193" s="296" t="n">
        <x:v>9</x:v>
      </x:c>
      <x:c r="I193" s="296" t="n">
        <x:f>SUM(B193:F193)</x:f>
        <x:v>186</x:v>
      </x:c>
      <x:c r="J193" s="296" t="n">
        <x:f>MOD(B193,2)+MOD(C193,2)+MOD(D193,2)+MOD(E193,2)+MOD(F193,2)</x:f>
        <x:v>2</x:v>
      </x:c>
      <x:c r="K193" s="296" t="n">
        <x:f>COUNTIF(B193:F193,"&gt;31")</x:f>
        <x:v>3</x:v>
      </x:c>
      <x:c r="L193" s="336" t="n">
        <x:f>1/'Executive Summary'!$B$24</x:f>
        <x:v>7.1511238420185165e-9</x:v>
      </x:c>
      <x:c r="M193" s="342" t="n">
        <x:f>2.5</x:f>
        <x:v>2.5</x:v>
      </x:c>
      <x:c r="N193" s="288" t="str">
        <x:v>Conditional coverage wheel</x:v>
      </x:c>
    </x:row>
    <x:row r="194">
      <x:c r="A194" s="295" t="n">
        <x:v>190</x:v>
      </x:c>
      <x:c r="B194" s="296" t="n">
        <x:v>25</x:v>
      </x:c>
      <x:c r="C194" s="296" t="n">
        <x:v>27</x:v>
      </x:c>
      <x:c r="D194" s="296" t="n">
        <x:v>42</x:v>
      </x:c>
      <x:c r="E194" s="296" t="n">
        <x:v>44</x:v>
      </x:c>
      <x:c r="F194" s="296" t="n">
        <x:v>48</x:v>
      </x:c>
      <x:c r="G194" s="296" t="n">
        <x:v>5</x:v>
      </x:c>
      <x:c r="H194" s="296" t="n">
        <x:v>7</x:v>
      </x:c>
      <x:c r="I194" s="296" t="n">
        <x:f>SUM(B194:F194)</x:f>
        <x:v>186</x:v>
      </x:c>
      <x:c r="J194" s="296" t="n">
        <x:f>MOD(B194,2)+MOD(C194,2)+MOD(D194,2)+MOD(E194,2)+MOD(F194,2)</x:f>
        <x:v>2</x:v>
      </x:c>
      <x:c r="K194" s="296" t="n">
        <x:f>COUNTIF(B194:F194,"&gt;31")</x:f>
        <x:v>3</x:v>
      </x:c>
      <x:c r="L194" s="336" t="n">
        <x:f>1/'Executive Summary'!$B$24</x:f>
        <x:v>7.1511238420185165e-9</x:v>
      </x:c>
      <x:c r="M194" s="342" t="n">
        <x:f>2.5</x:f>
        <x:v>2.5</x:v>
      </x:c>
      <x:c r="N194" s="288" t="str">
        <x:v>Conditional coverage wheel</x:v>
      </x:c>
    </x:row>
    <x:row r="195">
      <x:c r="A195" s="295" t="n">
        <x:v>191</x:v>
      </x:c>
      <x:c r="B195" s="296" t="n">
        <x:v>25</x:v>
      </x:c>
      <x:c r="C195" s="296" t="n">
        <x:v>27</x:v>
      </x:c>
      <x:c r="D195" s="296" t="n">
        <x:v>42</x:v>
      </x:c>
      <x:c r="E195" s="296" t="n">
        <x:v>44</x:v>
      </x:c>
      <x:c r="F195" s="296" t="n">
        <x:v>48</x:v>
      </x:c>
      <x:c r="G195" s="296" t="n">
        <x:v>5</x:v>
      </x:c>
      <x:c r="H195" s="296" t="n">
        <x:v>8</x:v>
      </x:c>
      <x:c r="I195" s="296" t="n">
        <x:f>SUM(B195:F195)</x:f>
        <x:v>186</x:v>
      </x:c>
      <x:c r="J195" s="296" t="n">
        <x:f>MOD(B195,2)+MOD(C195,2)+MOD(D195,2)+MOD(E195,2)+MOD(F195,2)</x:f>
        <x:v>2</x:v>
      </x:c>
      <x:c r="K195" s="296" t="n">
        <x:f>COUNTIF(B195:F195,"&gt;31")</x:f>
        <x:v>3</x:v>
      </x:c>
      <x:c r="L195" s="336" t="n">
        <x:f>1/'Executive Summary'!$B$24</x:f>
        <x:v>7.1511238420185165e-9</x:v>
      </x:c>
      <x:c r="M195" s="342" t="n">
        <x:f>2.5</x:f>
        <x:v>2.5</x:v>
      </x:c>
      <x:c r="N195" s="288" t="str">
        <x:v>Conditional coverage wheel</x:v>
      </x:c>
    </x:row>
    <x:row r="196">
      <x:c r="A196" s="295" t="n">
        <x:v>192</x:v>
      </x:c>
      <x:c r="B196" s="296" t="n">
        <x:v>25</x:v>
      </x:c>
      <x:c r="C196" s="296" t="n">
        <x:v>27</x:v>
      </x:c>
      <x:c r="D196" s="296" t="n">
        <x:v>42</x:v>
      </x:c>
      <x:c r="E196" s="296" t="n">
        <x:v>44</x:v>
      </x:c>
      <x:c r="F196" s="296" t="n">
        <x:v>48</x:v>
      </x:c>
      <x:c r="G196" s="296" t="n">
        <x:v>5</x:v>
      </x:c>
      <x:c r="H196" s="296" t="n">
        <x:v>9</x:v>
      </x:c>
      <x:c r="I196" s="296" t="n">
        <x:f>SUM(B196:F196)</x:f>
        <x:v>186</x:v>
      </x:c>
      <x:c r="J196" s="296" t="n">
        <x:f>MOD(B196,2)+MOD(C196,2)+MOD(D196,2)+MOD(E196,2)+MOD(F196,2)</x:f>
        <x:v>2</x:v>
      </x:c>
      <x:c r="K196" s="296" t="n">
        <x:f>COUNTIF(B196:F196,"&gt;31")</x:f>
        <x:v>3</x:v>
      </x:c>
      <x:c r="L196" s="336" t="n">
        <x:f>1/'Executive Summary'!$B$24</x:f>
        <x:v>7.1511238420185165e-9</x:v>
      </x:c>
      <x:c r="M196" s="342" t="n">
        <x:f>2.5</x:f>
        <x:v>2.5</x:v>
      </x:c>
      <x:c r="N196" s="288" t="str">
        <x:v>Conditional coverage wheel</x:v>
      </x:c>
    </x:row>
    <x:row r="197">
      <x:c r="A197" s="295" t="n">
        <x:v>193</x:v>
      </x:c>
      <x:c r="B197" s="296" t="n">
        <x:v>25</x:v>
      </x:c>
      <x:c r="C197" s="296" t="n">
        <x:v>27</x:v>
      </x:c>
      <x:c r="D197" s="296" t="n">
        <x:v>42</x:v>
      </x:c>
      <x:c r="E197" s="296" t="n">
        <x:v>44</x:v>
      </x:c>
      <x:c r="F197" s="296" t="n">
        <x:v>48</x:v>
      </x:c>
      <x:c r="G197" s="296" t="n">
        <x:v>7</x:v>
      </x:c>
      <x:c r="H197" s="296" t="n">
        <x:v>8</x:v>
      </x:c>
      <x:c r="I197" s="296" t="n">
        <x:f>SUM(B197:F197)</x:f>
        <x:v>186</x:v>
      </x:c>
      <x:c r="J197" s="296" t="n">
        <x:f>MOD(B197,2)+MOD(C197,2)+MOD(D197,2)+MOD(E197,2)+MOD(F197,2)</x:f>
        <x:v>2</x:v>
      </x:c>
      <x:c r="K197" s="296" t="n">
        <x:f>COUNTIF(B197:F197,"&gt;31")</x:f>
        <x:v>3</x:v>
      </x:c>
      <x:c r="L197" s="336" t="n">
        <x:f>1/'Executive Summary'!$B$24</x:f>
        <x:v>7.1511238420185165e-9</x:v>
      </x:c>
      <x:c r="M197" s="342" t="n">
        <x:f>2.5</x:f>
        <x:v>2.5</x:v>
      </x:c>
      <x:c r="N197" s="288" t="str">
        <x:v>Conditional coverage wheel</x:v>
      </x:c>
    </x:row>
    <x:row r="198">
      <x:c r="A198" s="295" t="n">
        <x:v>194</x:v>
      </x:c>
      <x:c r="B198" s="296" t="n">
        <x:v>25</x:v>
      </x:c>
      <x:c r="C198" s="296" t="n">
        <x:v>27</x:v>
      </x:c>
      <x:c r="D198" s="296" t="n">
        <x:v>42</x:v>
      </x:c>
      <x:c r="E198" s="296" t="n">
        <x:v>44</x:v>
      </x:c>
      <x:c r="F198" s="296" t="n">
        <x:v>48</x:v>
      </x:c>
      <x:c r="G198" s="296" t="n">
        <x:v>7</x:v>
      </x:c>
      <x:c r="H198" s="296" t="n">
        <x:v>9</x:v>
      </x:c>
      <x:c r="I198" s="296" t="n">
        <x:f>SUM(B198:F198)</x:f>
        <x:v>186</x:v>
      </x:c>
      <x:c r="J198" s="296" t="n">
        <x:f>MOD(B198,2)+MOD(C198,2)+MOD(D198,2)+MOD(E198,2)+MOD(F198,2)</x:f>
        <x:v>2</x:v>
      </x:c>
      <x:c r="K198" s="296" t="n">
        <x:f>COUNTIF(B198:F198,"&gt;31")</x:f>
        <x:v>3</x:v>
      </x:c>
      <x:c r="L198" s="336" t="n">
        <x:f>1/'Executive Summary'!$B$24</x:f>
        <x:v>7.1511238420185165e-9</x:v>
      </x:c>
      <x:c r="M198" s="342" t="n">
        <x:f>2.5</x:f>
        <x:v>2.5</x:v>
      </x:c>
      <x:c r="N198" s="288" t="str">
        <x:v>Conditional coverage wheel</x:v>
      </x:c>
    </x:row>
    <x:row r="199">
      <x:c r="A199" s="295" t="n">
        <x:v>195</x:v>
      </x:c>
      <x:c r="B199" s="296" t="n">
        <x:v>25</x:v>
      </x:c>
      <x:c r="C199" s="296" t="n">
        <x:v>27</x:v>
      </x:c>
      <x:c r="D199" s="296" t="n">
        <x:v>42</x:v>
      </x:c>
      <x:c r="E199" s="296" t="n">
        <x:v>44</x:v>
      </x:c>
      <x:c r="F199" s="296" t="n">
        <x:v>48</x:v>
      </x:c>
      <x:c r="G199" s="296" t="n">
        <x:v>8</x:v>
      </x:c>
      <x:c r="H199" s="296" t="n">
        <x:v>9</x:v>
      </x:c>
      <x:c r="I199" s="296" t="n">
        <x:f>SUM(B199:F199)</x:f>
        <x:v>186</x:v>
      </x:c>
      <x:c r="J199" s="296" t="n">
        <x:f>MOD(B199,2)+MOD(C199,2)+MOD(D199,2)+MOD(E199,2)+MOD(F199,2)</x:f>
        <x:v>2</x:v>
      </x:c>
      <x:c r="K199" s="296" t="n">
        <x:f>COUNTIF(B199:F199,"&gt;31")</x:f>
        <x:v>3</x:v>
      </x:c>
      <x:c r="L199" s="336" t="n">
        <x:f>1/'Executive Summary'!$B$24</x:f>
        <x:v>7.1511238420185165e-9</x:v>
      </x:c>
      <x:c r="M199" s="342" t="n">
        <x:f>2.5</x:f>
        <x:v>2.5</x:v>
      </x:c>
      <x:c r="N199" s="288" t="str">
        <x:v>Conditional coverage wheel</x:v>
      </x:c>
    </x:row>
    <x:row r="200">
      <x:c r="A200" s="295" t="n">
        <x:v>196</x:v>
      </x:c>
      <x:c r="B200" s="296" t="n">
        <x:v>35</x:v>
      </x:c>
      <x:c r="C200" s="296" t="n">
        <x:v>36</x:v>
      </x:c>
      <x:c r="D200" s="296" t="n">
        <x:v>42</x:v>
      </x:c>
      <x:c r="E200" s="296" t="n">
        <x:v>44</x:v>
      </x:c>
      <x:c r="F200" s="296" t="n">
        <x:v>48</x:v>
      </x:c>
      <x:c r="G200" s="296" t="n">
        <x:v>3</x:v>
      </x:c>
      <x:c r="H200" s="296" t="n">
        <x:v>4</x:v>
      </x:c>
      <x:c r="I200" s="296" t="n">
        <x:f>SUM(B200:F200)</x:f>
        <x:v>205</x:v>
      </x:c>
      <x:c r="J200" s="296" t="n">
        <x:f>MOD(B200,2)+MOD(C200,2)+MOD(D200,2)+MOD(E200,2)+MOD(F200,2)</x:f>
        <x:v>1</x:v>
      </x:c>
      <x:c r="K200" s="296" t="n">
        <x:f>COUNTIF(B200:F200,"&gt;31")</x:f>
        <x:v>5</x:v>
      </x:c>
      <x:c r="L200" s="336" t="n">
        <x:f>1/'Executive Summary'!$B$24</x:f>
        <x:v>7.1511238420185165e-9</x:v>
      </x:c>
      <x:c r="M200" s="342" t="n">
        <x:f>2.5</x:f>
        <x:v>2.5</x:v>
      </x:c>
      <x:c r="N200" s="288" t="str">
        <x:v>Conditional coverage wheel</x:v>
      </x:c>
    </x:row>
    <x:row r="201">
      <x:c r="A201" s="295" t="n">
        <x:v>197</x:v>
      </x:c>
      <x:c r="B201" s="296" t="n">
        <x:v>35</x:v>
      </x:c>
      <x:c r="C201" s="296" t="n">
        <x:v>36</x:v>
      </x:c>
      <x:c r="D201" s="296" t="n">
        <x:v>42</x:v>
      </x:c>
      <x:c r="E201" s="296" t="n">
        <x:v>44</x:v>
      </x:c>
      <x:c r="F201" s="296" t="n">
        <x:v>48</x:v>
      </x:c>
      <x:c r="G201" s="296" t="n">
        <x:v>3</x:v>
      </x:c>
      <x:c r="H201" s="296" t="n">
        <x:v>5</x:v>
      </x:c>
      <x:c r="I201" s="296" t="n">
        <x:f>SUM(B201:F201)</x:f>
        <x:v>205</x:v>
      </x:c>
      <x:c r="J201" s="296" t="n">
        <x:f>MOD(B201,2)+MOD(C201,2)+MOD(D201,2)+MOD(E201,2)+MOD(F201,2)</x:f>
        <x:v>1</x:v>
      </x:c>
      <x:c r="K201" s="296" t="n">
        <x:f>COUNTIF(B201:F201,"&gt;31")</x:f>
        <x:v>5</x:v>
      </x:c>
      <x:c r="L201" s="336" t="n">
        <x:f>1/'Executive Summary'!$B$24</x:f>
        <x:v>7.1511238420185165e-9</x:v>
      </x:c>
      <x:c r="M201" s="342" t="n">
        <x:f>2.5</x:f>
        <x:v>2.5</x:v>
      </x:c>
      <x:c r="N201" s="288" t="str">
        <x:v>Conditional coverage wheel</x:v>
      </x:c>
    </x:row>
    <x:row r="202">
      <x:c r="A202" s="295" t="n">
        <x:v>198</x:v>
      </x:c>
      <x:c r="B202" s="296" t="n">
        <x:v>35</x:v>
      </x:c>
      <x:c r="C202" s="296" t="n">
        <x:v>36</x:v>
      </x:c>
      <x:c r="D202" s="296" t="n">
        <x:v>42</x:v>
      </x:c>
      <x:c r="E202" s="296" t="n">
        <x:v>44</x:v>
      </x:c>
      <x:c r="F202" s="296" t="n">
        <x:v>48</x:v>
      </x:c>
      <x:c r="G202" s="296" t="n">
        <x:v>3</x:v>
      </x:c>
      <x:c r="H202" s="296" t="n">
        <x:v>7</x:v>
      </x:c>
      <x:c r="I202" s="296" t="n">
        <x:f>SUM(B202:F202)</x:f>
        <x:v>205</x:v>
      </x:c>
      <x:c r="J202" s="296" t="n">
        <x:f>MOD(B202,2)+MOD(C202,2)+MOD(D202,2)+MOD(E202,2)+MOD(F202,2)</x:f>
        <x:v>1</x:v>
      </x:c>
      <x:c r="K202" s="296" t="n">
        <x:f>COUNTIF(B202:F202,"&gt;31")</x:f>
        <x:v>5</x:v>
      </x:c>
      <x:c r="L202" s="336" t="n">
        <x:f>1/'Executive Summary'!$B$24</x:f>
        <x:v>7.1511238420185165e-9</x:v>
      </x:c>
      <x:c r="M202" s="342" t="n">
        <x:f>2.5</x:f>
        <x:v>2.5</x:v>
      </x:c>
      <x:c r="N202" s="288" t="str">
        <x:v>Conditional coverage wheel</x:v>
      </x:c>
    </x:row>
    <x:row r="203">
      <x:c r="A203" s="295" t="n">
        <x:v>199</x:v>
      </x:c>
      <x:c r="B203" s="296" t="n">
        <x:v>35</x:v>
      </x:c>
      <x:c r="C203" s="296" t="n">
        <x:v>36</x:v>
      </x:c>
      <x:c r="D203" s="296" t="n">
        <x:v>42</x:v>
      </x:c>
      <x:c r="E203" s="296" t="n">
        <x:v>44</x:v>
      </x:c>
      <x:c r="F203" s="296" t="n">
        <x:v>48</x:v>
      </x:c>
      <x:c r="G203" s="296" t="n">
        <x:v>3</x:v>
      </x:c>
      <x:c r="H203" s="296" t="n">
        <x:v>8</x:v>
      </x:c>
      <x:c r="I203" s="296" t="n">
        <x:f>SUM(B203:F203)</x:f>
        <x:v>205</x:v>
      </x:c>
      <x:c r="J203" s="296" t="n">
        <x:f>MOD(B203,2)+MOD(C203,2)+MOD(D203,2)+MOD(E203,2)+MOD(F203,2)</x:f>
        <x:v>1</x:v>
      </x:c>
      <x:c r="K203" s="296" t="n">
        <x:f>COUNTIF(B203:F203,"&gt;31")</x:f>
        <x:v>5</x:v>
      </x:c>
      <x:c r="L203" s="336" t="n">
        <x:f>1/'Executive Summary'!$B$24</x:f>
        <x:v>7.1511238420185165e-9</x:v>
      </x:c>
      <x:c r="M203" s="342" t="n">
        <x:f>2.5</x:f>
        <x:v>2.5</x:v>
      </x:c>
      <x:c r="N203" s="288" t="str">
        <x:v>Conditional coverage wheel</x:v>
      </x:c>
    </x:row>
    <x:row r="204">
      <x:c r="A204" s="295" t="n">
        <x:v>200</x:v>
      </x:c>
      <x:c r="B204" s="296" t="n">
        <x:v>35</x:v>
      </x:c>
      <x:c r="C204" s="296" t="n">
        <x:v>36</x:v>
      </x:c>
      <x:c r="D204" s="296" t="n">
        <x:v>42</x:v>
      </x:c>
      <x:c r="E204" s="296" t="n">
        <x:v>44</x:v>
      </x:c>
      <x:c r="F204" s="296" t="n">
        <x:v>48</x:v>
      </x:c>
      <x:c r="G204" s="296" t="n">
        <x:v>3</x:v>
      </x:c>
      <x:c r="H204" s="296" t="n">
        <x:v>9</x:v>
      </x:c>
      <x:c r="I204" s="296" t="n">
        <x:f>SUM(B204:F204)</x:f>
        <x:v>205</x:v>
      </x:c>
      <x:c r="J204" s="296" t="n">
        <x:f>MOD(B204,2)+MOD(C204,2)+MOD(D204,2)+MOD(E204,2)+MOD(F204,2)</x:f>
        <x:v>1</x:v>
      </x:c>
      <x:c r="K204" s="296" t="n">
        <x:f>COUNTIF(B204:F204,"&gt;31")</x:f>
        <x:v>5</x:v>
      </x:c>
      <x:c r="L204" s="336" t="n">
        <x:f>1/'Executive Summary'!$B$24</x:f>
        <x:v>7.1511238420185165e-9</x:v>
      </x:c>
      <x:c r="M204" s="342" t="n">
        <x:f>2.5</x:f>
        <x:v>2.5</x:v>
      </x:c>
      <x:c r="N204" s="288" t="str">
        <x:v>Conditional coverage wheel</x:v>
      </x:c>
    </x:row>
    <x:row r="205">
      <x:c r="A205" s="295" t="n">
        <x:v>201</x:v>
      </x:c>
      <x:c r="B205" s="296" t="n">
        <x:v>35</x:v>
      </x:c>
      <x:c r="C205" s="296" t="n">
        <x:v>36</x:v>
      </x:c>
      <x:c r="D205" s="296" t="n">
        <x:v>42</x:v>
      </x:c>
      <x:c r="E205" s="296" t="n">
        <x:v>44</x:v>
      </x:c>
      <x:c r="F205" s="296" t="n">
        <x:v>48</x:v>
      </x:c>
      <x:c r="G205" s="296" t="n">
        <x:v>4</x:v>
      </x:c>
      <x:c r="H205" s="296" t="n">
        <x:v>5</x:v>
      </x:c>
      <x:c r="I205" s="296" t="n">
        <x:f>SUM(B205:F205)</x:f>
        <x:v>205</x:v>
      </x:c>
      <x:c r="J205" s="296" t="n">
        <x:f>MOD(B205,2)+MOD(C205,2)+MOD(D205,2)+MOD(E205,2)+MOD(F205,2)</x:f>
        <x:v>1</x:v>
      </x:c>
      <x:c r="K205" s="296" t="n">
        <x:f>COUNTIF(B205:F205,"&gt;31")</x:f>
        <x:v>5</x:v>
      </x:c>
      <x:c r="L205" s="336" t="n">
        <x:f>1/'Executive Summary'!$B$24</x:f>
        <x:v>7.1511238420185165e-9</x:v>
      </x:c>
      <x:c r="M205" s="342" t="n">
        <x:f>2.5</x:f>
        <x:v>2.5</x:v>
      </x:c>
      <x:c r="N205" s="288" t="str">
        <x:v>Conditional coverage wheel</x:v>
      </x:c>
    </x:row>
    <x:row r="206">
      <x:c r="A206" s="295" t="n">
        <x:v>202</x:v>
      </x:c>
      <x:c r="B206" s="296" t="n">
        <x:v>35</x:v>
      </x:c>
      <x:c r="C206" s="296" t="n">
        <x:v>36</x:v>
      </x:c>
      <x:c r="D206" s="296" t="n">
        <x:v>42</x:v>
      </x:c>
      <x:c r="E206" s="296" t="n">
        <x:v>44</x:v>
      </x:c>
      <x:c r="F206" s="296" t="n">
        <x:v>48</x:v>
      </x:c>
      <x:c r="G206" s="296" t="n">
        <x:v>4</x:v>
      </x:c>
      <x:c r="H206" s="296" t="n">
        <x:v>7</x:v>
      </x:c>
      <x:c r="I206" s="296" t="n">
        <x:f>SUM(B206:F206)</x:f>
        <x:v>205</x:v>
      </x:c>
      <x:c r="J206" s="296" t="n">
        <x:f>MOD(B206,2)+MOD(C206,2)+MOD(D206,2)+MOD(E206,2)+MOD(F206,2)</x:f>
        <x:v>1</x:v>
      </x:c>
      <x:c r="K206" s="296" t="n">
        <x:f>COUNTIF(B206:F206,"&gt;31")</x:f>
        <x:v>5</x:v>
      </x:c>
      <x:c r="L206" s="336" t="n">
        <x:f>1/'Executive Summary'!$B$24</x:f>
        <x:v>7.1511238420185165e-9</x:v>
      </x:c>
      <x:c r="M206" s="342" t="n">
        <x:f>2.5</x:f>
        <x:v>2.5</x:v>
      </x:c>
      <x:c r="N206" s="288" t="str">
        <x:v>Conditional coverage wheel</x:v>
      </x:c>
    </x:row>
    <x:row r="207">
      <x:c r="A207" s="295" t="n">
        <x:v>203</x:v>
      </x:c>
      <x:c r="B207" s="296" t="n">
        <x:v>35</x:v>
      </x:c>
      <x:c r="C207" s="296" t="n">
        <x:v>36</x:v>
      </x:c>
      <x:c r="D207" s="296" t="n">
        <x:v>42</x:v>
      </x:c>
      <x:c r="E207" s="296" t="n">
        <x:v>44</x:v>
      </x:c>
      <x:c r="F207" s="296" t="n">
        <x:v>48</x:v>
      </x:c>
      <x:c r="G207" s="296" t="n">
        <x:v>4</x:v>
      </x:c>
      <x:c r="H207" s="296" t="n">
        <x:v>8</x:v>
      </x:c>
      <x:c r="I207" s="296" t="n">
        <x:f>SUM(B207:F207)</x:f>
        <x:v>205</x:v>
      </x:c>
      <x:c r="J207" s="296" t="n">
        <x:f>MOD(B207,2)+MOD(C207,2)+MOD(D207,2)+MOD(E207,2)+MOD(F207,2)</x:f>
        <x:v>1</x:v>
      </x:c>
      <x:c r="K207" s="296" t="n">
        <x:f>COUNTIF(B207:F207,"&gt;31")</x:f>
        <x:v>5</x:v>
      </x:c>
      <x:c r="L207" s="336" t="n">
        <x:f>1/'Executive Summary'!$B$24</x:f>
        <x:v>7.1511238420185165e-9</x:v>
      </x:c>
      <x:c r="M207" s="342" t="n">
        <x:f>2.5</x:f>
        <x:v>2.5</x:v>
      </x:c>
      <x:c r="N207" s="288" t="str">
        <x:v>Conditional coverage wheel</x:v>
      </x:c>
    </x:row>
    <x:row r="208">
      <x:c r="A208" s="295" t="n">
        <x:v>204</x:v>
      </x:c>
      <x:c r="B208" s="296" t="n">
        <x:v>35</x:v>
      </x:c>
      <x:c r="C208" s="296" t="n">
        <x:v>36</x:v>
      </x:c>
      <x:c r="D208" s="296" t="n">
        <x:v>42</x:v>
      </x:c>
      <x:c r="E208" s="296" t="n">
        <x:v>44</x:v>
      </x:c>
      <x:c r="F208" s="296" t="n">
        <x:v>48</x:v>
      </x:c>
      <x:c r="G208" s="296" t="n">
        <x:v>4</x:v>
      </x:c>
      <x:c r="H208" s="296" t="n">
        <x:v>9</x:v>
      </x:c>
      <x:c r="I208" s="296" t="n">
        <x:f>SUM(B208:F208)</x:f>
        <x:v>205</x:v>
      </x:c>
      <x:c r="J208" s="296" t="n">
        <x:f>MOD(B208,2)+MOD(C208,2)+MOD(D208,2)+MOD(E208,2)+MOD(F208,2)</x:f>
        <x:v>1</x:v>
      </x:c>
      <x:c r="K208" s="296" t="n">
        <x:f>COUNTIF(B208:F208,"&gt;31")</x:f>
        <x:v>5</x:v>
      </x:c>
      <x:c r="L208" s="336" t="n">
        <x:f>1/'Executive Summary'!$B$24</x:f>
        <x:v>7.1511238420185165e-9</x:v>
      </x:c>
      <x:c r="M208" s="342" t="n">
        <x:f>2.5</x:f>
        <x:v>2.5</x:v>
      </x:c>
      <x:c r="N208" s="288" t="str">
        <x:v>Conditional coverage wheel</x:v>
      </x:c>
    </x:row>
    <x:row r="209">
      <x:c r="A209" s="295" t="n">
        <x:v>205</x:v>
      </x:c>
      <x:c r="B209" s="296" t="n">
        <x:v>35</x:v>
      </x:c>
      <x:c r="C209" s="296" t="n">
        <x:v>36</x:v>
      </x:c>
      <x:c r="D209" s="296" t="n">
        <x:v>42</x:v>
      </x:c>
      <x:c r="E209" s="296" t="n">
        <x:v>44</x:v>
      </x:c>
      <x:c r="F209" s="296" t="n">
        <x:v>48</x:v>
      </x:c>
      <x:c r="G209" s="296" t="n">
        <x:v>5</x:v>
      </x:c>
      <x:c r="H209" s="296" t="n">
        <x:v>7</x:v>
      </x:c>
      <x:c r="I209" s="296" t="n">
        <x:f>SUM(B209:F209)</x:f>
        <x:v>205</x:v>
      </x:c>
      <x:c r="J209" s="296" t="n">
        <x:f>MOD(B209,2)+MOD(C209,2)+MOD(D209,2)+MOD(E209,2)+MOD(F209,2)</x:f>
        <x:v>1</x:v>
      </x:c>
      <x:c r="K209" s="296" t="n">
        <x:f>COUNTIF(B209:F209,"&gt;31")</x:f>
        <x:v>5</x:v>
      </x:c>
      <x:c r="L209" s="336" t="n">
        <x:f>1/'Executive Summary'!$B$24</x:f>
        <x:v>7.1511238420185165e-9</x:v>
      </x:c>
      <x:c r="M209" s="342" t="n">
        <x:f>2.5</x:f>
        <x:v>2.5</x:v>
      </x:c>
      <x:c r="N209" s="288" t="str">
        <x:v>Conditional coverage wheel</x:v>
      </x:c>
    </x:row>
    <x:row r="210">
      <x:c r="A210" s="295" t="n">
        <x:v>206</x:v>
      </x:c>
      <x:c r="B210" s="296" t="n">
        <x:v>35</x:v>
      </x:c>
      <x:c r="C210" s="296" t="n">
        <x:v>36</x:v>
      </x:c>
      <x:c r="D210" s="296" t="n">
        <x:v>42</x:v>
      </x:c>
      <x:c r="E210" s="296" t="n">
        <x:v>44</x:v>
      </x:c>
      <x:c r="F210" s="296" t="n">
        <x:v>48</x:v>
      </x:c>
      <x:c r="G210" s="296" t="n">
        <x:v>5</x:v>
      </x:c>
      <x:c r="H210" s="296" t="n">
        <x:v>8</x:v>
      </x:c>
      <x:c r="I210" s="296" t="n">
        <x:f>SUM(B210:F210)</x:f>
        <x:v>205</x:v>
      </x:c>
      <x:c r="J210" s="296" t="n">
        <x:f>MOD(B210,2)+MOD(C210,2)+MOD(D210,2)+MOD(E210,2)+MOD(F210,2)</x:f>
        <x:v>1</x:v>
      </x:c>
      <x:c r="K210" s="296" t="n">
        <x:f>COUNTIF(B210:F210,"&gt;31")</x:f>
        <x:v>5</x:v>
      </x:c>
      <x:c r="L210" s="336" t="n">
        <x:f>1/'Executive Summary'!$B$24</x:f>
        <x:v>7.1511238420185165e-9</x:v>
      </x:c>
      <x:c r="M210" s="342" t="n">
        <x:f>2.5</x:f>
        <x:v>2.5</x:v>
      </x:c>
      <x:c r="N210" s="288" t="str">
        <x:v>Conditional coverage wheel</x:v>
      </x:c>
    </x:row>
    <x:row r="211">
      <x:c r="A211" s="295" t="n">
        <x:v>207</x:v>
      </x:c>
      <x:c r="B211" s="296" t="n">
        <x:v>35</x:v>
      </x:c>
      <x:c r="C211" s="296" t="n">
        <x:v>36</x:v>
      </x:c>
      <x:c r="D211" s="296" t="n">
        <x:v>42</x:v>
      </x:c>
      <x:c r="E211" s="296" t="n">
        <x:v>44</x:v>
      </x:c>
      <x:c r="F211" s="296" t="n">
        <x:v>48</x:v>
      </x:c>
      <x:c r="G211" s="296" t="n">
        <x:v>5</x:v>
      </x:c>
      <x:c r="H211" s="296" t="n">
        <x:v>9</x:v>
      </x:c>
      <x:c r="I211" s="296" t="n">
        <x:f>SUM(B211:F211)</x:f>
        <x:v>205</x:v>
      </x:c>
      <x:c r="J211" s="296" t="n">
        <x:f>MOD(B211,2)+MOD(C211,2)+MOD(D211,2)+MOD(E211,2)+MOD(F211,2)</x:f>
        <x:v>1</x:v>
      </x:c>
      <x:c r="K211" s="296" t="n">
        <x:f>COUNTIF(B211:F211,"&gt;31")</x:f>
        <x:v>5</x:v>
      </x:c>
      <x:c r="L211" s="336" t="n">
        <x:f>1/'Executive Summary'!$B$24</x:f>
        <x:v>7.1511238420185165e-9</x:v>
      </x:c>
      <x:c r="M211" s="342" t="n">
        <x:f>2.5</x:f>
        <x:v>2.5</x:v>
      </x:c>
      <x:c r="N211" s="288" t="str">
        <x:v>Conditional coverage wheel</x:v>
      </x:c>
    </x:row>
    <x:row r="212">
      <x:c r="A212" s="295" t="n">
        <x:v>208</x:v>
      </x:c>
      <x:c r="B212" s="296" t="n">
        <x:v>35</x:v>
      </x:c>
      <x:c r="C212" s="296" t="n">
        <x:v>36</x:v>
      </x:c>
      <x:c r="D212" s="296" t="n">
        <x:v>42</x:v>
      </x:c>
      <x:c r="E212" s="296" t="n">
        <x:v>44</x:v>
      </x:c>
      <x:c r="F212" s="296" t="n">
        <x:v>48</x:v>
      </x:c>
      <x:c r="G212" s="296" t="n">
        <x:v>7</x:v>
      </x:c>
      <x:c r="H212" s="296" t="n">
        <x:v>8</x:v>
      </x:c>
      <x:c r="I212" s="296" t="n">
        <x:f>SUM(B212:F212)</x:f>
        <x:v>205</x:v>
      </x:c>
      <x:c r="J212" s="296" t="n">
        <x:f>MOD(B212,2)+MOD(C212,2)+MOD(D212,2)+MOD(E212,2)+MOD(F212,2)</x:f>
        <x:v>1</x:v>
      </x:c>
      <x:c r="K212" s="296" t="n">
        <x:f>COUNTIF(B212:F212,"&gt;31")</x:f>
        <x:v>5</x:v>
      </x:c>
      <x:c r="L212" s="336" t="n">
        <x:f>1/'Executive Summary'!$B$24</x:f>
        <x:v>7.1511238420185165e-9</x:v>
      </x:c>
      <x:c r="M212" s="342" t="n">
        <x:f>2.5</x:f>
        <x:v>2.5</x:v>
      </x:c>
      <x:c r="N212" s="288" t="str">
        <x:v>Conditional coverage wheel</x:v>
      </x:c>
    </x:row>
    <x:row r="213">
      <x:c r="A213" s="295" t="n">
        <x:v>209</x:v>
      </x:c>
      <x:c r="B213" s="296" t="n">
        <x:v>35</x:v>
      </x:c>
      <x:c r="C213" s="296" t="n">
        <x:v>36</x:v>
      </x:c>
      <x:c r="D213" s="296" t="n">
        <x:v>42</x:v>
      </x:c>
      <x:c r="E213" s="296" t="n">
        <x:v>44</x:v>
      </x:c>
      <x:c r="F213" s="296" t="n">
        <x:v>48</x:v>
      </x:c>
      <x:c r="G213" s="296" t="n">
        <x:v>7</x:v>
      </x:c>
      <x:c r="H213" s="296" t="n">
        <x:v>9</x:v>
      </x:c>
      <x:c r="I213" s="296" t="n">
        <x:f>SUM(B213:F213)</x:f>
        <x:v>205</x:v>
      </x:c>
      <x:c r="J213" s="296" t="n">
        <x:f>MOD(B213,2)+MOD(C213,2)+MOD(D213,2)+MOD(E213,2)+MOD(F213,2)</x:f>
        <x:v>1</x:v>
      </x:c>
      <x:c r="K213" s="296" t="n">
        <x:f>COUNTIF(B213:F213,"&gt;31")</x:f>
        <x:v>5</x:v>
      </x:c>
      <x:c r="L213" s="336" t="n">
        <x:f>1/'Executive Summary'!$B$24</x:f>
        <x:v>7.1511238420185165e-9</x:v>
      </x:c>
      <x:c r="M213" s="342" t="n">
        <x:f>2.5</x:f>
        <x:v>2.5</x:v>
      </x:c>
      <x:c r="N213" s="288" t="str">
        <x:v>Conditional coverage wheel</x:v>
      </x:c>
    </x:row>
    <x:row r="214">
      <x:c r="A214" s="295" t="n">
        <x:v>210</x:v>
      </x:c>
      <x:c r="B214" s="296" t="n">
        <x:v>35</x:v>
      </x:c>
      <x:c r="C214" s="296" t="n">
        <x:v>36</x:v>
      </x:c>
      <x:c r="D214" s="296" t="n">
        <x:v>42</x:v>
      </x:c>
      <x:c r="E214" s="296" t="n">
        <x:v>44</x:v>
      </x:c>
      <x:c r="F214" s="296" t="n">
        <x:v>48</x:v>
      </x:c>
      <x:c r="G214" s="296" t="n">
        <x:v>8</x:v>
      </x:c>
      <x:c r="H214" s="296" t="n">
        <x:v>9</x:v>
      </x:c>
      <x:c r="I214" s="296" t="n">
        <x:f>SUM(B214:F214)</x:f>
        <x:v>205</x:v>
      </x:c>
      <x:c r="J214" s="296" t="n">
        <x:f>MOD(B214,2)+MOD(C214,2)+MOD(D214,2)+MOD(E214,2)+MOD(F214,2)</x:f>
        <x:v>1</x:v>
      </x:c>
      <x:c r="K214" s="296" t="n">
        <x:f>COUNTIF(B214:F214,"&gt;31")</x:f>
        <x:v>5</x:v>
      </x:c>
      <x:c r="L214" s="336" t="n">
        <x:f>1/'Executive Summary'!$B$24</x:f>
        <x:v>7.1511238420185165e-9</x:v>
      </x:c>
      <x:c r="M214" s="342" t="n">
        <x:f>2.5</x:f>
        <x:v>2.5</x:v>
      </x:c>
      <x:c r="N214" s="288" t="str">
        <x:v>Conditional coverage wheel</x:v>
      </x:c>
    </x:row>
    <x:row r="215">
      <x:c r="A215" s="295" t="n">
        <x:v>211</x:v>
      </x:c>
      <x:c r="B215" s="296" t="n">
        <x:v>4</x:v>
      </x:c>
      <x:c r="C215" s="296" t="n">
        <x:v>25</x:v>
      </x:c>
      <x:c r="D215" s="296" t="n">
        <x:v>28</x:v>
      </x:c>
      <x:c r="E215" s="296" t="n">
        <x:v>36</x:v>
      </x:c>
      <x:c r="F215" s="296" t="n">
        <x:v>44</x:v>
      </x:c>
      <x:c r="G215" s="296" t="n">
        <x:v>3</x:v>
      </x:c>
      <x:c r="H215" s="296" t="n">
        <x:v>4</x:v>
      </x:c>
      <x:c r="I215" s="296" t="n">
        <x:f>SUM(B215:F215)</x:f>
        <x:v>137</x:v>
      </x:c>
      <x:c r="J215" s="296" t="n">
        <x:f>MOD(B215,2)+MOD(C215,2)+MOD(D215,2)+MOD(E215,2)+MOD(F215,2)</x:f>
        <x:v>1</x:v>
      </x:c>
      <x:c r="K215" s="296" t="n">
        <x:f>COUNTIF(B215:F215,"&gt;31")</x:f>
        <x:v>2</x:v>
      </x:c>
      <x:c r="L215" s="336" t="n">
        <x:f>1/'Executive Summary'!$B$24</x:f>
        <x:v>7.1511238420185165e-9</x:v>
      </x:c>
      <x:c r="M215" s="342" t="n">
        <x:f>2.5</x:f>
        <x:v>2.5</x:v>
      </x:c>
      <x:c r="N215" s="288" t="str">
        <x:v>Conditional coverage wheel</x:v>
      </x:c>
    </x:row>
    <x:row r="216">
      <x:c r="A216" s="295" t="n">
        <x:v>212</x:v>
      </x:c>
      <x:c r="B216" s="296" t="n">
        <x:v>4</x:v>
      </x:c>
      <x:c r="C216" s="296" t="n">
        <x:v>25</x:v>
      </x:c>
      <x:c r="D216" s="296" t="n">
        <x:v>28</x:v>
      </x:c>
      <x:c r="E216" s="296" t="n">
        <x:v>36</x:v>
      </x:c>
      <x:c r="F216" s="296" t="n">
        <x:v>44</x:v>
      </x:c>
      <x:c r="G216" s="296" t="n">
        <x:v>3</x:v>
      </x:c>
      <x:c r="H216" s="296" t="n">
        <x:v>5</x:v>
      </x:c>
      <x:c r="I216" s="296" t="n">
        <x:f>SUM(B216:F216)</x:f>
        <x:v>137</x:v>
      </x:c>
      <x:c r="J216" s="296" t="n">
        <x:f>MOD(B216,2)+MOD(C216,2)+MOD(D216,2)+MOD(E216,2)+MOD(F216,2)</x:f>
        <x:v>1</x:v>
      </x:c>
      <x:c r="K216" s="296" t="n">
        <x:f>COUNTIF(B216:F216,"&gt;31")</x:f>
        <x:v>2</x:v>
      </x:c>
      <x:c r="L216" s="336" t="n">
        <x:f>1/'Executive Summary'!$B$24</x:f>
        <x:v>7.1511238420185165e-9</x:v>
      </x:c>
      <x:c r="M216" s="342" t="n">
        <x:f>2.5</x:f>
        <x:v>2.5</x:v>
      </x:c>
      <x:c r="N216" s="288" t="str">
        <x:v>Conditional coverage wheel</x:v>
      </x:c>
    </x:row>
    <x:row r="217">
      <x:c r="A217" s="295" t="n">
        <x:v>213</x:v>
      </x:c>
      <x:c r="B217" s="296" t="n">
        <x:v>4</x:v>
      </x:c>
      <x:c r="C217" s="296" t="n">
        <x:v>25</x:v>
      </x:c>
      <x:c r="D217" s="296" t="n">
        <x:v>28</x:v>
      </x:c>
      <x:c r="E217" s="296" t="n">
        <x:v>36</x:v>
      </x:c>
      <x:c r="F217" s="296" t="n">
        <x:v>44</x:v>
      </x:c>
      <x:c r="G217" s="296" t="n">
        <x:v>3</x:v>
      </x:c>
      <x:c r="H217" s="296" t="n">
        <x:v>7</x:v>
      </x:c>
      <x:c r="I217" s="296" t="n">
        <x:f>SUM(B217:F217)</x:f>
        <x:v>137</x:v>
      </x:c>
      <x:c r="J217" s="296" t="n">
        <x:f>MOD(B217,2)+MOD(C217,2)+MOD(D217,2)+MOD(E217,2)+MOD(F217,2)</x:f>
        <x:v>1</x:v>
      </x:c>
      <x:c r="K217" s="296" t="n">
        <x:f>COUNTIF(B217:F217,"&gt;31")</x:f>
        <x:v>2</x:v>
      </x:c>
      <x:c r="L217" s="336" t="n">
        <x:f>1/'Executive Summary'!$B$24</x:f>
        <x:v>7.1511238420185165e-9</x:v>
      </x:c>
      <x:c r="M217" s="342" t="n">
        <x:f>2.5</x:f>
        <x:v>2.5</x:v>
      </x:c>
      <x:c r="N217" s="288" t="str">
        <x:v>Conditional coverage wheel</x:v>
      </x:c>
    </x:row>
    <x:row r="218">
      <x:c r="A218" s="295" t="n">
        <x:v>214</x:v>
      </x:c>
      <x:c r="B218" s="296" t="n">
        <x:v>4</x:v>
      </x:c>
      <x:c r="C218" s="296" t="n">
        <x:v>25</x:v>
      </x:c>
      <x:c r="D218" s="296" t="n">
        <x:v>28</x:v>
      </x:c>
      <x:c r="E218" s="296" t="n">
        <x:v>36</x:v>
      </x:c>
      <x:c r="F218" s="296" t="n">
        <x:v>44</x:v>
      </x:c>
      <x:c r="G218" s="296" t="n">
        <x:v>3</x:v>
      </x:c>
      <x:c r="H218" s="296" t="n">
        <x:v>8</x:v>
      </x:c>
      <x:c r="I218" s="296" t="n">
        <x:f>SUM(B218:F218)</x:f>
        <x:v>137</x:v>
      </x:c>
      <x:c r="J218" s="296" t="n">
        <x:f>MOD(B218,2)+MOD(C218,2)+MOD(D218,2)+MOD(E218,2)+MOD(F218,2)</x:f>
        <x:v>1</x:v>
      </x:c>
      <x:c r="K218" s="296" t="n">
        <x:f>COUNTIF(B218:F218,"&gt;31")</x:f>
        <x:v>2</x:v>
      </x:c>
      <x:c r="L218" s="336" t="n">
        <x:f>1/'Executive Summary'!$B$24</x:f>
        <x:v>7.1511238420185165e-9</x:v>
      </x:c>
      <x:c r="M218" s="342" t="n">
        <x:f>2.5</x:f>
        <x:v>2.5</x:v>
      </x:c>
      <x:c r="N218" s="288" t="str">
        <x:v>Conditional coverage wheel</x:v>
      </x:c>
    </x:row>
    <x:row r="219">
      <x:c r="A219" s="295" t="n">
        <x:v>215</x:v>
      </x:c>
      <x:c r="B219" s="296" t="n">
        <x:v>4</x:v>
      </x:c>
      <x:c r="C219" s="296" t="n">
        <x:v>25</x:v>
      </x:c>
      <x:c r="D219" s="296" t="n">
        <x:v>28</x:v>
      </x:c>
      <x:c r="E219" s="296" t="n">
        <x:v>36</x:v>
      </x:c>
      <x:c r="F219" s="296" t="n">
        <x:v>44</x:v>
      </x:c>
      <x:c r="G219" s="296" t="n">
        <x:v>3</x:v>
      </x:c>
      <x:c r="H219" s="296" t="n">
        <x:v>9</x:v>
      </x:c>
      <x:c r="I219" s="296" t="n">
        <x:f>SUM(B219:F219)</x:f>
        <x:v>137</x:v>
      </x:c>
      <x:c r="J219" s="296" t="n">
        <x:f>MOD(B219,2)+MOD(C219,2)+MOD(D219,2)+MOD(E219,2)+MOD(F219,2)</x:f>
        <x:v>1</x:v>
      </x:c>
      <x:c r="K219" s="296" t="n">
        <x:f>COUNTIF(B219:F219,"&gt;31")</x:f>
        <x:v>2</x:v>
      </x:c>
      <x:c r="L219" s="336" t="n">
        <x:f>1/'Executive Summary'!$B$24</x:f>
        <x:v>7.1511238420185165e-9</x:v>
      </x:c>
      <x:c r="M219" s="342" t="n">
        <x:f>2.5</x:f>
        <x:v>2.5</x:v>
      </x:c>
      <x:c r="N219" s="288" t="str">
        <x:v>Conditional coverage wheel</x:v>
      </x:c>
    </x:row>
    <x:row r="220">
      <x:c r="A220" s="295" t="n">
        <x:v>216</x:v>
      </x:c>
      <x:c r="B220" s="296" t="n">
        <x:v>4</x:v>
      </x:c>
      <x:c r="C220" s="296" t="n">
        <x:v>25</x:v>
      </x:c>
      <x:c r="D220" s="296" t="n">
        <x:v>28</x:v>
      </x:c>
      <x:c r="E220" s="296" t="n">
        <x:v>36</x:v>
      </x:c>
      <x:c r="F220" s="296" t="n">
        <x:v>44</x:v>
      </x:c>
      <x:c r="G220" s="296" t="n">
        <x:v>4</x:v>
      </x:c>
      <x:c r="H220" s="296" t="n">
        <x:v>5</x:v>
      </x:c>
      <x:c r="I220" s="296" t="n">
        <x:f>SUM(B220:F220)</x:f>
        <x:v>137</x:v>
      </x:c>
      <x:c r="J220" s="296" t="n">
        <x:f>MOD(B220,2)+MOD(C220,2)+MOD(D220,2)+MOD(E220,2)+MOD(F220,2)</x:f>
        <x:v>1</x:v>
      </x:c>
      <x:c r="K220" s="296" t="n">
        <x:f>COUNTIF(B220:F220,"&gt;31")</x:f>
        <x:v>2</x:v>
      </x:c>
      <x:c r="L220" s="336" t="n">
        <x:f>1/'Executive Summary'!$B$24</x:f>
        <x:v>7.1511238420185165e-9</x:v>
      </x:c>
      <x:c r="M220" s="342" t="n">
        <x:f>2.5</x:f>
        <x:v>2.5</x:v>
      </x:c>
      <x:c r="N220" s="288" t="str">
        <x:v>Conditional coverage wheel</x:v>
      </x:c>
    </x:row>
    <x:row r="221">
      <x:c r="A221" s="295" t="n">
        <x:v>217</x:v>
      </x:c>
      <x:c r="B221" s="296" t="n">
        <x:v>4</x:v>
      </x:c>
      <x:c r="C221" s="296" t="n">
        <x:v>25</x:v>
      </x:c>
      <x:c r="D221" s="296" t="n">
        <x:v>28</x:v>
      </x:c>
      <x:c r="E221" s="296" t="n">
        <x:v>36</x:v>
      </x:c>
      <x:c r="F221" s="296" t="n">
        <x:v>44</x:v>
      </x:c>
      <x:c r="G221" s="296" t="n">
        <x:v>4</x:v>
      </x:c>
      <x:c r="H221" s="296" t="n">
        <x:v>7</x:v>
      </x:c>
      <x:c r="I221" s="296" t="n">
        <x:f>SUM(B221:F221)</x:f>
        <x:v>137</x:v>
      </x:c>
      <x:c r="J221" s="296" t="n">
        <x:f>MOD(B221,2)+MOD(C221,2)+MOD(D221,2)+MOD(E221,2)+MOD(F221,2)</x:f>
        <x:v>1</x:v>
      </x:c>
      <x:c r="K221" s="296" t="n">
        <x:f>COUNTIF(B221:F221,"&gt;31")</x:f>
        <x:v>2</x:v>
      </x:c>
      <x:c r="L221" s="336" t="n">
        <x:f>1/'Executive Summary'!$B$24</x:f>
        <x:v>7.1511238420185165e-9</x:v>
      </x:c>
      <x:c r="M221" s="342" t="n">
        <x:f>2.5</x:f>
        <x:v>2.5</x:v>
      </x:c>
      <x:c r="N221" s="288" t="str">
        <x:v>Conditional coverage wheel</x:v>
      </x:c>
    </x:row>
    <x:row r="222">
      <x:c r="A222" s="295" t="n">
        <x:v>218</x:v>
      </x:c>
      <x:c r="B222" s="296" t="n">
        <x:v>4</x:v>
      </x:c>
      <x:c r="C222" s="296" t="n">
        <x:v>25</x:v>
      </x:c>
      <x:c r="D222" s="296" t="n">
        <x:v>28</x:v>
      </x:c>
      <x:c r="E222" s="296" t="n">
        <x:v>36</x:v>
      </x:c>
      <x:c r="F222" s="296" t="n">
        <x:v>44</x:v>
      </x:c>
      <x:c r="G222" s="296" t="n">
        <x:v>4</x:v>
      </x:c>
      <x:c r="H222" s="296" t="n">
        <x:v>8</x:v>
      </x:c>
      <x:c r="I222" s="296" t="n">
        <x:f>SUM(B222:F222)</x:f>
        <x:v>137</x:v>
      </x:c>
      <x:c r="J222" s="296" t="n">
        <x:f>MOD(B222,2)+MOD(C222,2)+MOD(D222,2)+MOD(E222,2)+MOD(F222,2)</x:f>
        <x:v>1</x:v>
      </x:c>
      <x:c r="K222" s="296" t="n">
        <x:f>COUNTIF(B222:F222,"&gt;31")</x:f>
        <x:v>2</x:v>
      </x:c>
      <x:c r="L222" s="336" t="n">
        <x:f>1/'Executive Summary'!$B$24</x:f>
        <x:v>7.1511238420185165e-9</x:v>
      </x:c>
      <x:c r="M222" s="342" t="n">
        <x:f>2.5</x:f>
        <x:v>2.5</x:v>
      </x:c>
      <x:c r="N222" s="288" t="str">
        <x:v>Conditional coverage wheel</x:v>
      </x:c>
    </x:row>
    <x:row r="223">
      <x:c r="A223" s="295" t="n">
        <x:v>219</x:v>
      </x:c>
      <x:c r="B223" s="296" t="n">
        <x:v>4</x:v>
      </x:c>
      <x:c r="C223" s="296" t="n">
        <x:v>25</x:v>
      </x:c>
      <x:c r="D223" s="296" t="n">
        <x:v>28</x:v>
      </x:c>
      <x:c r="E223" s="296" t="n">
        <x:v>36</x:v>
      </x:c>
      <x:c r="F223" s="296" t="n">
        <x:v>44</x:v>
      </x:c>
      <x:c r="G223" s="296" t="n">
        <x:v>4</x:v>
      </x:c>
      <x:c r="H223" s="296" t="n">
        <x:v>9</x:v>
      </x:c>
      <x:c r="I223" s="296" t="n">
        <x:f>SUM(B223:F223)</x:f>
        <x:v>137</x:v>
      </x:c>
      <x:c r="J223" s="296" t="n">
        <x:f>MOD(B223,2)+MOD(C223,2)+MOD(D223,2)+MOD(E223,2)+MOD(F223,2)</x:f>
        <x:v>1</x:v>
      </x:c>
      <x:c r="K223" s="296" t="n">
        <x:f>COUNTIF(B223:F223,"&gt;31")</x:f>
        <x:v>2</x:v>
      </x:c>
      <x:c r="L223" s="336" t="n">
        <x:f>1/'Executive Summary'!$B$24</x:f>
        <x:v>7.1511238420185165e-9</x:v>
      </x:c>
      <x:c r="M223" s="342" t="n">
        <x:f>2.5</x:f>
        <x:v>2.5</x:v>
      </x:c>
      <x:c r="N223" s="288" t="str">
        <x:v>Conditional coverage wheel</x:v>
      </x:c>
    </x:row>
    <x:row r="224">
      <x:c r="A224" s="295" t="n">
        <x:v>220</x:v>
      </x:c>
      <x:c r="B224" s="296" t="n">
        <x:v>4</x:v>
      </x:c>
      <x:c r="C224" s="296" t="n">
        <x:v>25</x:v>
      </x:c>
      <x:c r="D224" s="296" t="n">
        <x:v>28</x:v>
      </x:c>
      <x:c r="E224" s="296" t="n">
        <x:v>36</x:v>
      </x:c>
      <x:c r="F224" s="296" t="n">
        <x:v>44</x:v>
      </x:c>
      <x:c r="G224" s="296" t="n">
        <x:v>5</x:v>
      </x:c>
      <x:c r="H224" s="296" t="n">
        <x:v>7</x:v>
      </x:c>
      <x:c r="I224" s="296" t="n">
        <x:f>SUM(B224:F224)</x:f>
        <x:v>137</x:v>
      </x:c>
      <x:c r="J224" s="296" t="n">
        <x:f>MOD(B224,2)+MOD(C224,2)+MOD(D224,2)+MOD(E224,2)+MOD(F224,2)</x:f>
        <x:v>1</x:v>
      </x:c>
      <x:c r="K224" s="296" t="n">
        <x:f>COUNTIF(B224:F224,"&gt;31")</x:f>
        <x:v>2</x:v>
      </x:c>
      <x:c r="L224" s="336" t="n">
        <x:f>1/'Executive Summary'!$B$24</x:f>
        <x:v>7.1511238420185165e-9</x:v>
      </x:c>
      <x:c r="M224" s="342" t="n">
        <x:f>2.5</x:f>
        <x:v>2.5</x:v>
      </x:c>
      <x:c r="N224" s="288" t="str">
        <x:v>Conditional coverage wheel</x:v>
      </x:c>
    </x:row>
    <x:row r="225">
      <x:c r="A225" s="295" t="n">
        <x:v>221</x:v>
      </x:c>
      <x:c r="B225" s="296" t="n">
        <x:v>4</x:v>
      </x:c>
      <x:c r="C225" s="296" t="n">
        <x:v>25</x:v>
      </x:c>
      <x:c r="D225" s="296" t="n">
        <x:v>28</x:v>
      </x:c>
      <x:c r="E225" s="296" t="n">
        <x:v>36</x:v>
      </x:c>
      <x:c r="F225" s="296" t="n">
        <x:v>44</x:v>
      </x:c>
      <x:c r="G225" s="296" t="n">
        <x:v>5</x:v>
      </x:c>
      <x:c r="H225" s="296" t="n">
        <x:v>8</x:v>
      </x:c>
      <x:c r="I225" s="296" t="n">
        <x:f>SUM(B225:F225)</x:f>
        <x:v>137</x:v>
      </x:c>
      <x:c r="J225" s="296" t="n">
        <x:f>MOD(B225,2)+MOD(C225,2)+MOD(D225,2)+MOD(E225,2)+MOD(F225,2)</x:f>
        <x:v>1</x:v>
      </x:c>
      <x:c r="K225" s="296" t="n">
        <x:f>COUNTIF(B225:F225,"&gt;31")</x:f>
        <x:v>2</x:v>
      </x:c>
      <x:c r="L225" s="336" t="n">
        <x:f>1/'Executive Summary'!$B$24</x:f>
        <x:v>7.1511238420185165e-9</x:v>
      </x:c>
      <x:c r="M225" s="342" t="n">
        <x:f>2.5</x:f>
        <x:v>2.5</x:v>
      </x:c>
      <x:c r="N225" s="288" t="str">
        <x:v>Conditional coverage wheel</x:v>
      </x:c>
    </x:row>
    <x:row r="226">
      <x:c r="A226" s="295" t="n">
        <x:v>222</x:v>
      </x:c>
      <x:c r="B226" s="296" t="n">
        <x:v>4</x:v>
      </x:c>
      <x:c r="C226" s="296" t="n">
        <x:v>25</x:v>
      </x:c>
      <x:c r="D226" s="296" t="n">
        <x:v>28</x:v>
      </x:c>
      <x:c r="E226" s="296" t="n">
        <x:v>36</x:v>
      </x:c>
      <x:c r="F226" s="296" t="n">
        <x:v>44</x:v>
      </x:c>
      <x:c r="G226" s="296" t="n">
        <x:v>5</x:v>
      </x:c>
      <x:c r="H226" s="296" t="n">
        <x:v>9</x:v>
      </x:c>
      <x:c r="I226" s="296" t="n">
        <x:f>SUM(B226:F226)</x:f>
        <x:v>137</x:v>
      </x:c>
      <x:c r="J226" s="296" t="n">
        <x:f>MOD(B226,2)+MOD(C226,2)+MOD(D226,2)+MOD(E226,2)+MOD(F226,2)</x:f>
        <x:v>1</x:v>
      </x:c>
      <x:c r="K226" s="296" t="n">
        <x:f>COUNTIF(B226:F226,"&gt;31")</x:f>
        <x:v>2</x:v>
      </x:c>
      <x:c r="L226" s="336" t="n">
        <x:f>1/'Executive Summary'!$B$24</x:f>
        <x:v>7.1511238420185165e-9</x:v>
      </x:c>
      <x:c r="M226" s="342" t="n">
        <x:f>2.5</x:f>
        <x:v>2.5</x:v>
      </x:c>
      <x:c r="N226" s="288" t="str">
        <x:v>Conditional coverage wheel</x:v>
      </x:c>
    </x:row>
    <x:row r="227">
      <x:c r="A227" s="295" t="n">
        <x:v>223</x:v>
      </x:c>
      <x:c r="B227" s="296" t="n">
        <x:v>4</x:v>
      </x:c>
      <x:c r="C227" s="296" t="n">
        <x:v>25</x:v>
      </x:c>
      <x:c r="D227" s="296" t="n">
        <x:v>28</x:v>
      </x:c>
      <x:c r="E227" s="296" t="n">
        <x:v>36</x:v>
      </x:c>
      <x:c r="F227" s="296" t="n">
        <x:v>44</x:v>
      </x:c>
      <x:c r="G227" s="296" t="n">
        <x:v>7</x:v>
      </x:c>
      <x:c r="H227" s="296" t="n">
        <x:v>8</x:v>
      </x:c>
      <x:c r="I227" s="296" t="n">
        <x:f>SUM(B227:F227)</x:f>
        <x:v>137</x:v>
      </x:c>
      <x:c r="J227" s="296" t="n">
        <x:f>MOD(B227,2)+MOD(C227,2)+MOD(D227,2)+MOD(E227,2)+MOD(F227,2)</x:f>
        <x:v>1</x:v>
      </x:c>
      <x:c r="K227" s="296" t="n">
        <x:f>COUNTIF(B227:F227,"&gt;31")</x:f>
        <x:v>2</x:v>
      </x:c>
      <x:c r="L227" s="336" t="n">
        <x:f>1/'Executive Summary'!$B$24</x:f>
        <x:v>7.1511238420185165e-9</x:v>
      </x:c>
      <x:c r="M227" s="342" t="n">
        <x:f>2.5</x:f>
        <x:v>2.5</x:v>
      </x:c>
      <x:c r="N227" s="288" t="str">
        <x:v>Conditional coverage wheel</x:v>
      </x:c>
    </x:row>
    <x:row r="228">
      <x:c r="A228" s="295" t="n">
        <x:v>224</x:v>
      </x:c>
      <x:c r="B228" s="296" t="n">
        <x:v>4</x:v>
      </x:c>
      <x:c r="C228" s="296" t="n">
        <x:v>25</x:v>
      </x:c>
      <x:c r="D228" s="296" t="n">
        <x:v>28</x:v>
      </x:c>
      <x:c r="E228" s="296" t="n">
        <x:v>36</x:v>
      </x:c>
      <x:c r="F228" s="296" t="n">
        <x:v>44</x:v>
      </x:c>
      <x:c r="G228" s="296" t="n">
        <x:v>7</x:v>
      </x:c>
      <x:c r="H228" s="296" t="n">
        <x:v>9</x:v>
      </x:c>
      <x:c r="I228" s="296" t="n">
        <x:f>SUM(B228:F228)</x:f>
        <x:v>137</x:v>
      </x:c>
      <x:c r="J228" s="296" t="n">
        <x:f>MOD(B228,2)+MOD(C228,2)+MOD(D228,2)+MOD(E228,2)+MOD(F228,2)</x:f>
        <x:v>1</x:v>
      </x:c>
      <x:c r="K228" s="296" t="n">
        <x:f>COUNTIF(B228:F228,"&gt;31")</x:f>
        <x:v>2</x:v>
      </x:c>
      <x:c r="L228" s="336" t="n">
        <x:f>1/'Executive Summary'!$B$24</x:f>
        <x:v>7.1511238420185165e-9</x:v>
      </x:c>
      <x:c r="M228" s="342" t="n">
        <x:f>2.5</x:f>
        <x:v>2.5</x:v>
      </x:c>
      <x:c r="N228" s="288" t="str">
        <x:v>Conditional coverage wheel</x:v>
      </x:c>
    </x:row>
    <x:row r="229">
      <x:c r="A229" s="295" t="n">
        <x:v>225</x:v>
      </x:c>
      <x:c r="B229" s="296" t="n">
        <x:v>4</x:v>
      </x:c>
      <x:c r="C229" s="296" t="n">
        <x:v>25</x:v>
      </x:c>
      <x:c r="D229" s="296" t="n">
        <x:v>28</x:v>
      </x:c>
      <x:c r="E229" s="296" t="n">
        <x:v>36</x:v>
      </x:c>
      <x:c r="F229" s="296" t="n">
        <x:v>44</x:v>
      </x:c>
      <x:c r="G229" s="296" t="n">
        <x:v>8</x:v>
      </x:c>
      <x:c r="H229" s="296" t="n">
        <x:v>9</x:v>
      </x:c>
      <x:c r="I229" s="296" t="n">
        <x:f>SUM(B229:F229)</x:f>
        <x:v>137</x:v>
      </x:c>
      <x:c r="J229" s="296" t="n">
        <x:f>MOD(B229,2)+MOD(C229,2)+MOD(D229,2)+MOD(E229,2)+MOD(F229,2)</x:f>
        <x:v>1</x:v>
      </x:c>
      <x:c r="K229" s="296" t="n">
        <x:f>COUNTIF(B229:F229,"&gt;31")</x:f>
        <x:v>2</x:v>
      </x:c>
      <x:c r="L229" s="336" t="n">
        <x:f>1/'Executive Summary'!$B$24</x:f>
        <x:v>7.1511238420185165e-9</x:v>
      </x:c>
      <x:c r="M229" s="342" t="n">
        <x:f>2.5</x:f>
        <x:v>2.5</x:v>
      </x:c>
      <x:c r="N229" s="288" t="str">
        <x:v>Conditional coverage wheel</x:v>
      </x:c>
    </x:row>
    <x:row r="230">
      <x:c r="A230" s="295" t="n">
        <x:v>226</x:v>
      </x:c>
      <x:c r="B230" s="296" t="n">
        <x:v>4</x:v>
      </x:c>
      <x:c r="C230" s="296" t="n">
        <x:v>27</x:v>
      </x:c>
      <x:c r="D230" s="296" t="n">
        <x:v>28</x:v>
      </x:c>
      <x:c r="E230" s="296" t="n">
        <x:v>35</x:v>
      </x:c>
      <x:c r="F230" s="296" t="n">
        <x:v>42</x:v>
      </x:c>
      <x:c r="G230" s="296" t="n">
        <x:v>3</x:v>
      </x:c>
      <x:c r="H230" s="296" t="n">
        <x:v>4</x:v>
      </x:c>
      <x:c r="I230" s="296" t="n">
        <x:f>SUM(B230:F230)</x:f>
        <x:v>136</x:v>
      </x:c>
      <x:c r="J230" s="296" t="n">
        <x:f>MOD(B230,2)+MOD(C230,2)+MOD(D230,2)+MOD(E230,2)+MOD(F230,2)</x:f>
        <x:v>2</x:v>
      </x:c>
      <x:c r="K230" s="296" t="n">
        <x:f>COUNTIF(B230:F230,"&gt;31")</x:f>
        <x:v>2</x:v>
      </x:c>
      <x:c r="L230" s="336" t="n">
        <x:f>1/'Executive Summary'!$B$24</x:f>
        <x:v>7.1511238420185165e-9</x:v>
      </x:c>
      <x:c r="M230" s="342" t="n">
        <x:f>2.5</x:f>
        <x:v>2.5</x:v>
      </x:c>
      <x:c r="N230" s="288" t="str">
        <x:v>Conditional coverage wheel</x:v>
      </x:c>
    </x:row>
    <x:row r="231">
      <x:c r="A231" s="295" t="n">
        <x:v>227</x:v>
      </x:c>
      <x:c r="B231" s="296" t="n">
        <x:v>4</x:v>
      </x:c>
      <x:c r="C231" s="296" t="n">
        <x:v>27</x:v>
      </x:c>
      <x:c r="D231" s="296" t="n">
        <x:v>28</x:v>
      </x:c>
      <x:c r="E231" s="296" t="n">
        <x:v>35</x:v>
      </x:c>
      <x:c r="F231" s="296" t="n">
        <x:v>42</x:v>
      </x:c>
      <x:c r="G231" s="296" t="n">
        <x:v>3</x:v>
      </x:c>
      <x:c r="H231" s="296" t="n">
        <x:v>5</x:v>
      </x:c>
      <x:c r="I231" s="296" t="n">
        <x:f>SUM(B231:F231)</x:f>
        <x:v>136</x:v>
      </x:c>
      <x:c r="J231" s="296" t="n">
        <x:f>MOD(B231,2)+MOD(C231,2)+MOD(D231,2)+MOD(E231,2)+MOD(F231,2)</x:f>
        <x:v>2</x:v>
      </x:c>
      <x:c r="K231" s="296" t="n">
        <x:f>COUNTIF(B231:F231,"&gt;31")</x:f>
        <x:v>2</x:v>
      </x:c>
      <x:c r="L231" s="336" t="n">
        <x:f>1/'Executive Summary'!$B$24</x:f>
        <x:v>7.1511238420185165e-9</x:v>
      </x:c>
      <x:c r="M231" s="342" t="n">
        <x:f>2.5</x:f>
        <x:v>2.5</x:v>
      </x:c>
      <x:c r="N231" s="288" t="str">
        <x:v>Conditional coverage wheel</x:v>
      </x:c>
    </x:row>
    <x:row r="232">
      <x:c r="A232" s="295" t="n">
        <x:v>228</x:v>
      </x:c>
      <x:c r="B232" s="296" t="n">
        <x:v>4</x:v>
      </x:c>
      <x:c r="C232" s="296" t="n">
        <x:v>27</x:v>
      </x:c>
      <x:c r="D232" s="296" t="n">
        <x:v>28</x:v>
      </x:c>
      <x:c r="E232" s="296" t="n">
        <x:v>35</x:v>
      </x:c>
      <x:c r="F232" s="296" t="n">
        <x:v>42</x:v>
      </x:c>
      <x:c r="G232" s="296" t="n">
        <x:v>3</x:v>
      </x:c>
      <x:c r="H232" s="296" t="n">
        <x:v>7</x:v>
      </x:c>
      <x:c r="I232" s="296" t="n">
        <x:f>SUM(B232:F232)</x:f>
        <x:v>136</x:v>
      </x:c>
      <x:c r="J232" s="296" t="n">
        <x:f>MOD(B232,2)+MOD(C232,2)+MOD(D232,2)+MOD(E232,2)+MOD(F232,2)</x:f>
        <x:v>2</x:v>
      </x:c>
      <x:c r="K232" s="296" t="n">
        <x:f>COUNTIF(B232:F232,"&gt;31")</x:f>
        <x:v>2</x:v>
      </x:c>
      <x:c r="L232" s="336" t="n">
        <x:f>1/'Executive Summary'!$B$24</x:f>
        <x:v>7.1511238420185165e-9</x:v>
      </x:c>
      <x:c r="M232" s="342" t="n">
        <x:f>2.5</x:f>
        <x:v>2.5</x:v>
      </x:c>
      <x:c r="N232" s="288" t="str">
        <x:v>Conditional coverage wheel</x:v>
      </x:c>
    </x:row>
    <x:row r="233">
      <x:c r="A233" s="295" t="n">
        <x:v>229</x:v>
      </x:c>
      <x:c r="B233" s="296" t="n">
        <x:v>4</x:v>
      </x:c>
      <x:c r="C233" s="296" t="n">
        <x:v>27</x:v>
      </x:c>
      <x:c r="D233" s="296" t="n">
        <x:v>28</x:v>
      </x:c>
      <x:c r="E233" s="296" t="n">
        <x:v>35</x:v>
      </x:c>
      <x:c r="F233" s="296" t="n">
        <x:v>42</x:v>
      </x:c>
      <x:c r="G233" s="296" t="n">
        <x:v>3</x:v>
      </x:c>
      <x:c r="H233" s="296" t="n">
        <x:v>8</x:v>
      </x:c>
      <x:c r="I233" s="296" t="n">
        <x:f>SUM(B233:F233)</x:f>
        <x:v>136</x:v>
      </x:c>
      <x:c r="J233" s="296" t="n">
        <x:f>MOD(B233,2)+MOD(C233,2)+MOD(D233,2)+MOD(E233,2)+MOD(F233,2)</x:f>
        <x:v>2</x:v>
      </x:c>
      <x:c r="K233" s="296" t="n">
        <x:f>COUNTIF(B233:F233,"&gt;31")</x:f>
        <x:v>2</x:v>
      </x:c>
      <x:c r="L233" s="336" t="n">
        <x:f>1/'Executive Summary'!$B$24</x:f>
        <x:v>7.1511238420185165e-9</x:v>
      </x:c>
      <x:c r="M233" s="342" t="n">
        <x:f>2.5</x:f>
        <x:v>2.5</x:v>
      </x:c>
      <x:c r="N233" s="288" t="str">
        <x:v>Conditional coverage wheel</x:v>
      </x:c>
    </x:row>
    <x:row r="234">
      <x:c r="A234" s="295" t="n">
        <x:v>230</x:v>
      </x:c>
      <x:c r="B234" s="296" t="n">
        <x:v>4</x:v>
      </x:c>
      <x:c r="C234" s="296" t="n">
        <x:v>27</x:v>
      </x:c>
      <x:c r="D234" s="296" t="n">
        <x:v>28</x:v>
      </x:c>
      <x:c r="E234" s="296" t="n">
        <x:v>35</x:v>
      </x:c>
      <x:c r="F234" s="296" t="n">
        <x:v>42</x:v>
      </x:c>
      <x:c r="G234" s="296" t="n">
        <x:v>3</x:v>
      </x:c>
      <x:c r="H234" s="296" t="n">
        <x:v>9</x:v>
      </x:c>
      <x:c r="I234" s="296" t="n">
        <x:f>SUM(B234:F234)</x:f>
        <x:v>136</x:v>
      </x:c>
      <x:c r="J234" s="296" t="n">
        <x:f>MOD(B234,2)+MOD(C234,2)+MOD(D234,2)+MOD(E234,2)+MOD(F234,2)</x:f>
        <x:v>2</x:v>
      </x:c>
      <x:c r="K234" s="296" t="n">
        <x:f>COUNTIF(B234:F234,"&gt;31")</x:f>
        <x:v>2</x:v>
      </x:c>
      <x:c r="L234" s="336" t="n">
        <x:f>1/'Executive Summary'!$B$24</x:f>
        <x:v>7.1511238420185165e-9</x:v>
      </x:c>
      <x:c r="M234" s="342" t="n">
        <x:f>2.5</x:f>
        <x:v>2.5</x:v>
      </x:c>
      <x:c r="N234" s="288" t="str">
        <x:v>Conditional coverage wheel</x:v>
      </x:c>
    </x:row>
    <x:row r="235">
      <x:c r="A235" s="295" t="n">
        <x:v>231</x:v>
      </x:c>
      <x:c r="B235" s="296" t="n">
        <x:v>4</x:v>
      </x:c>
      <x:c r="C235" s="296" t="n">
        <x:v>27</x:v>
      </x:c>
      <x:c r="D235" s="296" t="n">
        <x:v>28</x:v>
      </x:c>
      <x:c r="E235" s="296" t="n">
        <x:v>35</x:v>
      </x:c>
      <x:c r="F235" s="296" t="n">
        <x:v>42</x:v>
      </x:c>
      <x:c r="G235" s="296" t="n">
        <x:v>4</x:v>
      </x:c>
      <x:c r="H235" s="296" t="n">
        <x:v>5</x:v>
      </x:c>
      <x:c r="I235" s="296" t="n">
        <x:f>SUM(B235:F235)</x:f>
        <x:v>136</x:v>
      </x:c>
      <x:c r="J235" s="296" t="n">
        <x:f>MOD(B235,2)+MOD(C235,2)+MOD(D235,2)+MOD(E235,2)+MOD(F235,2)</x:f>
        <x:v>2</x:v>
      </x:c>
      <x:c r="K235" s="296" t="n">
        <x:f>COUNTIF(B235:F235,"&gt;31")</x:f>
        <x:v>2</x:v>
      </x:c>
      <x:c r="L235" s="336" t="n">
        <x:f>1/'Executive Summary'!$B$24</x:f>
        <x:v>7.1511238420185165e-9</x:v>
      </x:c>
      <x:c r="M235" s="342" t="n">
        <x:f>2.5</x:f>
        <x:v>2.5</x:v>
      </x:c>
      <x:c r="N235" s="288" t="str">
        <x:v>Conditional coverage wheel</x:v>
      </x:c>
    </x:row>
    <x:row r="236">
      <x:c r="A236" s="295" t="n">
        <x:v>232</x:v>
      </x:c>
      <x:c r="B236" s="296" t="n">
        <x:v>4</x:v>
      </x:c>
      <x:c r="C236" s="296" t="n">
        <x:v>27</x:v>
      </x:c>
      <x:c r="D236" s="296" t="n">
        <x:v>28</x:v>
      </x:c>
      <x:c r="E236" s="296" t="n">
        <x:v>35</x:v>
      </x:c>
      <x:c r="F236" s="296" t="n">
        <x:v>42</x:v>
      </x:c>
      <x:c r="G236" s="296" t="n">
        <x:v>4</x:v>
      </x:c>
      <x:c r="H236" s="296" t="n">
        <x:v>7</x:v>
      </x:c>
      <x:c r="I236" s="296" t="n">
        <x:f>SUM(B236:F236)</x:f>
        <x:v>136</x:v>
      </x:c>
      <x:c r="J236" s="296" t="n">
        <x:f>MOD(B236,2)+MOD(C236,2)+MOD(D236,2)+MOD(E236,2)+MOD(F236,2)</x:f>
        <x:v>2</x:v>
      </x:c>
      <x:c r="K236" s="296" t="n">
        <x:f>COUNTIF(B236:F236,"&gt;31")</x:f>
        <x:v>2</x:v>
      </x:c>
      <x:c r="L236" s="336" t="n">
        <x:f>1/'Executive Summary'!$B$24</x:f>
        <x:v>7.1511238420185165e-9</x:v>
      </x:c>
      <x:c r="M236" s="342" t="n">
        <x:f>2.5</x:f>
        <x:v>2.5</x:v>
      </x:c>
      <x:c r="N236" s="288" t="str">
        <x:v>Conditional coverage wheel</x:v>
      </x:c>
    </x:row>
    <x:row r="237">
      <x:c r="A237" s="295" t="n">
        <x:v>233</x:v>
      </x:c>
      <x:c r="B237" s="296" t="n">
        <x:v>4</x:v>
      </x:c>
      <x:c r="C237" s="296" t="n">
        <x:v>27</x:v>
      </x:c>
      <x:c r="D237" s="296" t="n">
        <x:v>28</x:v>
      </x:c>
      <x:c r="E237" s="296" t="n">
        <x:v>35</x:v>
      </x:c>
      <x:c r="F237" s="296" t="n">
        <x:v>42</x:v>
      </x:c>
      <x:c r="G237" s="296" t="n">
        <x:v>4</x:v>
      </x:c>
      <x:c r="H237" s="296" t="n">
        <x:v>8</x:v>
      </x:c>
      <x:c r="I237" s="296" t="n">
        <x:f>SUM(B237:F237)</x:f>
        <x:v>136</x:v>
      </x:c>
      <x:c r="J237" s="296" t="n">
        <x:f>MOD(B237,2)+MOD(C237,2)+MOD(D237,2)+MOD(E237,2)+MOD(F237,2)</x:f>
        <x:v>2</x:v>
      </x:c>
      <x:c r="K237" s="296" t="n">
        <x:f>COUNTIF(B237:F237,"&gt;31")</x:f>
        <x:v>2</x:v>
      </x:c>
      <x:c r="L237" s="336" t="n">
        <x:f>1/'Executive Summary'!$B$24</x:f>
        <x:v>7.1511238420185165e-9</x:v>
      </x:c>
      <x:c r="M237" s="342" t="n">
        <x:f>2.5</x:f>
        <x:v>2.5</x:v>
      </x:c>
      <x:c r="N237" s="288" t="str">
        <x:v>Conditional coverage wheel</x:v>
      </x:c>
    </x:row>
    <x:row r="238">
      <x:c r="A238" s="295" t="n">
        <x:v>234</x:v>
      </x:c>
      <x:c r="B238" s="296" t="n">
        <x:v>4</x:v>
      </x:c>
      <x:c r="C238" s="296" t="n">
        <x:v>27</x:v>
      </x:c>
      <x:c r="D238" s="296" t="n">
        <x:v>28</x:v>
      </x:c>
      <x:c r="E238" s="296" t="n">
        <x:v>35</x:v>
      </x:c>
      <x:c r="F238" s="296" t="n">
        <x:v>42</x:v>
      </x:c>
      <x:c r="G238" s="296" t="n">
        <x:v>4</x:v>
      </x:c>
      <x:c r="H238" s="296" t="n">
        <x:v>9</x:v>
      </x:c>
      <x:c r="I238" s="296" t="n">
        <x:f>SUM(B238:F238)</x:f>
        <x:v>136</x:v>
      </x:c>
      <x:c r="J238" s="296" t="n">
        <x:f>MOD(B238,2)+MOD(C238,2)+MOD(D238,2)+MOD(E238,2)+MOD(F238,2)</x:f>
        <x:v>2</x:v>
      </x:c>
      <x:c r="K238" s="296" t="n">
        <x:f>COUNTIF(B238:F238,"&gt;31")</x:f>
        <x:v>2</x:v>
      </x:c>
      <x:c r="L238" s="336" t="n">
        <x:f>1/'Executive Summary'!$B$24</x:f>
        <x:v>7.1511238420185165e-9</x:v>
      </x:c>
      <x:c r="M238" s="342" t="n">
        <x:f>2.5</x:f>
        <x:v>2.5</x:v>
      </x:c>
      <x:c r="N238" s="288" t="str">
        <x:v>Conditional coverage wheel</x:v>
      </x:c>
    </x:row>
    <x:row r="239">
      <x:c r="A239" s="295" t="n">
        <x:v>235</x:v>
      </x:c>
      <x:c r="B239" s="296" t="n">
        <x:v>4</x:v>
      </x:c>
      <x:c r="C239" s="296" t="n">
        <x:v>27</x:v>
      </x:c>
      <x:c r="D239" s="296" t="n">
        <x:v>28</x:v>
      </x:c>
      <x:c r="E239" s="296" t="n">
        <x:v>35</x:v>
      </x:c>
      <x:c r="F239" s="296" t="n">
        <x:v>42</x:v>
      </x:c>
      <x:c r="G239" s="296" t="n">
        <x:v>5</x:v>
      </x:c>
      <x:c r="H239" s="296" t="n">
        <x:v>7</x:v>
      </x:c>
      <x:c r="I239" s="296" t="n">
        <x:f>SUM(B239:F239)</x:f>
        <x:v>136</x:v>
      </x:c>
      <x:c r="J239" s="296" t="n">
        <x:f>MOD(B239,2)+MOD(C239,2)+MOD(D239,2)+MOD(E239,2)+MOD(F239,2)</x:f>
        <x:v>2</x:v>
      </x:c>
      <x:c r="K239" s="296" t="n">
        <x:f>COUNTIF(B239:F239,"&gt;31")</x:f>
        <x:v>2</x:v>
      </x:c>
      <x:c r="L239" s="336" t="n">
        <x:f>1/'Executive Summary'!$B$24</x:f>
        <x:v>7.1511238420185165e-9</x:v>
      </x:c>
      <x:c r="M239" s="342" t="n">
        <x:f>2.5</x:f>
        <x:v>2.5</x:v>
      </x:c>
      <x:c r="N239" s="288" t="str">
        <x:v>Conditional coverage wheel</x:v>
      </x:c>
    </x:row>
    <x:row r="240">
      <x:c r="A240" s="295" t="n">
        <x:v>236</x:v>
      </x:c>
      <x:c r="B240" s="296" t="n">
        <x:v>4</x:v>
      </x:c>
      <x:c r="C240" s="296" t="n">
        <x:v>27</x:v>
      </x:c>
      <x:c r="D240" s="296" t="n">
        <x:v>28</x:v>
      </x:c>
      <x:c r="E240" s="296" t="n">
        <x:v>35</x:v>
      </x:c>
      <x:c r="F240" s="296" t="n">
        <x:v>42</x:v>
      </x:c>
      <x:c r="G240" s="296" t="n">
        <x:v>5</x:v>
      </x:c>
      <x:c r="H240" s="296" t="n">
        <x:v>8</x:v>
      </x:c>
      <x:c r="I240" s="296" t="n">
        <x:f>SUM(B240:F240)</x:f>
        <x:v>136</x:v>
      </x:c>
      <x:c r="J240" s="296" t="n">
        <x:f>MOD(B240,2)+MOD(C240,2)+MOD(D240,2)+MOD(E240,2)+MOD(F240,2)</x:f>
        <x:v>2</x:v>
      </x:c>
      <x:c r="K240" s="296" t="n">
        <x:f>COUNTIF(B240:F240,"&gt;31")</x:f>
        <x:v>2</x:v>
      </x:c>
      <x:c r="L240" s="336" t="n">
        <x:f>1/'Executive Summary'!$B$24</x:f>
        <x:v>7.1511238420185165e-9</x:v>
      </x:c>
      <x:c r="M240" s="342" t="n">
        <x:f>2.5</x:f>
        <x:v>2.5</x:v>
      </x:c>
      <x:c r="N240" s="288" t="str">
        <x:v>Conditional coverage wheel</x:v>
      </x:c>
    </x:row>
    <x:row r="241">
      <x:c r="A241" s="295" t="n">
        <x:v>237</x:v>
      </x:c>
      <x:c r="B241" s="296" t="n">
        <x:v>4</x:v>
      </x:c>
      <x:c r="C241" s="296" t="n">
        <x:v>27</x:v>
      </x:c>
      <x:c r="D241" s="296" t="n">
        <x:v>28</x:v>
      </x:c>
      <x:c r="E241" s="296" t="n">
        <x:v>35</x:v>
      </x:c>
      <x:c r="F241" s="296" t="n">
        <x:v>42</x:v>
      </x:c>
      <x:c r="G241" s="296" t="n">
        <x:v>5</x:v>
      </x:c>
      <x:c r="H241" s="296" t="n">
        <x:v>9</x:v>
      </x:c>
      <x:c r="I241" s="296" t="n">
        <x:f>SUM(B241:F241)</x:f>
        <x:v>136</x:v>
      </x:c>
      <x:c r="J241" s="296" t="n">
        <x:f>MOD(B241,2)+MOD(C241,2)+MOD(D241,2)+MOD(E241,2)+MOD(F241,2)</x:f>
        <x:v>2</x:v>
      </x:c>
      <x:c r="K241" s="296" t="n">
        <x:f>COUNTIF(B241:F241,"&gt;31")</x:f>
        <x:v>2</x:v>
      </x:c>
      <x:c r="L241" s="336" t="n">
        <x:f>1/'Executive Summary'!$B$24</x:f>
        <x:v>7.1511238420185165e-9</x:v>
      </x:c>
      <x:c r="M241" s="342" t="n">
        <x:f>2.5</x:f>
        <x:v>2.5</x:v>
      </x:c>
      <x:c r="N241" s="288" t="str">
        <x:v>Conditional coverage wheel</x:v>
      </x:c>
    </x:row>
    <x:row r="242">
      <x:c r="A242" s="295" t="n">
        <x:v>238</x:v>
      </x:c>
      <x:c r="B242" s="296" t="n">
        <x:v>4</x:v>
      </x:c>
      <x:c r="C242" s="296" t="n">
        <x:v>27</x:v>
      </x:c>
      <x:c r="D242" s="296" t="n">
        <x:v>28</x:v>
      </x:c>
      <x:c r="E242" s="296" t="n">
        <x:v>35</x:v>
      </x:c>
      <x:c r="F242" s="296" t="n">
        <x:v>42</x:v>
      </x:c>
      <x:c r="G242" s="296" t="n">
        <x:v>7</x:v>
      </x:c>
      <x:c r="H242" s="296" t="n">
        <x:v>8</x:v>
      </x:c>
      <x:c r="I242" s="296" t="n">
        <x:f>SUM(B242:F242)</x:f>
        <x:v>136</x:v>
      </x:c>
      <x:c r="J242" s="296" t="n">
        <x:f>MOD(B242,2)+MOD(C242,2)+MOD(D242,2)+MOD(E242,2)+MOD(F242,2)</x:f>
        <x:v>2</x:v>
      </x:c>
      <x:c r="K242" s="296" t="n">
        <x:f>COUNTIF(B242:F242,"&gt;31")</x:f>
        <x:v>2</x:v>
      </x:c>
      <x:c r="L242" s="336" t="n">
        <x:f>1/'Executive Summary'!$B$24</x:f>
        <x:v>7.1511238420185165e-9</x:v>
      </x:c>
      <x:c r="M242" s="342" t="n">
        <x:f>2.5</x:f>
        <x:v>2.5</x:v>
      </x:c>
      <x:c r="N242" s="288" t="str">
        <x:v>Conditional coverage wheel</x:v>
      </x:c>
    </x:row>
    <x:row r="243">
      <x:c r="A243" s="295" t="n">
        <x:v>239</x:v>
      </x:c>
      <x:c r="B243" s="296" t="n">
        <x:v>4</x:v>
      </x:c>
      <x:c r="C243" s="296" t="n">
        <x:v>27</x:v>
      </x:c>
      <x:c r="D243" s="296" t="n">
        <x:v>28</x:v>
      </x:c>
      <x:c r="E243" s="296" t="n">
        <x:v>35</x:v>
      </x:c>
      <x:c r="F243" s="296" t="n">
        <x:v>42</x:v>
      </x:c>
      <x:c r="G243" s="296" t="n">
        <x:v>7</x:v>
      </x:c>
      <x:c r="H243" s="296" t="n">
        <x:v>9</x:v>
      </x:c>
      <x:c r="I243" s="296" t="n">
        <x:f>SUM(B243:F243)</x:f>
        <x:v>136</x:v>
      </x:c>
      <x:c r="J243" s="296" t="n">
        <x:f>MOD(B243,2)+MOD(C243,2)+MOD(D243,2)+MOD(E243,2)+MOD(F243,2)</x:f>
        <x:v>2</x:v>
      </x:c>
      <x:c r="K243" s="296" t="n">
        <x:f>COUNTIF(B243:F243,"&gt;31")</x:f>
        <x:v>2</x:v>
      </x:c>
      <x:c r="L243" s="336" t="n">
        <x:f>1/'Executive Summary'!$B$24</x:f>
        <x:v>7.1511238420185165e-9</x:v>
      </x:c>
      <x:c r="M243" s="342" t="n">
        <x:f>2.5</x:f>
        <x:v>2.5</x:v>
      </x:c>
      <x:c r="N243" s="288" t="str">
        <x:v>Conditional coverage wheel</x:v>
      </x:c>
    </x:row>
    <x:row r="244">
      <x:c r="A244" s="295" t="n">
        <x:v>240</x:v>
      </x:c>
      <x:c r="B244" s="296" t="n">
        <x:v>4</x:v>
      </x:c>
      <x:c r="C244" s="296" t="n">
        <x:v>27</x:v>
      </x:c>
      <x:c r="D244" s="296" t="n">
        <x:v>28</x:v>
      </x:c>
      <x:c r="E244" s="296" t="n">
        <x:v>35</x:v>
      </x:c>
      <x:c r="F244" s="296" t="n">
        <x:v>42</x:v>
      </x:c>
      <x:c r="G244" s="296" t="n">
        <x:v>8</x:v>
      </x:c>
      <x:c r="H244" s="296" t="n">
        <x:v>9</x:v>
      </x:c>
      <x:c r="I244" s="296" t="n">
        <x:f>SUM(B244:F244)</x:f>
        <x:v>136</x:v>
      </x:c>
      <x:c r="J244" s="296" t="n">
        <x:f>MOD(B244,2)+MOD(C244,2)+MOD(D244,2)+MOD(E244,2)+MOD(F244,2)</x:f>
        <x:v>2</x:v>
      </x:c>
      <x:c r="K244" s="296" t="n">
        <x:f>COUNTIF(B244:F244,"&gt;31")</x:f>
        <x:v>2</x:v>
      </x:c>
      <x:c r="L244" s="336" t="n">
        <x:f>1/'Executive Summary'!$B$24</x:f>
        <x:v>7.1511238420185165e-9</x:v>
      </x:c>
      <x:c r="M244" s="342" t="n">
        <x:f>2.5</x:f>
        <x:v>2.5</x:v>
      </x:c>
      <x:c r="N244" s="288" t="str">
        <x:v>Conditional coverage wheel</x:v>
      </x:c>
    </x:row>
    <x:row r="245">
      <x:c r="A245" s="295" t="n">
        <x:v>241</x:v>
      </x:c>
      <x:c r="B245" s="296" t="n">
        <x:v>21</x:v>
      </x:c>
      <x:c r="C245" s="296" t="n">
        <x:v>25</x:v>
      </x:c>
      <x:c r="D245" s="296" t="n">
        <x:v>35</x:v>
      </x:c>
      <x:c r="E245" s="296" t="n">
        <x:v>37</x:v>
      </x:c>
      <x:c r="F245" s="296" t="n">
        <x:v>48</x:v>
      </x:c>
      <x:c r="G245" s="296" t="n">
        <x:v>3</x:v>
      </x:c>
      <x:c r="H245" s="296" t="n">
        <x:v>4</x:v>
      </x:c>
      <x:c r="I245" s="296" t="n">
        <x:f>SUM(B245:F245)</x:f>
        <x:v>166</x:v>
      </x:c>
      <x:c r="J245" s="296" t="n">
        <x:f>MOD(B245,2)+MOD(C245,2)+MOD(D245,2)+MOD(E245,2)+MOD(F245,2)</x:f>
        <x:v>4</x:v>
      </x:c>
      <x:c r="K245" s="296" t="n">
        <x:f>COUNTIF(B245:F245,"&gt;31")</x:f>
        <x:v>3</x:v>
      </x:c>
      <x:c r="L245" s="336" t="n">
        <x:f>1/'Executive Summary'!$B$24</x:f>
        <x:v>7.1511238420185165e-9</x:v>
      </x:c>
      <x:c r="M245" s="342" t="n">
        <x:f>2.5</x:f>
        <x:v>2.5</x:v>
      </x:c>
      <x:c r="N245" s="288" t="str">
        <x:v>Conditional coverage wheel</x:v>
      </x:c>
    </x:row>
    <x:row r="246">
      <x:c r="A246" s="295" t="n">
        <x:v>242</x:v>
      </x:c>
      <x:c r="B246" s="296" t="n">
        <x:v>21</x:v>
      </x:c>
      <x:c r="C246" s="296" t="n">
        <x:v>25</x:v>
      </x:c>
      <x:c r="D246" s="296" t="n">
        <x:v>35</x:v>
      </x:c>
      <x:c r="E246" s="296" t="n">
        <x:v>37</x:v>
      </x:c>
      <x:c r="F246" s="296" t="n">
        <x:v>48</x:v>
      </x:c>
      <x:c r="G246" s="296" t="n">
        <x:v>3</x:v>
      </x:c>
      <x:c r="H246" s="296" t="n">
        <x:v>5</x:v>
      </x:c>
      <x:c r="I246" s="296" t="n">
        <x:f>SUM(B246:F246)</x:f>
        <x:v>166</x:v>
      </x:c>
      <x:c r="J246" s="296" t="n">
        <x:f>MOD(B246,2)+MOD(C246,2)+MOD(D246,2)+MOD(E246,2)+MOD(F246,2)</x:f>
        <x:v>4</x:v>
      </x:c>
      <x:c r="K246" s="296" t="n">
        <x:f>COUNTIF(B246:F246,"&gt;31")</x:f>
        <x:v>3</x:v>
      </x:c>
      <x:c r="L246" s="336" t="n">
        <x:f>1/'Executive Summary'!$B$24</x:f>
        <x:v>7.1511238420185165e-9</x:v>
      </x:c>
      <x:c r="M246" s="342" t="n">
        <x:f>2.5</x:f>
        <x:v>2.5</x:v>
      </x:c>
      <x:c r="N246" s="288" t="str">
        <x:v>Conditional coverage wheel</x:v>
      </x:c>
    </x:row>
    <x:row r="247">
      <x:c r="A247" s="295" t="n">
        <x:v>243</x:v>
      </x:c>
      <x:c r="B247" s="296" t="n">
        <x:v>21</x:v>
      </x:c>
      <x:c r="C247" s="296" t="n">
        <x:v>25</x:v>
      </x:c>
      <x:c r="D247" s="296" t="n">
        <x:v>35</x:v>
      </x:c>
      <x:c r="E247" s="296" t="n">
        <x:v>37</x:v>
      </x:c>
      <x:c r="F247" s="296" t="n">
        <x:v>48</x:v>
      </x:c>
      <x:c r="G247" s="296" t="n">
        <x:v>3</x:v>
      </x:c>
      <x:c r="H247" s="296" t="n">
        <x:v>7</x:v>
      </x:c>
      <x:c r="I247" s="296" t="n">
        <x:f>SUM(B247:F247)</x:f>
        <x:v>166</x:v>
      </x:c>
      <x:c r="J247" s="296" t="n">
        <x:f>MOD(B247,2)+MOD(C247,2)+MOD(D247,2)+MOD(E247,2)+MOD(F247,2)</x:f>
        <x:v>4</x:v>
      </x:c>
      <x:c r="K247" s="296" t="n">
        <x:f>COUNTIF(B247:F247,"&gt;31")</x:f>
        <x:v>3</x:v>
      </x:c>
      <x:c r="L247" s="336" t="n">
        <x:f>1/'Executive Summary'!$B$24</x:f>
        <x:v>7.1511238420185165e-9</x:v>
      </x:c>
      <x:c r="M247" s="342" t="n">
        <x:f>2.5</x:f>
        <x:v>2.5</x:v>
      </x:c>
      <x:c r="N247" s="288" t="str">
        <x:v>Conditional coverage wheel</x:v>
      </x:c>
    </x:row>
    <x:row r="248">
      <x:c r="A248" s="295" t="n">
        <x:v>244</x:v>
      </x:c>
      <x:c r="B248" s="296" t="n">
        <x:v>21</x:v>
      </x:c>
      <x:c r="C248" s="296" t="n">
        <x:v>25</x:v>
      </x:c>
      <x:c r="D248" s="296" t="n">
        <x:v>35</x:v>
      </x:c>
      <x:c r="E248" s="296" t="n">
        <x:v>37</x:v>
      </x:c>
      <x:c r="F248" s="296" t="n">
        <x:v>48</x:v>
      </x:c>
      <x:c r="G248" s="296" t="n">
        <x:v>3</x:v>
      </x:c>
      <x:c r="H248" s="296" t="n">
        <x:v>8</x:v>
      </x:c>
      <x:c r="I248" s="296" t="n">
        <x:f>SUM(B248:F248)</x:f>
        <x:v>166</x:v>
      </x:c>
      <x:c r="J248" s="296" t="n">
        <x:f>MOD(B248,2)+MOD(C248,2)+MOD(D248,2)+MOD(E248,2)+MOD(F248,2)</x:f>
        <x:v>4</x:v>
      </x:c>
      <x:c r="K248" s="296" t="n">
        <x:f>COUNTIF(B248:F248,"&gt;31")</x:f>
        <x:v>3</x:v>
      </x:c>
      <x:c r="L248" s="336" t="n">
        <x:f>1/'Executive Summary'!$B$24</x:f>
        <x:v>7.1511238420185165e-9</x:v>
      </x:c>
      <x:c r="M248" s="342" t="n">
        <x:f>2.5</x:f>
        <x:v>2.5</x:v>
      </x:c>
      <x:c r="N248" s="288" t="str">
        <x:v>Conditional coverage wheel</x:v>
      </x:c>
    </x:row>
    <x:row r="249">
      <x:c r="A249" s="295" t="n">
        <x:v>245</x:v>
      </x:c>
      <x:c r="B249" s="296" t="n">
        <x:v>21</x:v>
      </x:c>
      <x:c r="C249" s="296" t="n">
        <x:v>25</x:v>
      </x:c>
      <x:c r="D249" s="296" t="n">
        <x:v>35</x:v>
      </x:c>
      <x:c r="E249" s="296" t="n">
        <x:v>37</x:v>
      </x:c>
      <x:c r="F249" s="296" t="n">
        <x:v>48</x:v>
      </x:c>
      <x:c r="G249" s="296" t="n">
        <x:v>3</x:v>
      </x:c>
      <x:c r="H249" s="296" t="n">
        <x:v>9</x:v>
      </x:c>
      <x:c r="I249" s="296" t="n">
        <x:f>SUM(B249:F249)</x:f>
        <x:v>166</x:v>
      </x:c>
      <x:c r="J249" s="296" t="n">
        <x:f>MOD(B249,2)+MOD(C249,2)+MOD(D249,2)+MOD(E249,2)+MOD(F249,2)</x:f>
        <x:v>4</x:v>
      </x:c>
      <x:c r="K249" s="296" t="n">
        <x:f>COUNTIF(B249:F249,"&gt;31")</x:f>
        <x:v>3</x:v>
      </x:c>
      <x:c r="L249" s="336" t="n">
        <x:f>1/'Executive Summary'!$B$24</x:f>
        <x:v>7.1511238420185165e-9</x:v>
      </x:c>
      <x:c r="M249" s="342" t="n">
        <x:f>2.5</x:f>
        <x:v>2.5</x:v>
      </x:c>
      <x:c r="N249" s="288" t="str">
        <x:v>Conditional coverage wheel</x:v>
      </x:c>
    </x:row>
    <x:row r="250">
      <x:c r="A250" s="295" t="n">
        <x:v>246</x:v>
      </x:c>
      <x:c r="B250" s="296" t="n">
        <x:v>21</x:v>
      </x:c>
      <x:c r="C250" s="296" t="n">
        <x:v>25</x:v>
      </x:c>
      <x:c r="D250" s="296" t="n">
        <x:v>35</x:v>
      </x:c>
      <x:c r="E250" s="296" t="n">
        <x:v>37</x:v>
      </x:c>
      <x:c r="F250" s="296" t="n">
        <x:v>48</x:v>
      </x:c>
      <x:c r="G250" s="296" t="n">
        <x:v>4</x:v>
      </x:c>
      <x:c r="H250" s="296" t="n">
        <x:v>5</x:v>
      </x:c>
      <x:c r="I250" s="296" t="n">
        <x:f>SUM(B250:F250)</x:f>
        <x:v>166</x:v>
      </x:c>
      <x:c r="J250" s="296" t="n">
        <x:f>MOD(B250,2)+MOD(C250,2)+MOD(D250,2)+MOD(E250,2)+MOD(F250,2)</x:f>
        <x:v>4</x:v>
      </x:c>
      <x:c r="K250" s="296" t="n">
        <x:f>COUNTIF(B250:F250,"&gt;31")</x:f>
        <x:v>3</x:v>
      </x:c>
      <x:c r="L250" s="336" t="n">
        <x:f>1/'Executive Summary'!$B$24</x:f>
        <x:v>7.1511238420185165e-9</x:v>
      </x:c>
      <x:c r="M250" s="342" t="n">
        <x:f>2.5</x:f>
        <x:v>2.5</x:v>
      </x:c>
      <x:c r="N250" s="288" t="str">
        <x:v>Conditional coverage wheel</x:v>
      </x:c>
    </x:row>
    <x:row r="251">
      <x:c r="A251" s="295" t="n">
        <x:v>247</x:v>
      </x:c>
      <x:c r="B251" s="296" t="n">
        <x:v>21</x:v>
      </x:c>
      <x:c r="C251" s="296" t="n">
        <x:v>25</x:v>
      </x:c>
      <x:c r="D251" s="296" t="n">
        <x:v>35</x:v>
      </x:c>
      <x:c r="E251" s="296" t="n">
        <x:v>37</x:v>
      </x:c>
      <x:c r="F251" s="296" t="n">
        <x:v>48</x:v>
      </x:c>
      <x:c r="G251" s="296" t="n">
        <x:v>4</x:v>
      </x:c>
      <x:c r="H251" s="296" t="n">
        <x:v>7</x:v>
      </x:c>
      <x:c r="I251" s="296" t="n">
        <x:f>SUM(B251:F251)</x:f>
        <x:v>166</x:v>
      </x:c>
      <x:c r="J251" s="296" t="n">
        <x:f>MOD(B251,2)+MOD(C251,2)+MOD(D251,2)+MOD(E251,2)+MOD(F251,2)</x:f>
        <x:v>4</x:v>
      </x:c>
      <x:c r="K251" s="296" t="n">
        <x:f>COUNTIF(B251:F251,"&gt;31")</x:f>
        <x:v>3</x:v>
      </x:c>
      <x:c r="L251" s="336" t="n">
        <x:f>1/'Executive Summary'!$B$24</x:f>
        <x:v>7.1511238420185165e-9</x:v>
      </x:c>
      <x:c r="M251" s="342" t="n">
        <x:f>2.5</x:f>
        <x:v>2.5</x:v>
      </x:c>
      <x:c r="N251" s="288" t="str">
        <x:v>Conditional coverage wheel</x:v>
      </x:c>
    </x:row>
    <x:row r="252">
      <x:c r="A252" s="295" t="n">
        <x:v>248</x:v>
      </x:c>
      <x:c r="B252" s="296" t="n">
        <x:v>21</x:v>
      </x:c>
      <x:c r="C252" s="296" t="n">
        <x:v>25</x:v>
      </x:c>
      <x:c r="D252" s="296" t="n">
        <x:v>35</x:v>
      </x:c>
      <x:c r="E252" s="296" t="n">
        <x:v>37</x:v>
      </x:c>
      <x:c r="F252" s="296" t="n">
        <x:v>48</x:v>
      </x:c>
      <x:c r="G252" s="296" t="n">
        <x:v>4</x:v>
      </x:c>
      <x:c r="H252" s="296" t="n">
        <x:v>8</x:v>
      </x:c>
      <x:c r="I252" s="296" t="n">
        <x:f>SUM(B252:F252)</x:f>
        <x:v>166</x:v>
      </x:c>
      <x:c r="J252" s="296" t="n">
        <x:f>MOD(B252,2)+MOD(C252,2)+MOD(D252,2)+MOD(E252,2)+MOD(F252,2)</x:f>
        <x:v>4</x:v>
      </x:c>
      <x:c r="K252" s="296" t="n">
        <x:f>COUNTIF(B252:F252,"&gt;31")</x:f>
        <x:v>3</x:v>
      </x:c>
      <x:c r="L252" s="336" t="n">
        <x:f>1/'Executive Summary'!$B$24</x:f>
        <x:v>7.1511238420185165e-9</x:v>
      </x:c>
      <x:c r="M252" s="342" t="n">
        <x:f>2.5</x:f>
        <x:v>2.5</x:v>
      </x:c>
      <x:c r="N252" s="288" t="str">
        <x:v>Conditional coverage wheel</x:v>
      </x:c>
    </x:row>
    <x:row r="253">
      <x:c r="A253" s="295" t="n">
        <x:v>249</x:v>
      </x:c>
      <x:c r="B253" s="296" t="n">
        <x:v>21</x:v>
      </x:c>
      <x:c r="C253" s="296" t="n">
        <x:v>25</x:v>
      </x:c>
      <x:c r="D253" s="296" t="n">
        <x:v>35</x:v>
      </x:c>
      <x:c r="E253" s="296" t="n">
        <x:v>37</x:v>
      </x:c>
      <x:c r="F253" s="296" t="n">
        <x:v>48</x:v>
      </x:c>
      <x:c r="G253" s="296" t="n">
        <x:v>4</x:v>
      </x:c>
      <x:c r="H253" s="296" t="n">
        <x:v>9</x:v>
      </x:c>
      <x:c r="I253" s="296" t="n">
        <x:f>SUM(B253:F253)</x:f>
        <x:v>166</x:v>
      </x:c>
      <x:c r="J253" s="296" t="n">
        <x:f>MOD(B253,2)+MOD(C253,2)+MOD(D253,2)+MOD(E253,2)+MOD(F253,2)</x:f>
        <x:v>4</x:v>
      </x:c>
      <x:c r="K253" s="296" t="n">
        <x:f>COUNTIF(B253:F253,"&gt;31")</x:f>
        <x:v>3</x:v>
      </x:c>
      <x:c r="L253" s="336" t="n">
        <x:f>1/'Executive Summary'!$B$24</x:f>
        <x:v>7.1511238420185165e-9</x:v>
      </x:c>
      <x:c r="M253" s="342" t="n">
        <x:f>2.5</x:f>
        <x:v>2.5</x:v>
      </x:c>
      <x:c r="N253" s="288" t="str">
        <x:v>Conditional coverage wheel</x:v>
      </x:c>
    </x:row>
    <x:row r="254">
      <x:c r="A254" s="295" t="n">
        <x:v>250</x:v>
      </x:c>
      <x:c r="B254" s="296" t="n">
        <x:v>21</x:v>
      </x:c>
      <x:c r="C254" s="296" t="n">
        <x:v>25</x:v>
      </x:c>
      <x:c r="D254" s="296" t="n">
        <x:v>35</x:v>
      </x:c>
      <x:c r="E254" s="296" t="n">
        <x:v>37</x:v>
      </x:c>
      <x:c r="F254" s="296" t="n">
        <x:v>48</x:v>
      </x:c>
      <x:c r="G254" s="296" t="n">
        <x:v>5</x:v>
      </x:c>
      <x:c r="H254" s="296" t="n">
        <x:v>7</x:v>
      </x:c>
      <x:c r="I254" s="296" t="n">
        <x:f>SUM(B254:F254)</x:f>
        <x:v>166</x:v>
      </x:c>
      <x:c r="J254" s="296" t="n">
        <x:f>MOD(B254,2)+MOD(C254,2)+MOD(D254,2)+MOD(E254,2)+MOD(F254,2)</x:f>
        <x:v>4</x:v>
      </x:c>
      <x:c r="K254" s="296" t="n">
        <x:f>COUNTIF(B254:F254,"&gt;31")</x:f>
        <x:v>3</x:v>
      </x:c>
      <x:c r="L254" s="336" t="n">
        <x:f>1/'Executive Summary'!$B$24</x:f>
        <x:v>7.1511238420185165e-9</x:v>
      </x:c>
      <x:c r="M254" s="342" t="n">
        <x:f>2.5</x:f>
        <x:v>2.5</x:v>
      </x:c>
      <x:c r="N254" s="288" t="str">
        <x:v>Conditional coverage wheel</x:v>
      </x:c>
    </x:row>
    <x:row r="255">
      <x:c r="A255" s="295" t="n">
        <x:v>251</x:v>
      </x:c>
      <x:c r="B255" s="296" t="n">
        <x:v>21</x:v>
      </x:c>
      <x:c r="C255" s="296" t="n">
        <x:v>25</x:v>
      </x:c>
      <x:c r="D255" s="296" t="n">
        <x:v>35</x:v>
      </x:c>
      <x:c r="E255" s="296" t="n">
        <x:v>37</x:v>
      </x:c>
      <x:c r="F255" s="296" t="n">
        <x:v>48</x:v>
      </x:c>
      <x:c r="G255" s="296" t="n">
        <x:v>5</x:v>
      </x:c>
      <x:c r="H255" s="296" t="n">
        <x:v>8</x:v>
      </x:c>
      <x:c r="I255" s="296" t="n">
        <x:f>SUM(B255:F255)</x:f>
        <x:v>166</x:v>
      </x:c>
      <x:c r="J255" s="296" t="n">
        <x:f>MOD(B255,2)+MOD(C255,2)+MOD(D255,2)+MOD(E255,2)+MOD(F255,2)</x:f>
        <x:v>4</x:v>
      </x:c>
      <x:c r="K255" s="296" t="n">
        <x:f>COUNTIF(B255:F255,"&gt;31")</x:f>
        <x:v>3</x:v>
      </x:c>
      <x:c r="L255" s="336" t="n">
        <x:f>1/'Executive Summary'!$B$24</x:f>
        <x:v>7.1511238420185165e-9</x:v>
      </x:c>
      <x:c r="M255" s="342" t="n">
        <x:f>2.5</x:f>
        <x:v>2.5</x:v>
      </x:c>
      <x:c r="N255" s="288" t="str">
        <x:v>Conditional coverage wheel</x:v>
      </x:c>
    </x:row>
    <x:row r="256">
      <x:c r="A256" s="295" t="n">
        <x:v>252</x:v>
      </x:c>
      <x:c r="B256" s="296" t="n">
        <x:v>21</x:v>
      </x:c>
      <x:c r="C256" s="296" t="n">
        <x:v>25</x:v>
      </x:c>
      <x:c r="D256" s="296" t="n">
        <x:v>35</x:v>
      </x:c>
      <x:c r="E256" s="296" t="n">
        <x:v>37</x:v>
      </x:c>
      <x:c r="F256" s="296" t="n">
        <x:v>48</x:v>
      </x:c>
      <x:c r="G256" s="296" t="n">
        <x:v>5</x:v>
      </x:c>
      <x:c r="H256" s="296" t="n">
        <x:v>9</x:v>
      </x:c>
      <x:c r="I256" s="296" t="n">
        <x:f>SUM(B256:F256)</x:f>
        <x:v>166</x:v>
      </x:c>
      <x:c r="J256" s="296" t="n">
        <x:f>MOD(B256,2)+MOD(C256,2)+MOD(D256,2)+MOD(E256,2)+MOD(F256,2)</x:f>
        <x:v>4</x:v>
      </x:c>
      <x:c r="K256" s="296" t="n">
        <x:f>COUNTIF(B256:F256,"&gt;31")</x:f>
        <x:v>3</x:v>
      </x:c>
      <x:c r="L256" s="336" t="n">
        <x:f>1/'Executive Summary'!$B$24</x:f>
        <x:v>7.1511238420185165e-9</x:v>
      </x:c>
      <x:c r="M256" s="342" t="n">
        <x:f>2.5</x:f>
        <x:v>2.5</x:v>
      </x:c>
      <x:c r="N256" s="288" t="str">
        <x:v>Conditional coverage wheel</x:v>
      </x:c>
    </x:row>
    <x:row r="257">
      <x:c r="A257" s="295" t="n">
        <x:v>253</x:v>
      </x:c>
      <x:c r="B257" s="296" t="n">
        <x:v>21</x:v>
      </x:c>
      <x:c r="C257" s="296" t="n">
        <x:v>25</x:v>
      </x:c>
      <x:c r="D257" s="296" t="n">
        <x:v>35</x:v>
      </x:c>
      <x:c r="E257" s="296" t="n">
        <x:v>37</x:v>
      </x:c>
      <x:c r="F257" s="296" t="n">
        <x:v>48</x:v>
      </x:c>
      <x:c r="G257" s="296" t="n">
        <x:v>7</x:v>
      </x:c>
      <x:c r="H257" s="296" t="n">
        <x:v>8</x:v>
      </x:c>
      <x:c r="I257" s="296" t="n">
        <x:f>SUM(B257:F257)</x:f>
        <x:v>166</x:v>
      </x:c>
      <x:c r="J257" s="296" t="n">
        <x:f>MOD(B257,2)+MOD(C257,2)+MOD(D257,2)+MOD(E257,2)+MOD(F257,2)</x:f>
        <x:v>4</x:v>
      </x:c>
      <x:c r="K257" s="296" t="n">
        <x:f>COUNTIF(B257:F257,"&gt;31")</x:f>
        <x:v>3</x:v>
      </x:c>
      <x:c r="L257" s="336" t="n">
        <x:f>1/'Executive Summary'!$B$24</x:f>
        <x:v>7.1511238420185165e-9</x:v>
      </x:c>
      <x:c r="M257" s="342" t="n">
        <x:f>2.5</x:f>
        <x:v>2.5</x:v>
      </x:c>
      <x:c r="N257" s="288" t="str">
        <x:v>Conditional coverage wheel</x:v>
      </x:c>
    </x:row>
    <x:row r="258">
      <x:c r="A258" s="295" t="n">
        <x:v>254</x:v>
      </x:c>
      <x:c r="B258" s="296" t="n">
        <x:v>21</x:v>
      </x:c>
      <x:c r="C258" s="296" t="n">
        <x:v>25</x:v>
      </x:c>
      <x:c r="D258" s="296" t="n">
        <x:v>35</x:v>
      </x:c>
      <x:c r="E258" s="296" t="n">
        <x:v>37</x:v>
      </x:c>
      <x:c r="F258" s="296" t="n">
        <x:v>48</x:v>
      </x:c>
      <x:c r="G258" s="296" t="n">
        <x:v>7</x:v>
      </x:c>
      <x:c r="H258" s="296" t="n">
        <x:v>9</x:v>
      </x:c>
      <x:c r="I258" s="296" t="n">
        <x:f>SUM(B258:F258)</x:f>
        <x:v>166</x:v>
      </x:c>
      <x:c r="J258" s="296" t="n">
        <x:f>MOD(B258,2)+MOD(C258,2)+MOD(D258,2)+MOD(E258,2)+MOD(F258,2)</x:f>
        <x:v>4</x:v>
      </x:c>
      <x:c r="K258" s="296" t="n">
        <x:f>COUNTIF(B258:F258,"&gt;31")</x:f>
        <x:v>3</x:v>
      </x:c>
      <x:c r="L258" s="336" t="n">
        <x:f>1/'Executive Summary'!$B$24</x:f>
        <x:v>7.1511238420185165e-9</x:v>
      </x:c>
      <x:c r="M258" s="342" t="n">
        <x:f>2.5</x:f>
        <x:v>2.5</x:v>
      </x:c>
      <x:c r="N258" s="288" t="str">
        <x:v>Conditional coverage wheel</x:v>
      </x:c>
    </x:row>
    <x:row r="259">
      <x:c r="A259" s="295" t="n">
        <x:v>255</x:v>
      </x:c>
      <x:c r="B259" s="296" t="n">
        <x:v>21</x:v>
      </x:c>
      <x:c r="C259" s="296" t="n">
        <x:v>25</x:v>
      </x:c>
      <x:c r="D259" s="296" t="n">
        <x:v>35</x:v>
      </x:c>
      <x:c r="E259" s="296" t="n">
        <x:v>37</x:v>
      </x:c>
      <x:c r="F259" s="296" t="n">
        <x:v>48</x:v>
      </x:c>
      <x:c r="G259" s="296" t="n">
        <x:v>8</x:v>
      </x:c>
      <x:c r="H259" s="296" t="n">
        <x:v>9</x:v>
      </x:c>
      <x:c r="I259" s="296" t="n">
        <x:f>SUM(B259:F259)</x:f>
        <x:v>166</x:v>
      </x:c>
      <x:c r="J259" s="296" t="n">
        <x:f>MOD(B259,2)+MOD(C259,2)+MOD(D259,2)+MOD(E259,2)+MOD(F259,2)</x:f>
        <x:v>4</x:v>
      </x:c>
      <x:c r="K259" s="296" t="n">
        <x:f>COUNTIF(B259:F259,"&gt;31")</x:f>
        <x:v>3</x:v>
      </x:c>
      <x:c r="L259" s="336" t="n">
        <x:f>1/'Executive Summary'!$B$24</x:f>
        <x:v>7.1511238420185165e-9</x:v>
      </x:c>
      <x:c r="M259" s="342" t="n">
        <x:f>2.5</x:f>
        <x:v>2.5</x:v>
      </x:c>
      <x:c r="N259" s="288" t="str">
        <x:v>Conditional coverage wheel</x:v>
      </x:c>
    </x:row>
    <x:row r="260">
      <x:c r="A260" s="295" t="n">
        <x:v>256</x:v>
      </x:c>
      <x:c r="B260" s="296" t="n">
        <x:v>28</x:v>
      </x:c>
      <x:c r="C260" s="296" t="n">
        <x:v>37</x:v>
      </x:c>
      <x:c r="D260" s="296" t="n">
        <x:v>42</x:v>
      </x:c>
      <x:c r="E260" s="296" t="n">
        <x:v>44</x:v>
      </x:c>
      <x:c r="F260" s="296" t="n">
        <x:v>48</x:v>
      </x:c>
      <x:c r="G260" s="296" t="n">
        <x:v>3</x:v>
      </x:c>
      <x:c r="H260" s="296" t="n">
        <x:v>4</x:v>
      </x:c>
      <x:c r="I260" s="296" t="n">
        <x:f>SUM(B260:F260)</x:f>
        <x:v>199</x:v>
      </x:c>
      <x:c r="J260" s="296" t="n">
        <x:f>MOD(B260,2)+MOD(C260,2)+MOD(D260,2)+MOD(E260,2)+MOD(F260,2)</x:f>
        <x:v>1</x:v>
      </x:c>
      <x:c r="K260" s="296" t="n">
        <x:f>COUNTIF(B260:F260,"&gt;31")</x:f>
        <x:v>4</x:v>
      </x:c>
      <x:c r="L260" s="336" t="n">
        <x:f>1/'Executive Summary'!$B$24</x:f>
        <x:v>7.1511238420185165e-9</x:v>
      </x:c>
      <x:c r="M260" s="342" t="n">
        <x:f>2.5</x:f>
        <x:v>2.5</x:v>
      </x:c>
      <x:c r="N260" s="288" t="str">
        <x:v>Conditional coverage wheel</x:v>
      </x:c>
    </x:row>
    <x:row r="261">
      <x:c r="A261" s="295" t="n">
        <x:v>257</x:v>
      </x:c>
      <x:c r="B261" s="296" t="n">
        <x:v>28</x:v>
      </x:c>
      <x:c r="C261" s="296" t="n">
        <x:v>37</x:v>
      </x:c>
      <x:c r="D261" s="296" t="n">
        <x:v>42</x:v>
      </x:c>
      <x:c r="E261" s="296" t="n">
        <x:v>44</x:v>
      </x:c>
      <x:c r="F261" s="296" t="n">
        <x:v>48</x:v>
      </x:c>
      <x:c r="G261" s="296" t="n">
        <x:v>3</x:v>
      </x:c>
      <x:c r="H261" s="296" t="n">
        <x:v>5</x:v>
      </x:c>
      <x:c r="I261" s="296" t="n">
        <x:f>SUM(B261:F261)</x:f>
        <x:v>199</x:v>
      </x:c>
      <x:c r="J261" s="296" t="n">
        <x:f>MOD(B261,2)+MOD(C261,2)+MOD(D261,2)+MOD(E261,2)+MOD(F261,2)</x:f>
        <x:v>1</x:v>
      </x:c>
      <x:c r="K261" s="296" t="n">
        <x:f>COUNTIF(B261:F261,"&gt;31")</x:f>
        <x:v>4</x:v>
      </x:c>
      <x:c r="L261" s="336" t="n">
        <x:f>1/'Executive Summary'!$B$24</x:f>
        <x:v>7.1511238420185165e-9</x:v>
      </x:c>
      <x:c r="M261" s="342" t="n">
        <x:f>2.5</x:f>
        <x:v>2.5</x:v>
      </x:c>
      <x:c r="N261" s="288" t="str">
        <x:v>Conditional coverage wheel</x:v>
      </x:c>
    </x:row>
    <x:row r="262">
      <x:c r="A262" s="295" t="n">
        <x:v>258</x:v>
      </x:c>
      <x:c r="B262" s="296" t="n">
        <x:v>28</x:v>
      </x:c>
      <x:c r="C262" s="296" t="n">
        <x:v>37</x:v>
      </x:c>
      <x:c r="D262" s="296" t="n">
        <x:v>42</x:v>
      </x:c>
      <x:c r="E262" s="296" t="n">
        <x:v>44</x:v>
      </x:c>
      <x:c r="F262" s="296" t="n">
        <x:v>48</x:v>
      </x:c>
      <x:c r="G262" s="296" t="n">
        <x:v>3</x:v>
      </x:c>
      <x:c r="H262" s="296" t="n">
        <x:v>7</x:v>
      </x:c>
      <x:c r="I262" s="296" t="n">
        <x:f>SUM(B262:F262)</x:f>
        <x:v>199</x:v>
      </x:c>
      <x:c r="J262" s="296" t="n">
        <x:f>MOD(B262,2)+MOD(C262,2)+MOD(D262,2)+MOD(E262,2)+MOD(F262,2)</x:f>
        <x:v>1</x:v>
      </x:c>
      <x:c r="K262" s="296" t="n">
        <x:f>COUNTIF(B262:F262,"&gt;31")</x:f>
        <x:v>4</x:v>
      </x:c>
      <x:c r="L262" s="336" t="n">
        <x:f>1/'Executive Summary'!$B$24</x:f>
        <x:v>7.1511238420185165e-9</x:v>
      </x:c>
      <x:c r="M262" s="342" t="n">
        <x:f>2.5</x:f>
        <x:v>2.5</x:v>
      </x:c>
      <x:c r="N262" s="288" t="str">
        <x:v>Conditional coverage wheel</x:v>
      </x:c>
    </x:row>
    <x:row r="263">
      <x:c r="A263" s="295" t="n">
        <x:v>259</x:v>
      </x:c>
      <x:c r="B263" s="296" t="n">
        <x:v>28</x:v>
      </x:c>
      <x:c r="C263" s="296" t="n">
        <x:v>37</x:v>
      </x:c>
      <x:c r="D263" s="296" t="n">
        <x:v>42</x:v>
      </x:c>
      <x:c r="E263" s="296" t="n">
        <x:v>44</x:v>
      </x:c>
      <x:c r="F263" s="296" t="n">
        <x:v>48</x:v>
      </x:c>
      <x:c r="G263" s="296" t="n">
        <x:v>3</x:v>
      </x:c>
      <x:c r="H263" s="296" t="n">
        <x:v>8</x:v>
      </x:c>
      <x:c r="I263" s="296" t="n">
        <x:f>SUM(B263:F263)</x:f>
        <x:v>199</x:v>
      </x:c>
      <x:c r="J263" s="296" t="n">
        <x:f>MOD(B263,2)+MOD(C263,2)+MOD(D263,2)+MOD(E263,2)+MOD(F263,2)</x:f>
        <x:v>1</x:v>
      </x:c>
      <x:c r="K263" s="296" t="n">
        <x:f>COUNTIF(B263:F263,"&gt;31")</x:f>
        <x:v>4</x:v>
      </x:c>
      <x:c r="L263" s="336" t="n">
        <x:f>1/'Executive Summary'!$B$24</x:f>
        <x:v>7.1511238420185165e-9</x:v>
      </x:c>
      <x:c r="M263" s="342" t="n">
        <x:f>2.5</x:f>
        <x:v>2.5</x:v>
      </x:c>
      <x:c r="N263" s="288" t="str">
        <x:v>Conditional coverage wheel</x:v>
      </x:c>
    </x:row>
    <x:row r="264">
      <x:c r="A264" s="295" t="n">
        <x:v>260</x:v>
      </x:c>
      <x:c r="B264" s="296" t="n">
        <x:v>28</x:v>
      </x:c>
      <x:c r="C264" s="296" t="n">
        <x:v>37</x:v>
      </x:c>
      <x:c r="D264" s="296" t="n">
        <x:v>42</x:v>
      </x:c>
      <x:c r="E264" s="296" t="n">
        <x:v>44</x:v>
      </x:c>
      <x:c r="F264" s="296" t="n">
        <x:v>48</x:v>
      </x:c>
      <x:c r="G264" s="296" t="n">
        <x:v>3</x:v>
      </x:c>
      <x:c r="H264" s="296" t="n">
        <x:v>9</x:v>
      </x:c>
      <x:c r="I264" s="296" t="n">
        <x:f>SUM(B264:F264)</x:f>
        <x:v>199</x:v>
      </x:c>
      <x:c r="J264" s="296" t="n">
        <x:f>MOD(B264,2)+MOD(C264,2)+MOD(D264,2)+MOD(E264,2)+MOD(F264,2)</x:f>
        <x:v>1</x:v>
      </x:c>
      <x:c r="K264" s="296" t="n">
        <x:f>COUNTIF(B264:F264,"&gt;31")</x:f>
        <x:v>4</x:v>
      </x:c>
      <x:c r="L264" s="336" t="n">
        <x:f>1/'Executive Summary'!$B$24</x:f>
        <x:v>7.1511238420185165e-9</x:v>
      </x:c>
      <x:c r="M264" s="342" t="n">
        <x:f>2.5</x:f>
        <x:v>2.5</x:v>
      </x:c>
      <x:c r="N264" s="288" t="str">
        <x:v>Conditional coverage wheel</x:v>
      </x:c>
    </x:row>
    <x:row r="265">
      <x:c r="A265" s="295" t="n">
        <x:v>261</x:v>
      </x:c>
      <x:c r="B265" s="296" t="n">
        <x:v>28</x:v>
      </x:c>
      <x:c r="C265" s="296" t="n">
        <x:v>37</x:v>
      </x:c>
      <x:c r="D265" s="296" t="n">
        <x:v>42</x:v>
      </x:c>
      <x:c r="E265" s="296" t="n">
        <x:v>44</x:v>
      </x:c>
      <x:c r="F265" s="296" t="n">
        <x:v>48</x:v>
      </x:c>
      <x:c r="G265" s="296" t="n">
        <x:v>4</x:v>
      </x:c>
      <x:c r="H265" s="296" t="n">
        <x:v>5</x:v>
      </x:c>
      <x:c r="I265" s="296" t="n">
        <x:f>SUM(B265:F265)</x:f>
        <x:v>199</x:v>
      </x:c>
      <x:c r="J265" s="296" t="n">
        <x:f>MOD(B265,2)+MOD(C265,2)+MOD(D265,2)+MOD(E265,2)+MOD(F265,2)</x:f>
        <x:v>1</x:v>
      </x:c>
      <x:c r="K265" s="296" t="n">
        <x:f>COUNTIF(B265:F265,"&gt;31")</x:f>
        <x:v>4</x:v>
      </x:c>
      <x:c r="L265" s="336" t="n">
        <x:f>1/'Executive Summary'!$B$24</x:f>
        <x:v>7.1511238420185165e-9</x:v>
      </x:c>
      <x:c r="M265" s="342" t="n">
        <x:f>2.5</x:f>
        <x:v>2.5</x:v>
      </x:c>
      <x:c r="N265" s="288" t="str">
        <x:v>Conditional coverage wheel</x:v>
      </x:c>
    </x:row>
    <x:row r="266">
      <x:c r="A266" s="295" t="n">
        <x:v>262</x:v>
      </x:c>
      <x:c r="B266" s="296" t="n">
        <x:v>28</x:v>
      </x:c>
      <x:c r="C266" s="296" t="n">
        <x:v>37</x:v>
      </x:c>
      <x:c r="D266" s="296" t="n">
        <x:v>42</x:v>
      </x:c>
      <x:c r="E266" s="296" t="n">
        <x:v>44</x:v>
      </x:c>
      <x:c r="F266" s="296" t="n">
        <x:v>48</x:v>
      </x:c>
      <x:c r="G266" s="296" t="n">
        <x:v>4</x:v>
      </x:c>
      <x:c r="H266" s="296" t="n">
        <x:v>7</x:v>
      </x:c>
      <x:c r="I266" s="296" t="n">
        <x:f>SUM(B266:F266)</x:f>
        <x:v>199</x:v>
      </x:c>
      <x:c r="J266" s="296" t="n">
        <x:f>MOD(B266,2)+MOD(C266,2)+MOD(D266,2)+MOD(E266,2)+MOD(F266,2)</x:f>
        <x:v>1</x:v>
      </x:c>
      <x:c r="K266" s="296" t="n">
        <x:f>COUNTIF(B266:F266,"&gt;31")</x:f>
        <x:v>4</x:v>
      </x:c>
      <x:c r="L266" s="336" t="n">
        <x:f>1/'Executive Summary'!$B$24</x:f>
        <x:v>7.1511238420185165e-9</x:v>
      </x:c>
      <x:c r="M266" s="342" t="n">
        <x:f>2.5</x:f>
        <x:v>2.5</x:v>
      </x:c>
      <x:c r="N266" s="288" t="str">
        <x:v>Conditional coverage wheel</x:v>
      </x:c>
    </x:row>
    <x:row r="267">
      <x:c r="A267" s="295" t="n">
        <x:v>263</x:v>
      </x:c>
      <x:c r="B267" s="296" t="n">
        <x:v>28</x:v>
      </x:c>
      <x:c r="C267" s="296" t="n">
        <x:v>37</x:v>
      </x:c>
      <x:c r="D267" s="296" t="n">
        <x:v>42</x:v>
      </x:c>
      <x:c r="E267" s="296" t="n">
        <x:v>44</x:v>
      </x:c>
      <x:c r="F267" s="296" t="n">
        <x:v>48</x:v>
      </x:c>
      <x:c r="G267" s="296" t="n">
        <x:v>4</x:v>
      </x:c>
      <x:c r="H267" s="296" t="n">
        <x:v>8</x:v>
      </x:c>
      <x:c r="I267" s="296" t="n">
        <x:f>SUM(B267:F267)</x:f>
        <x:v>199</x:v>
      </x:c>
      <x:c r="J267" s="296" t="n">
        <x:f>MOD(B267,2)+MOD(C267,2)+MOD(D267,2)+MOD(E267,2)+MOD(F267,2)</x:f>
        <x:v>1</x:v>
      </x:c>
      <x:c r="K267" s="296" t="n">
        <x:f>COUNTIF(B267:F267,"&gt;31")</x:f>
        <x:v>4</x:v>
      </x:c>
      <x:c r="L267" s="336" t="n">
        <x:f>1/'Executive Summary'!$B$24</x:f>
        <x:v>7.1511238420185165e-9</x:v>
      </x:c>
      <x:c r="M267" s="342" t="n">
        <x:f>2.5</x:f>
        <x:v>2.5</x:v>
      </x:c>
      <x:c r="N267" s="288" t="str">
        <x:v>Conditional coverage wheel</x:v>
      </x:c>
    </x:row>
    <x:row r="268">
      <x:c r="A268" s="295" t="n">
        <x:v>264</x:v>
      </x:c>
      <x:c r="B268" s="296" t="n">
        <x:v>28</x:v>
      </x:c>
      <x:c r="C268" s="296" t="n">
        <x:v>37</x:v>
      </x:c>
      <x:c r="D268" s="296" t="n">
        <x:v>42</x:v>
      </x:c>
      <x:c r="E268" s="296" t="n">
        <x:v>44</x:v>
      </x:c>
      <x:c r="F268" s="296" t="n">
        <x:v>48</x:v>
      </x:c>
      <x:c r="G268" s="296" t="n">
        <x:v>4</x:v>
      </x:c>
      <x:c r="H268" s="296" t="n">
        <x:v>9</x:v>
      </x:c>
      <x:c r="I268" s="296" t="n">
        <x:f>SUM(B268:F268)</x:f>
        <x:v>199</x:v>
      </x:c>
      <x:c r="J268" s="296" t="n">
        <x:f>MOD(B268,2)+MOD(C268,2)+MOD(D268,2)+MOD(E268,2)+MOD(F268,2)</x:f>
        <x:v>1</x:v>
      </x:c>
      <x:c r="K268" s="296" t="n">
        <x:f>COUNTIF(B268:F268,"&gt;31")</x:f>
        <x:v>4</x:v>
      </x:c>
      <x:c r="L268" s="336" t="n">
        <x:f>1/'Executive Summary'!$B$24</x:f>
        <x:v>7.1511238420185165e-9</x:v>
      </x:c>
      <x:c r="M268" s="342" t="n">
        <x:f>2.5</x:f>
        <x:v>2.5</x:v>
      </x:c>
      <x:c r="N268" s="288" t="str">
        <x:v>Conditional coverage wheel</x:v>
      </x:c>
    </x:row>
    <x:row r="269">
      <x:c r="A269" s="295" t="n">
        <x:v>265</x:v>
      </x:c>
      <x:c r="B269" s="296" t="n">
        <x:v>28</x:v>
      </x:c>
      <x:c r="C269" s="296" t="n">
        <x:v>37</x:v>
      </x:c>
      <x:c r="D269" s="296" t="n">
        <x:v>42</x:v>
      </x:c>
      <x:c r="E269" s="296" t="n">
        <x:v>44</x:v>
      </x:c>
      <x:c r="F269" s="296" t="n">
        <x:v>48</x:v>
      </x:c>
      <x:c r="G269" s="296" t="n">
        <x:v>5</x:v>
      </x:c>
      <x:c r="H269" s="296" t="n">
        <x:v>7</x:v>
      </x:c>
      <x:c r="I269" s="296" t="n">
        <x:f>SUM(B269:F269)</x:f>
        <x:v>199</x:v>
      </x:c>
      <x:c r="J269" s="296" t="n">
        <x:f>MOD(B269,2)+MOD(C269,2)+MOD(D269,2)+MOD(E269,2)+MOD(F269,2)</x:f>
        <x:v>1</x:v>
      </x:c>
      <x:c r="K269" s="296" t="n">
        <x:f>COUNTIF(B269:F269,"&gt;31")</x:f>
        <x:v>4</x:v>
      </x:c>
      <x:c r="L269" s="336" t="n">
        <x:f>1/'Executive Summary'!$B$24</x:f>
        <x:v>7.1511238420185165e-9</x:v>
      </x:c>
      <x:c r="M269" s="342" t="n">
        <x:f>2.5</x:f>
        <x:v>2.5</x:v>
      </x:c>
      <x:c r="N269" s="288" t="str">
        <x:v>Conditional coverage wheel</x:v>
      </x:c>
    </x:row>
    <x:row r="270">
      <x:c r="A270" s="295" t="n">
        <x:v>266</x:v>
      </x:c>
      <x:c r="B270" s="296" t="n">
        <x:v>28</x:v>
      </x:c>
      <x:c r="C270" s="296" t="n">
        <x:v>37</x:v>
      </x:c>
      <x:c r="D270" s="296" t="n">
        <x:v>42</x:v>
      </x:c>
      <x:c r="E270" s="296" t="n">
        <x:v>44</x:v>
      </x:c>
      <x:c r="F270" s="296" t="n">
        <x:v>48</x:v>
      </x:c>
      <x:c r="G270" s="296" t="n">
        <x:v>5</x:v>
      </x:c>
      <x:c r="H270" s="296" t="n">
        <x:v>8</x:v>
      </x:c>
      <x:c r="I270" s="296" t="n">
        <x:f>SUM(B270:F270)</x:f>
        <x:v>199</x:v>
      </x:c>
      <x:c r="J270" s="296" t="n">
        <x:f>MOD(B270,2)+MOD(C270,2)+MOD(D270,2)+MOD(E270,2)+MOD(F270,2)</x:f>
        <x:v>1</x:v>
      </x:c>
      <x:c r="K270" s="296" t="n">
        <x:f>COUNTIF(B270:F270,"&gt;31")</x:f>
        <x:v>4</x:v>
      </x:c>
      <x:c r="L270" s="336" t="n">
        <x:f>1/'Executive Summary'!$B$24</x:f>
        <x:v>7.1511238420185165e-9</x:v>
      </x:c>
      <x:c r="M270" s="342" t="n">
        <x:f>2.5</x:f>
        <x:v>2.5</x:v>
      </x:c>
      <x:c r="N270" s="288" t="str">
        <x:v>Conditional coverage wheel</x:v>
      </x:c>
    </x:row>
    <x:row r="271">
      <x:c r="A271" s="295" t="n">
        <x:v>267</x:v>
      </x:c>
      <x:c r="B271" s="296" t="n">
        <x:v>28</x:v>
      </x:c>
      <x:c r="C271" s="296" t="n">
        <x:v>37</x:v>
      </x:c>
      <x:c r="D271" s="296" t="n">
        <x:v>42</x:v>
      </x:c>
      <x:c r="E271" s="296" t="n">
        <x:v>44</x:v>
      </x:c>
      <x:c r="F271" s="296" t="n">
        <x:v>48</x:v>
      </x:c>
      <x:c r="G271" s="296" t="n">
        <x:v>5</x:v>
      </x:c>
      <x:c r="H271" s="296" t="n">
        <x:v>9</x:v>
      </x:c>
      <x:c r="I271" s="296" t="n">
        <x:f>SUM(B271:F271)</x:f>
        <x:v>199</x:v>
      </x:c>
      <x:c r="J271" s="296" t="n">
        <x:f>MOD(B271,2)+MOD(C271,2)+MOD(D271,2)+MOD(E271,2)+MOD(F271,2)</x:f>
        <x:v>1</x:v>
      </x:c>
      <x:c r="K271" s="296" t="n">
        <x:f>COUNTIF(B271:F271,"&gt;31")</x:f>
        <x:v>4</x:v>
      </x:c>
      <x:c r="L271" s="336" t="n">
        <x:f>1/'Executive Summary'!$B$24</x:f>
        <x:v>7.1511238420185165e-9</x:v>
      </x:c>
      <x:c r="M271" s="342" t="n">
        <x:f>2.5</x:f>
        <x:v>2.5</x:v>
      </x:c>
      <x:c r="N271" s="288" t="str">
        <x:v>Conditional coverage wheel</x:v>
      </x:c>
    </x:row>
    <x:row r="272">
      <x:c r="A272" s="295" t="n">
        <x:v>268</x:v>
      </x:c>
      <x:c r="B272" s="296" t="n">
        <x:v>28</x:v>
      </x:c>
      <x:c r="C272" s="296" t="n">
        <x:v>37</x:v>
      </x:c>
      <x:c r="D272" s="296" t="n">
        <x:v>42</x:v>
      </x:c>
      <x:c r="E272" s="296" t="n">
        <x:v>44</x:v>
      </x:c>
      <x:c r="F272" s="296" t="n">
        <x:v>48</x:v>
      </x:c>
      <x:c r="G272" s="296" t="n">
        <x:v>7</x:v>
      </x:c>
      <x:c r="H272" s="296" t="n">
        <x:v>8</x:v>
      </x:c>
      <x:c r="I272" s="296" t="n">
        <x:f>SUM(B272:F272)</x:f>
        <x:v>199</x:v>
      </x:c>
      <x:c r="J272" s="296" t="n">
        <x:f>MOD(B272,2)+MOD(C272,2)+MOD(D272,2)+MOD(E272,2)+MOD(F272,2)</x:f>
        <x:v>1</x:v>
      </x:c>
      <x:c r="K272" s="296" t="n">
        <x:f>COUNTIF(B272:F272,"&gt;31")</x:f>
        <x:v>4</x:v>
      </x:c>
      <x:c r="L272" s="336" t="n">
        <x:f>1/'Executive Summary'!$B$24</x:f>
        <x:v>7.1511238420185165e-9</x:v>
      </x:c>
      <x:c r="M272" s="342" t="n">
        <x:f>2.5</x:f>
        <x:v>2.5</x:v>
      </x:c>
      <x:c r="N272" s="288" t="str">
        <x:v>Conditional coverage wheel</x:v>
      </x:c>
    </x:row>
    <x:row r="273">
      <x:c r="A273" s="295" t="n">
        <x:v>269</x:v>
      </x:c>
      <x:c r="B273" s="296" t="n">
        <x:v>28</x:v>
      </x:c>
      <x:c r="C273" s="296" t="n">
        <x:v>37</x:v>
      </x:c>
      <x:c r="D273" s="296" t="n">
        <x:v>42</x:v>
      </x:c>
      <x:c r="E273" s="296" t="n">
        <x:v>44</x:v>
      </x:c>
      <x:c r="F273" s="296" t="n">
        <x:v>48</x:v>
      </x:c>
      <x:c r="G273" s="296" t="n">
        <x:v>7</x:v>
      </x:c>
      <x:c r="H273" s="296" t="n">
        <x:v>9</x:v>
      </x:c>
      <x:c r="I273" s="296" t="n">
        <x:f>SUM(B273:F273)</x:f>
        <x:v>199</x:v>
      </x:c>
      <x:c r="J273" s="296" t="n">
        <x:f>MOD(B273,2)+MOD(C273,2)+MOD(D273,2)+MOD(E273,2)+MOD(F273,2)</x:f>
        <x:v>1</x:v>
      </x:c>
      <x:c r="K273" s="296" t="n">
        <x:f>COUNTIF(B273:F273,"&gt;31")</x:f>
        <x:v>4</x:v>
      </x:c>
      <x:c r="L273" s="336" t="n">
        <x:f>1/'Executive Summary'!$B$24</x:f>
        <x:v>7.1511238420185165e-9</x:v>
      </x:c>
      <x:c r="M273" s="342" t="n">
        <x:f>2.5</x:f>
        <x:v>2.5</x:v>
      </x:c>
      <x:c r="N273" s="288" t="str">
        <x:v>Conditional coverage wheel</x:v>
      </x:c>
    </x:row>
    <x:row r="274">
      <x:c r="A274" s="295" t="n">
        <x:v>270</x:v>
      </x:c>
      <x:c r="B274" s="296" t="n">
        <x:v>28</x:v>
      </x:c>
      <x:c r="C274" s="296" t="n">
        <x:v>37</x:v>
      </x:c>
      <x:c r="D274" s="296" t="n">
        <x:v>42</x:v>
      </x:c>
      <x:c r="E274" s="296" t="n">
        <x:v>44</x:v>
      </x:c>
      <x:c r="F274" s="296" t="n">
        <x:v>48</x:v>
      </x:c>
      <x:c r="G274" s="296" t="n">
        <x:v>8</x:v>
      </x:c>
      <x:c r="H274" s="296" t="n">
        <x:v>9</x:v>
      </x:c>
      <x:c r="I274" s="296" t="n">
        <x:f>SUM(B274:F274)</x:f>
        <x:v>199</x:v>
      </x:c>
      <x:c r="J274" s="296" t="n">
        <x:f>MOD(B274,2)+MOD(C274,2)+MOD(D274,2)+MOD(E274,2)+MOD(F274,2)</x:f>
        <x:v>1</x:v>
      </x:c>
      <x:c r="K274" s="296" t="n">
        <x:f>COUNTIF(B274:F274,"&gt;31")</x:f>
        <x:v>4</x:v>
      </x:c>
      <x:c r="L274" s="336" t="n">
        <x:f>1/'Executive Summary'!$B$24</x:f>
        <x:v>7.1511238420185165e-9</x:v>
      </x:c>
      <x:c r="M274" s="342" t="n">
        <x:f>2.5</x:f>
        <x:v>2.5</x:v>
      </x:c>
      <x:c r="N274" s="288" t="str">
        <x:v>Conditional coverage wheel</x:v>
      </x:c>
    </x:row>
    <x:row r="275">
      <x:c r="A275" s="295" t="n">
        <x:v>271</x:v>
      </x:c>
      <x:c r="B275" s="296" t="n">
        <x:v>4</x:v>
      </x:c>
      <x:c r="C275" s="296" t="n">
        <x:v>27</x:v>
      </x:c>
      <x:c r="D275" s="296" t="n">
        <x:v>36</x:v>
      </x:c>
      <x:c r="E275" s="296" t="n">
        <x:v>37</x:v>
      </x:c>
      <x:c r="F275" s="296" t="n">
        <x:v>48</x:v>
      </x:c>
      <x:c r="G275" s="296" t="n">
        <x:v>3</x:v>
      </x:c>
      <x:c r="H275" s="296" t="n">
        <x:v>4</x:v>
      </x:c>
      <x:c r="I275" s="296" t="n">
        <x:f>SUM(B275:F275)</x:f>
        <x:v>152</x:v>
      </x:c>
      <x:c r="J275" s="296" t="n">
        <x:f>MOD(B275,2)+MOD(C275,2)+MOD(D275,2)+MOD(E275,2)+MOD(F275,2)</x:f>
        <x:v>2</x:v>
      </x:c>
      <x:c r="K275" s="296" t="n">
        <x:f>COUNTIF(B275:F275,"&gt;31")</x:f>
        <x:v>3</x:v>
      </x:c>
      <x:c r="L275" s="336" t="n">
        <x:f>1/'Executive Summary'!$B$24</x:f>
        <x:v>7.1511238420185165e-9</x:v>
      </x:c>
      <x:c r="M275" s="342" t="n">
        <x:f>2.5</x:f>
        <x:v>2.5</x:v>
      </x:c>
      <x:c r="N275" s="288" t="str">
        <x:v>Conditional coverage wheel</x:v>
      </x:c>
    </x:row>
    <x:row r="276">
      <x:c r="A276" s="295" t="n">
        <x:v>272</x:v>
      </x:c>
      <x:c r="B276" s="296" t="n">
        <x:v>4</x:v>
      </x:c>
      <x:c r="C276" s="296" t="n">
        <x:v>27</x:v>
      </x:c>
      <x:c r="D276" s="296" t="n">
        <x:v>36</x:v>
      </x:c>
      <x:c r="E276" s="296" t="n">
        <x:v>37</x:v>
      </x:c>
      <x:c r="F276" s="296" t="n">
        <x:v>48</x:v>
      </x:c>
      <x:c r="G276" s="296" t="n">
        <x:v>3</x:v>
      </x:c>
      <x:c r="H276" s="296" t="n">
        <x:v>5</x:v>
      </x:c>
      <x:c r="I276" s="296" t="n">
        <x:f>SUM(B276:F276)</x:f>
        <x:v>152</x:v>
      </x:c>
      <x:c r="J276" s="296" t="n">
        <x:f>MOD(B276,2)+MOD(C276,2)+MOD(D276,2)+MOD(E276,2)+MOD(F276,2)</x:f>
        <x:v>2</x:v>
      </x:c>
      <x:c r="K276" s="296" t="n">
        <x:f>COUNTIF(B276:F276,"&gt;31")</x:f>
        <x:v>3</x:v>
      </x:c>
      <x:c r="L276" s="336" t="n">
        <x:f>1/'Executive Summary'!$B$24</x:f>
        <x:v>7.1511238420185165e-9</x:v>
      </x:c>
      <x:c r="M276" s="342" t="n">
        <x:f>2.5</x:f>
        <x:v>2.5</x:v>
      </x:c>
      <x:c r="N276" s="288" t="str">
        <x:v>Conditional coverage wheel</x:v>
      </x:c>
    </x:row>
    <x:row r="277">
      <x:c r="A277" s="295" t="n">
        <x:v>273</x:v>
      </x:c>
      <x:c r="B277" s="296" t="n">
        <x:v>4</x:v>
      </x:c>
      <x:c r="C277" s="296" t="n">
        <x:v>27</x:v>
      </x:c>
      <x:c r="D277" s="296" t="n">
        <x:v>36</x:v>
      </x:c>
      <x:c r="E277" s="296" t="n">
        <x:v>37</x:v>
      </x:c>
      <x:c r="F277" s="296" t="n">
        <x:v>48</x:v>
      </x:c>
      <x:c r="G277" s="296" t="n">
        <x:v>3</x:v>
      </x:c>
      <x:c r="H277" s="296" t="n">
        <x:v>7</x:v>
      </x:c>
      <x:c r="I277" s="296" t="n">
        <x:f>SUM(B277:F277)</x:f>
        <x:v>152</x:v>
      </x:c>
      <x:c r="J277" s="296" t="n">
        <x:f>MOD(B277,2)+MOD(C277,2)+MOD(D277,2)+MOD(E277,2)+MOD(F277,2)</x:f>
        <x:v>2</x:v>
      </x:c>
      <x:c r="K277" s="296" t="n">
        <x:f>COUNTIF(B277:F277,"&gt;31")</x:f>
        <x:v>3</x:v>
      </x:c>
      <x:c r="L277" s="336" t="n">
        <x:f>1/'Executive Summary'!$B$24</x:f>
        <x:v>7.1511238420185165e-9</x:v>
      </x:c>
      <x:c r="M277" s="342" t="n">
        <x:f>2.5</x:f>
        <x:v>2.5</x:v>
      </x:c>
      <x:c r="N277" s="288" t="str">
        <x:v>Conditional coverage wheel</x:v>
      </x:c>
    </x:row>
    <x:row r="278">
      <x:c r="A278" s="295" t="n">
        <x:v>274</x:v>
      </x:c>
      <x:c r="B278" s="296" t="n">
        <x:v>4</x:v>
      </x:c>
      <x:c r="C278" s="296" t="n">
        <x:v>27</x:v>
      </x:c>
      <x:c r="D278" s="296" t="n">
        <x:v>36</x:v>
      </x:c>
      <x:c r="E278" s="296" t="n">
        <x:v>37</x:v>
      </x:c>
      <x:c r="F278" s="296" t="n">
        <x:v>48</x:v>
      </x:c>
      <x:c r="G278" s="296" t="n">
        <x:v>3</x:v>
      </x:c>
      <x:c r="H278" s="296" t="n">
        <x:v>8</x:v>
      </x:c>
      <x:c r="I278" s="296" t="n">
        <x:f>SUM(B278:F278)</x:f>
        <x:v>152</x:v>
      </x:c>
      <x:c r="J278" s="296" t="n">
        <x:f>MOD(B278,2)+MOD(C278,2)+MOD(D278,2)+MOD(E278,2)+MOD(F278,2)</x:f>
        <x:v>2</x:v>
      </x:c>
      <x:c r="K278" s="296" t="n">
        <x:f>COUNTIF(B278:F278,"&gt;31")</x:f>
        <x:v>3</x:v>
      </x:c>
      <x:c r="L278" s="336" t="n">
        <x:f>1/'Executive Summary'!$B$24</x:f>
        <x:v>7.1511238420185165e-9</x:v>
      </x:c>
      <x:c r="M278" s="342" t="n">
        <x:f>2.5</x:f>
        <x:v>2.5</x:v>
      </x:c>
      <x:c r="N278" s="288" t="str">
        <x:v>Conditional coverage wheel</x:v>
      </x:c>
    </x:row>
    <x:row r="279">
      <x:c r="A279" s="295" t="n">
        <x:v>275</x:v>
      </x:c>
      <x:c r="B279" s="296" t="n">
        <x:v>4</x:v>
      </x:c>
      <x:c r="C279" s="296" t="n">
        <x:v>27</x:v>
      </x:c>
      <x:c r="D279" s="296" t="n">
        <x:v>36</x:v>
      </x:c>
      <x:c r="E279" s="296" t="n">
        <x:v>37</x:v>
      </x:c>
      <x:c r="F279" s="296" t="n">
        <x:v>48</x:v>
      </x:c>
      <x:c r="G279" s="296" t="n">
        <x:v>3</x:v>
      </x:c>
      <x:c r="H279" s="296" t="n">
        <x:v>9</x:v>
      </x:c>
      <x:c r="I279" s="296" t="n">
        <x:f>SUM(B279:F279)</x:f>
        <x:v>152</x:v>
      </x:c>
      <x:c r="J279" s="296" t="n">
        <x:f>MOD(B279,2)+MOD(C279,2)+MOD(D279,2)+MOD(E279,2)+MOD(F279,2)</x:f>
        <x:v>2</x:v>
      </x:c>
      <x:c r="K279" s="296" t="n">
        <x:f>COUNTIF(B279:F279,"&gt;31")</x:f>
        <x:v>3</x:v>
      </x:c>
      <x:c r="L279" s="336" t="n">
        <x:f>1/'Executive Summary'!$B$24</x:f>
        <x:v>7.1511238420185165e-9</x:v>
      </x:c>
      <x:c r="M279" s="342" t="n">
        <x:f>2.5</x:f>
        <x:v>2.5</x:v>
      </x:c>
      <x:c r="N279" s="288" t="str">
        <x:v>Conditional coverage wheel</x:v>
      </x:c>
    </x:row>
    <x:row r="280">
      <x:c r="A280" s="295" t="n">
        <x:v>276</x:v>
      </x:c>
      <x:c r="B280" s="296" t="n">
        <x:v>4</x:v>
      </x:c>
      <x:c r="C280" s="296" t="n">
        <x:v>27</x:v>
      </x:c>
      <x:c r="D280" s="296" t="n">
        <x:v>36</x:v>
      </x:c>
      <x:c r="E280" s="296" t="n">
        <x:v>37</x:v>
      </x:c>
      <x:c r="F280" s="296" t="n">
        <x:v>48</x:v>
      </x:c>
      <x:c r="G280" s="296" t="n">
        <x:v>4</x:v>
      </x:c>
      <x:c r="H280" s="296" t="n">
        <x:v>5</x:v>
      </x:c>
      <x:c r="I280" s="296" t="n">
        <x:f>SUM(B280:F280)</x:f>
        <x:v>152</x:v>
      </x:c>
      <x:c r="J280" s="296" t="n">
        <x:f>MOD(B280,2)+MOD(C280,2)+MOD(D280,2)+MOD(E280,2)+MOD(F280,2)</x:f>
        <x:v>2</x:v>
      </x:c>
      <x:c r="K280" s="296" t="n">
        <x:f>COUNTIF(B280:F280,"&gt;31")</x:f>
        <x:v>3</x:v>
      </x:c>
      <x:c r="L280" s="336" t="n">
        <x:f>1/'Executive Summary'!$B$24</x:f>
        <x:v>7.1511238420185165e-9</x:v>
      </x:c>
      <x:c r="M280" s="342" t="n">
        <x:f>2.5</x:f>
        <x:v>2.5</x:v>
      </x:c>
      <x:c r="N280" s="288" t="str">
        <x:v>Conditional coverage wheel</x:v>
      </x:c>
    </x:row>
    <x:row r="281">
      <x:c r="A281" s="295" t="n">
        <x:v>277</x:v>
      </x:c>
      <x:c r="B281" s="296" t="n">
        <x:v>4</x:v>
      </x:c>
      <x:c r="C281" s="296" t="n">
        <x:v>27</x:v>
      </x:c>
      <x:c r="D281" s="296" t="n">
        <x:v>36</x:v>
      </x:c>
      <x:c r="E281" s="296" t="n">
        <x:v>37</x:v>
      </x:c>
      <x:c r="F281" s="296" t="n">
        <x:v>48</x:v>
      </x:c>
      <x:c r="G281" s="296" t="n">
        <x:v>4</x:v>
      </x:c>
      <x:c r="H281" s="296" t="n">
        <x:v>7</x:v>
      </x:c>
      <x:c r="I281" s="296" t="n">
        <x:f>SUM(B281:F281)</x:f>
        <x:v>152</x:v>
      </x:c>
      <x:c r="J281" s="296" t="n">
        <x:f>MOD(B281,2)+MOD(C281,2)+MOD(D281,2)+MOD(E281,2)+MOD(F281,2)</x:f>
        <x:v>2</x:v>
      </x:c>
      <x:c r="K281" s="296" t="n">
        <x:f>COUNTIF(B281:F281,"&gt;31")</x:f>
        <x:v>3</x:v>
      </x:c>
      <x:c r="L281" s="336" t="n">
        <x:f>1/'Executive Summary'!$B$24</x:f>
        <x:v>7.1511238420185165e-9</x:v>
      </x:c>
      <x:c r="M281" s="342" t="n">
        <x:f>2.5</x:f>
        <x:v>2.5</x:v>
      </x:c>
      <x:c r="N281" s="288" t="str">
        <x:v>Conditional coverage wheel</x:v>
      </x:c>
    </x:row>
    <x:row r="282">
      <x:c r="A282" s="295" t="n">
        <x:v>278</x:v>
      </x:c>
      <x:c r="B282" s="296" t="n">
        <x:v>4</x:v>
      </x:c>
      <x:c r="C282" s="296" t="n">
        <x:v>27</x:v>
      </x:c>
      <x:c r="D282" s="296" t="n">
        <x:v>36</x:v>
      </x:c>
      <x:c r="E282" s="296" t="n">
        <x:v>37</x:v>
      </x:c>
      <x:c r="F282" s="296" t="n">
        <x:v>48</x:v>
      </x:c>
      <x:c r="G282" s="296" t="n">
        <x:v>4</x:v>
      </x:c>
      <x:c r="H282" s="296" t="n">
        <x:v>8</x:v>
      </x:c>
      <x:c r="I282" s="296" t="n">
        <x:f>SUM(B282:F282)</x:f>
        <x:v>152</x:v>
      </x:c>
      <x:c r="J282" s="296" t="n">
        <x:f>MOD(B282,2)+MOD(C282,2)+MOD(D282,2)+MOD(E282,2)+MOD(F282,2)</x:f>
        <x:v>2</x:v>
      </x:c>
      <x:c r="K282" s="296" t="n">
        <x:f>COUNTIF(B282:F282,"&gt;31")</x:f>
        <x:v>3</x:v>
      </x:c>
      <x:c r="L282" s="336" t="n">
        <x:f>1/'Executive Summary'!$B$24</x:f>
        <x:v>7.1511238420185165e-9</x:v>
      </x:c>
      <x:c r="M282" s="342" t="n">
        <x:f>2.5</x:f>
        <x:v>2.5</x:v>
      </x:c>
      <x:c r="N282" s="288" t="str">
        <x:v>Conditional coverage wheel</x:v>
      </x:c>
    </x:row>
    <x:row r="283">
      <x:c r="A283" s="295" t="n">
        <x:v>279</x:v>
      </x:c>
      <x:c r="B283" s="296" t="n">
        <x:v>4</x:v>
      </x:c>
      <x:c r="C283" s="296" t="n">
        <x:v>27</x:v>
      </x:c>
      <x:c r="D283" s="296" t="n">
        <x:v>36</x:v>
      </x:c>
      <x:c r="E283" s="296" t="n">
        <x:v>37</x:v>
      </x:c>
      <x:c r="F283" s="296" t="n">
        <x:v>48</x:v>
      </x:c>
      <x:c r="G283" s="296" t="n">
        <x:v>4</x:v>
      </x:c>
      <x:c r="H283" s="296" t="n">
        <x:v>9</x:v>
      </x:c>
      <x:c r="I283" s="296" t="n">
        <x:f>SUM(B283:F283)</x:f>
        <x:v>152</x:v>
      </x:c>
      <x:c r="J283" s="296" t="n">
        <x:f>MOD(B283,2)+MOD(C283,2)+MOD(D283,2)+MOD(E283,2)+MOD(F283,2)</x:f>
        <x:v>2</x:v>
      </x:c>
      <x:c r="K283" s="296" t="n">
        <x:f>COUNTIF(B283:F283,"&gt;31")</x:f>
        <x:v>3</x:v>
      </x:c>
      <x:c r="L283" s="336" t="n">
        <x:f>1/'Executive Summary'!$B$24</x:f>
        <x:v>7.1511238420185165e-9</x:v>
      </x:c>
      <x:c r="M283" s="342" t="n">
        <x:f>2.5</x:f>
        <x:v>2.5</x:v>
      </x:c>
      <x:c r="N283" s="288" t="str">
        <x:v>Conditional coverage wheel</x:v>
      </x:c>
    </x:row>
    <x:row r="284">
      <x:c r="A284" s="295" t="n">
        <x:v>280</x:v>
      </x:c>
      <x:c r="B284" s="296" t="n">
        <x:v>4</x:v>
      </x:c>
      <x:c r="C284" s="296" t="n">
        <x:v>27</x:v>
      </x:c>
      <x:c r="D284" s="296" t="n">
        <x:v>36</x:v>
      </x:c>
      <x:c r="E284" s="296" t="n">
        <x:v>37</x:v>
      </x:c>
      <x:c r="F284" s="296" t="n">
        <x:v>48</x:v>
      </x:c>
      <x:c r="G284" s="296" t="n">
        <x:v>5</x:v>
      </x:c>
      <x:c r="H284" s="296" t="n">
        <x:v>7</x:v>
      </x:c>
      <x:c r="I284" s="296" t="n">
        <x:f>SUM(B284:F284)</x:f>
        <x:v>152</x:v>
      </x:c>
      <x:c r="J284" s="296" t="n">
        <x:f>MOD(B284,2)+MOD(C284,2)+MOD(D284,2)+MOD(E284,2)+MOD(F284,2)</x:f>
        <x:v>2</x:v>
      </x:c>
      <x:c r="K284" s="296" t="n">
        <x:f>COUNTIF(B284:F284,"&gt;31")</x:f>
        <x:v>3</x:v>
      </x:c>
      <x:c r="L284" s="336" t="n">
        <x:f>1/'Executive Summary'!$B$24</x:f>
        <x:v>7.1511238420185165e-9</x:v>
      </x:c>
      <x:c r="M284" s="342" t="n">
        <x:f>2.5</x:f>
        <x:v>2.5</x:v>
      </x:c>
      <x:c r="N284" s="288" t="str">
        <x:v>Conditional coverage wheel</x:v>
      </x:c>
    </x:row>
    <x:row r="285">
      <x:c r="A285" s="295" t="n">
        <x:v>281</x:v>
      </x:c>
      <x:c r="B285" s="296" t="n">
        <x:v>4</x:v>
      </x:c>
      <x:c r="C285" s="296" t="n">
        <x:v>27</x:v>
      </x:c>
      <x:c r="D285" s="296" t="n">
        <x:v>36</x:v>
      </x:c>
      <x:c r="E285" s="296" t="n">
        <x:v>37</x:v>
      </x:c>
      <x:c r="F285" s="296" t="n">
        <x:v>48</x:v>
      </x:c>
      <x:c r="G285" s="296" t="n">
        <x:v>5</x:v>
      </x:c>
      <x:c r="H285" s="296" t="n">
        <x:v>8</x:v>
      </x:c>
      <x:c r="I285" s="296" t="n">
        <x:f>SUM(B285:F285)</x:f>
        <x:v>152</x:v>
      </x:c>
      <x:c r="J285" s="296" t="n">
        <x:f>MOD(B285,2)+MOD(C285,2)+MOD(D285,2)+MOD(E285,2)+MOD(F285,2)</x:f>
        <x:v>2</x:v>
      </x:c>
      <x:c r="K285" s="296" t="n">
        <x:f>COUNTIF(B285:F285,"&gt;31")</x:f>
        <x:v>3</x:v>
      </x:c>
      <x:c r="L285" s="336" t="n">
        <x:f>1/'Executive Summary'!$B$24</x:f>
        <x:v>7.1511238420185165e-9</x:v>
      </x:c>
      <x:c r="M285" s="342" t="n">
        <x:f>2.5</x:f>
        <x:v>2.5</x:v>
      </x:c>
      <x:c r="N285" s="288" t="str">
        <x:v>Conditional coverage wheel</x:v>
      </x:c>
    </x:row>
    <x:row r="286">
      <x:c r="A286" s="295" t="n">
        <x:v>282</x:v>
      </x:c>
      <x:c r="B286" s="296" t="n">
        <x:v>4</x:v>
      </x:c>
      <x:c r="C286" s="296" t="n">
        <x:v>27</x:v>
      </x:c>
      <x:c r="D286" s="296" t="n">
        <x:v>36</x:v>
      </x:c>
      <x:c r="E286" s="296" t="n">
        <x:v>37</x:v>
      </x:c>
      <x:c r="F286" s="296" t="n">
        <x:v>48</x:v>
      </x:c>
      <x:c r="G286" s="296" t="n">
        <x:v>5</x:v>
      </x:c>
      <x:c r="H286" s="296" t="n">
        <x:v>9</x:v>
      </x:c>
      <x:c r="I286" s="296" t="n">
        <x:f>SUM(B286:F286)</x:f>
        <x:v>152</x:v>
      </x:c>
      <x:c r="J286" s="296" t="n">
        <x:f>MOD(B286,2)+MOD(C286,2)+MOD(D286,2)+MOD(E286,2)+MOD(F286,2)</x:f>
        <x:v>2</x:v>
      </x:c>
      <x:c r="K286" s="296" t="n">
        <x:f>COUNTIF(B286:F286,"&gt;31")</x:f>
        <x:v>3</x:v>
      </x:c>
      <x:c r="L286" s="336" t="n">
        <x:f>1/'Executive Summary'!$B$24</x:f>
        <x:v>7.1511238420185165e-9</x:v>
      </x:c>
      <x:c r="M286" s="342" t="n">
        <x:f>2.5</x:f>
        <x:v>2.5</x:v>
      </x:c>
      <x:c r="N286" s="288" t="str">
        <x:v>Conditional coverage wheel</x:v>
      </x:c>
    </x:row>
    <x:row r="287">
      <x:c r="A287" s="295" t="n">
        <x:v>283</x:v>
      </x:c>
      <x:c r="B287" s="296" t="n">
        <x:v>4</x:v>
      </x:c>
      <x:c r="C287" s="296" t="n">
        <x:v>27</x:v>
      </x:c>
      <x:c r="D287" s="296" t="n">
        <x:v>36</x:v>
      </x:c>
      <x:c r="E287" s="296" t="n">
        <x:v>37</x:v>
      </x:c>
      <x:c r="F287" s="296" t="n">
        <x:v>48</x:v>
      </x:c>
      <x:c r="G287" s="296" t="n">
        <x:v>7</x:v>
      </x:c>
      <x:c r="H287" s="296" t="n">
        <x:v>8</x:v>
      </x:c>
      <x:c r="I287" s="296" t="n">
        <x:f>SUM(B287:F287)</x:f>
        <x:v>152</x:v>
      </x:c>
      <x:c r="J287" s="296" t="n">
        <x:f>MOD(B287,2)+MOD(C287,2)+MOD(D287,2)+MOD(E287,2)+MOD(F287,2)</x:f>
        <x:v>2</x:v>
      </x:c>
      <x:c r="K287" s="296" t="n">
        <x:f>COUNTIF(B287:F287,"&gt;31")</x:f>
        <x:v>3</x:v>
      </x:c>
      <x:c r="L287" s="336" t="n">
        <x:f>1/'Executive Summary'!$B$24</x:f>
        <x:v>7.1511238420185165e-9</x:v>
      </x:c>
      <x:c r="M287" s="342" t="n">
        <x:f>2.5</x:f>
        <x:v>2.5</x:v>
      </x:c>
      <x:c r="N287" s="288" t="str">
        <x:v>Conditional coverage wheel</x:v>
      </x:c>
    </x:row>
    <x:row r="288">
      <x:c r="A288" s="295" t="n">
        <x:v>284</x:v>
      </x:c>
      <x:c r="B288" s="296" t="n">
        <x:v>4</x:v>
      </x:c>
      <x:c r="C288" s="296" t="n">
        <x:v>27</x:v>
      </x:c>
      <x:c r="D288" s="296" t="n">
        <x:v>36</x:v>
      </x:c>
      <x:c r="E288" s="296" t="n">
        <x:v>37</x:v>
      </x:c>
      <x:c r="F288" s="296" t="n">
        <x:v>48</x:v>
      </x:c>
      <x:c r="G288" s="296" t="n">
        <x:v>7</x:v>
      </x:c>
      <x:c r="H288" s="296" t="n">
        <x:v>9</x:v>
      </x:c>
      <x:c r="I288" s="296" t="n">
        <x:f>SUM(B288:F288)</x:f>
        <x:v>152</x:v>
      </x:c>
      <x:c r="J288" s="296" t="n">
        <x:f>MOD(B288,2)+MOD(C288,2)+MOD(D288,2)+MOD(E288,2)+MOD(F288,2)</x:f>
        <x:v>2</x:v>
      </x:c>
      <x:c r="K288" s="296" t="n">
        <x:f>COUNTIF(B288:F288,"&gt;31")</x:f>
        <x:v>3</x:v>
      </x:c>
      <x:c r="L288" s="336" t="n">
        <x:f>1/'Executive Summary'!$B$24</x:f>
        <x:v>7.1511238420185165e-9</x:v>
      </x:c>
      <x:c r="M288" s="342" t="n">
        <x:f>2.5</x:f>
        <x:v>2.5</x:v>
      </x:c>
      <x:c r="N288" s="288" t="str">
        <x:v>Conditional coverage wheel</x:v>
      </x:c>
    </x:row>
    <x:row r="289">
      <x:c r="A289" s="295" t="n">
        <x:v>285</x:v>
      </x:c>
      <x:c r="B289" s="296" t="n">
        <x:v>4</x:v>
      </x:c>
      <x:c r="C289" s="296" t="n">
        <x:v>27</x:v>
      </x:c>
      <x:c r="D289" s="296" t="n">
        <x:v>36</x:v>
      </x:c>
      <x:c r="E289" s="296" t="n">
        <x:v>37</x:v>
      </x:c>
      <x:c r="F289" s="296" t="n">
        <x:v>48</x:v>
      </x:c>
      <x:c r="G289" s="296" t="n">
        <x:v>8</x:v>
      </x:c>
      <x:c r="H289" s="296" t="n">
        <x:v>9</x:v>
      </x:c>
      <x:c r="I289" s="296" t="n">
        <x:f>SUM(B289:F289)</x:f>
        <x:v>152</x:v>
      </x:c>
      <x:c r="J289" s="296" t="n">
        <x:f>MOD(B289,2)+MOD(C289,2)+MOD(D289,2)+MOD(E289,2)+MOD(F289,2)</x:f>
        <x:v>2</x:v>
      </x:c>
      <x:c r="K289" s="296" t="n">
        <x:f>COUNTIF(B289:F289,"&gt;31")</x:f>
        <x:v>3</x:v>
      </x:c>
      <x:c r="L289" s="336" t="n">
        <x:f>1/'Executive Summary'!$B$24</x:f>
        <x:v>7.1511238420185165e-9</x:v>
      </x:c>
      <x:c r="M289" s="342" t="n">
        <x:f>2.5</x:f>
        <x:v>2.5</x:v>
      </x:c>
      <x:c r="N289" s="288" t="str">
        <x:v>Conditional coverage wheel</x:v>
      </x:c>
    </x:row>
    <x:row r="290">
      <x:c r="A290" s="295" t="n">
        <x:v>286</x:v>
      </x:c>
      <x:c r="B290" s="296" t="n">
        <x:v>21</x:v>
      </x:c>
      <x:c r="C290" s="296" t="n">
        <x:v>28</x:v>
      </x:c>
      <x:c r="D290" s="296" t="n">
        <x:v>36</x:v>
      </x:c>
      <x:c r="E290" s="296" t="n">
        <x:v>42</x:v>
      </x:c>
      <x:c r="F290" s="296" t="n">
        <x:v>50</x:v>
      </x:c>
      <x:c r="G290" s="296" t="n">
        <x:v>3</x:v>
      </x:c>
      <x:c r="H290" s="296" t="n">
        <x:v>4</x:v>
      </x:c>
      <x:c r="I290" s="296" t="n">
        <x:f>SUM(B290:F290)</x:f>
        <x:v>177</x:v>
      </x:c>
      <x:c r="J290" s="296" t="n">
        <x:f>MOD(B290,2)+MOD(C290,2)+MOD(D290,2)+MOD(E290,2)+MOD(F290,2)</x:f>
        <x:v>1</x:v>
      </x:c>
      <x:c r="K290" s="296" t="n">
        <x:f>COUNTIF(B290:F290,"&gt;31")</x:f>
        <x:v>3</x:v>
      </x:c>
      <x:c r="L290" s="336" t="n">
        <x:f>1/'Executive Summary'!$B$24</x:f>
        <x:v>7.1511238420185165e-9</x:v>
      </x:c>
      <x:c r="M290" s="342" t="n">
        <x:f>2.5</x:f>
        <x:v>2.5</x:v>
      </x:c>
      <x:c r="N290" s="288" t="str">
        <x:v>Conditional coverage wheel</x:v>
      </x:c>
    </x:row>
    <x:row r="291">
      <x:c r="A291" s="295" t="n">
        <x:v>287</x:v>
      </x:c>
      <x:c r="B291" s="296" t="n">
        <x:v>21</x:v>
      </x:c>
      <x:c r="C291" s="296" t="n">
        <x:v>28</x:v>
      </x:c>
      <x:c r="D291" s="296" t="n">
        <x:v>36</x:v>
      </x:c>
      <x:c r="E291" s="296" t="n">
        <x:v>42</x:v>
      </x:c>
      <x:c r="F291" s="296" t="n">
        <x:v>50</x:v>
      </x:c>
      <x:c r="G291" s="296" t="n">
        <x:v>3</x:v>
      </x:c>
      <x:c r="H291" s="296" t="n">
        <x:v>5</x:v>
      </x:c>
      <x:c r="I291" s="296" t="n">
        <x:f>SUM(B291:F291)</x:f>
        <x:v>177</x:v>
      </x:c>
      <x:c r="J291" s="296" t="n">
        <x:f>MOD(B291,2)+MOD(C291,2)+MOD(D291,2)+MOD(E291,2)+MOD(F291,2)</x:f>
        <x:v>1</x:v>
      </x:c>
      <x:c r="K291" s="296" t="n">
        <x:f>COUNTIF(B291:F291,"&gt;31")</x:f>
        <x:v>3</x:v>
      </x:c>
      <x:c r="L291" s="336" t="n">
        <x:f>1/'Executive Summary'!$B$24</x:f>
        <x:v>7.1511238420185165e-9</x:v>
      </x:c>
      <x:c r="M291" s="342" t="n">
        <x:f>2.5</x:f>
        <x:v>2.5</x:v>
      </x:c>
      <x:c r="N291" s="288" t="str">
        <x:v>Conditional coverage wheel</x:v>
      </x:c>
    </x:row>
    <x:row r="292">
      <x:c r="A292" s="295" t="n">
        <x:v>288</x:v>
      </x:c>
      <x:c r="B292" s="296" t="n">
        <x:v>21</x:v>
      </x:c>
      <x:c r="C292" s="296" t="n">
        <x:v>28</x:v>
      </x:c>
      <x:c r="D292" s="296" t="n">
        <x:v>36</x:v>
      </x:c>
      <x:c r="E292" s="296" t="n">
        <x:v>42</x:v>
      </x:c>
      <x:c r="F292" s="296" t="n">
        <x:v>50</x:v>
      </x:c>
      <x:c r="G292" s="296" t="n">
        <x:v>3</x:v>
      </x:c>
      <x:c r="H292" s="296" t="n">
        <x:v>7</x:v>
      </x:c>
      <x:c r="I292" s="296" t="n">
        <x:f>SUM(B292:F292)</x:f>
        <x:v>177</x:v>
      </x:c>
      <x:c r="J292" s="296" t="n">
        <x:f>MOD(B292,2)+MOD(C292,2)+MOD(D292,2)+MOD(E292,2)+MOD(F292,2)</x:f>
        <x:v>1</x:v>
      </x:c>
      <x:c r="K292" s="296" t="n">
        <x:f>COUNTIF(B292:F292,"&gt;31")</x:f>
        <x:v>3</x:v>
      </x:c>
      <x:c r="L292" s="336" t="n">
        <x:f>1/'Executive Summary'!$B$24</x:f>
        <x:v>7.1511238420185165e-9</x:v>
      </x:c>
      <x:c r="M292" s="342" t="n">
        <x:f>2.5</x:f>
        <x:v>2.5</x:v>
      </x:c>
      <x:c r="N292" s="288" t="str">
        <x:v>Conditional coverage wheel</x:v>
      </x:c>
    </x:row>
    <x:row r="293">
      <x:c r="A293" s="295" t="n">
        <x:v>289</x:v>
      </x:c>
      <x:c r="B293" s="296" t="n">
        <x:v>21</x:v>
      </x:c>
      <x:c r="C293" s="296" t="n">
        <x:v>28</x:v>
      </x:c>
      <x:c r="D293" s="296" t="n">
        <x:v>36</x:v>
      </x:c>
      <x:c r="E293" s="296" t="n">
        <x:v>42</x:v>
      </x:c>
      <x:c r="F293" s="296" t="n">
        <x:v>50</x:v>
      </x:c>
      <x:c r="G293" s="296" t="n">
        <x:v>3</x:v>
      </x:c>
      <x:c r="H293" s="296" t="n">
        <x:v>8</x:v>
      </x:c>
      <x:c r="I293" s="296" t="n">
        <x:f>SUM(B293:F293)</x:f>
        <x:v>177</x:v>
      </x:c>
      <x:c r="J293" s="296" t="n">
        <x:f>MOD(B293,2)+MOD(C293,2)+MOD(D293,2)+MOD(E293,2)+MOD(F293,2)</x:f>
        <x:v>1</x:v>
      </x:c>
      <x:c r="K293" s="296" t="n">
        <x:f>COUNTIF(B293:F293,"&gt;31")</x:f>
        <x:v>3</x:v>
      </x:c>
      <x:c r="L293" s="336" t="n">
        <x:f>1/'Executive Summary'!$B$24</x:f>
        <x:v>7.1511238420185165e-9</x:v>
      </x:c>
      <x:c r="M293" s="342" t="n">
        <x:f>2.5</x:f>
        <x:v>2.5</x:v>
      </x:c>
      <x:c r="N293" s="288" t="str">
        <x:v>Conditional coverage wheel</x:v>
      </x:c>
    </x:row>
    <x:row r="294">
      <x:c r="A294" s="295" t="n">
        <x:v>290</x:v>
      </x:c>
      <x:c r="B294" s="296" t="n">
        <x:v>21</x:v>
      </x:c>
      <x:c r="C294" s="296" t="n">
        <x:v>28</x:v>
      </x:c>
      <x:c r="D294" s="296" t="n">
        <x:v>36</x:v>
      </x:c>
      <x:c r="E294" s="296" t="n">
        <x:v>42</x:v>
      </x:c>
      <x:c r="F294" s="296" t="n">
        <x:v>50</x:v>
      </x:c>
      <x:c r="G294" s="296" t="n">
        <x:v>3</x:v>
      </x:c>
      <x:c r="H294" s="296" t="n">
        <x:v>9</x:v>
      </x:c>
      <x:c r="I294" s="296" t="n">
        <x:f>SUM(B294:F294)</x:f>
        <x:v>177</x:v>
      </x:c>
      <x:c r="J294" s="296" t="n">
        <x:f>MOD(B294,2)+MOD(C294,2)+MOD(D294,2)+MOD(E294,2)+MOD(F294,2)</x:f>
        <x:v>1</x:v>
      </x:c>
      <x:c r="K294" s="296" t="n">
        <x:f>COUNTIF(B294:F294,"&gt;31")</x:f>
        <x:v>3</x:v>
      </x:c>
      <x:c r="L294" s="336" t="n">
        <x:f>1/'Executive Summary'!$B$24</x:f>
        <x:v>7.1511238420185165e-9</x:v>
      </x:c>
      <x:c r="M294" s="342" t="n">
        <x:f>2.5</x:f>
        <x:v>2.5</x:v>
      </x:c>
      <x:c r="N294" s="288" t="str">
        <x:v>Conditional coverage wheel</x:v>
      </x:c>
    </x:row>
    <x:row r="295">
      <x:c r="A295" s="295" t="n">
        <x:v>291</x:v>
      </x:c>
      <x:c r="B295" s="296" t="n">
        <x:v>21</x:v>
      </x:c>
      <x:c r="C295" s="296" t="n">
        <x:v>28</x:v>
      </x:c>
      <x:c r="D295" s="296" t="n">
        <x:v>36</x:v>
      </x:c>
      <x:c r="E295" s="296" t="n">
        <x:v>42</x:v>
      </x:c>
      <x:c r="F295" s="296" t="n">
        <x:v>50</x:v>
      </x:c>
      <x:c r="G295" s="296" t="n">
        <x:v>4</x:v>
      </x:c>
      <x:c r="H295" s="296" t="n">
        <x:v>5</x:v>
      </x:c>
      <x:c r="I295" s="296" t="n">
        <x:f>SUM(B295:F295)</x:f>
        <x:v>177</x:v>
      </x:c>
      <x:c r="J295" s="296" t="n">
        <x:f>MOD(B295,2)+MOD(C295,2)+MOD(D295,2)+MOD(E295,2)+MOD(F295,2)</x:f>
        <x:v>1</x:v>
      </x:c>
      <x:c r="K295" s="296" t="n">
        <x:f>COUNTIF(B295:F295,"&gt;31")</x:f>
        <x:v>3</x:v>
      </x:c>
      <x:c r="L295" s="336" t="n">
        <x:f>1/'Executive Summary'!$B$24</x:f>
        <x:v>7.1511238420185165e-9</x:v>
      </x:c>
      <x:c r="M295" s="342" t="n">
        <x:f>2.5</x:f>
        <x:v>2.5</x:v>
      </x:c>
      <x:c r="N295" s="288" t="str">
        <x:v>Conditional coverage wheel</x:v>
      </x:c>
    </x:row>
    <x:row r="296">
      <x:c r="A296" s="295" t="n">
        <x:v>292</x:v>
      </x:c>
      <x:c r="B296" s="296" t="n">
        <x:v>21</x:v>
      </x:c>
      <x:c r="C296" s="296" t="n">
        <x:v>28</x:v>
      </x:c>
      <x:c r="D296" s="296" t="n">
        <x:v>36</x:v>
      </x:c>
      <x:c r="E296" s="296" t="n">
        <x:v>42</x:v>
      </x:c>
      <x:c r="F296" s="296" t="n">
        <x:v>50</x:v>
      </x:c>
      <x:c r="G296" s="296" t="n">
        <x:v>4</x:v>
      </x:c>
      <x:c r="H296" s="296" t="n">
        <x:v>7</x:v>
      </x:c>
      <x:c r="I296" s="296" t="n">
        <x:f>SUM(B296:F296)</x:f>
        <x:v>177</x:v>
      </x:c>
      <x:c r="J296" s="296" t="n">
        <x:f>MOD(B296,2)+MOD(C296,2)+MOD(D296,2)+MOD(E296,2)+MOD(F296,2)</x:f>
        <x:v>1</x:v>
      </x:c>
      <x:c r="K296" s="296" t="n">
        <x:f>COUNTIF(B296:F296,"&gt;31")</x:f>
        <x:v>3</x:v>
      </x:c>
      <x:c r="L296" s="336" t="n">
        <x:f>1/'Executive Summary'!$B$24</x:f>
        <x:v>7.1511238420185165e-9</x:v>
      </x:c>
      <x:c r="M296" s="342" t="n">
        <x:f>2.5</x:f>
        <x:v>2.5</x:v>
      </x:c>
      <x:c r="N296" s="288" t="str">
        <x:v>Conditional coverage wheel</x:v>
      </x:c>
    </x:row>
    <x:row r="297">
      <x:c r="A297" s="295" t="n">
        <x:v>293</x:v>
      </x:c>
      <x:c r="B297" s="296" t="n">
        <x:v>21</x:v>
      </x:c>
      <x:c r="C297" s="296" t="n">
        <x:v>28</x:v>
      </x:c>
      <x:c r="D297" s="296" t="n">
        <x:v>36</x:v>
      </x:c>
      <x:c r="E297" s="296" t="n">
        <x:v>42</x:v>
      </x:c>
      <x:c r="F297" s="296" t="n">
        <x:v>50</x:v>
      </x:c>
      <x:c r="G297" s="296" t="n">
        <x:v>4</x:v>
      </x:c>
      <x:c r="H297" s="296" t="n">
        <x:v>8</x:v>
      </x:c>
      <x:c r="I297" s="296" t="n">
        <x:f>SUM(B297:F297)</x:f>
        <x:v>177</x:v>
      </x:c>
      <x:c r="J297" s="296" t="n">
        <x:f>MOD(B297,2)+MOD(C297,2)+MOD(D297,2)+MOD(E297,2)+MOD(F297,2)</x:f>
        <x:v>1</x:v>
      </x:c>
      <x:c r="K297" s="296" t="n">
        <x:f>COUNTIF(B297:F297,"&gt;31")</x:f>
        <x:v>3</x:v>
      </x:c>
      <x:c r="L297" s="336" t="n">
        <x:f>1/'Executive Summary'!$B$24</x:f>
        <x:v>7.1511238420185165e-9</x:v>
      </x:c>
      <x:c r="M297" s="342" t="n">
        <x:f>2.5</x:f>
        <x:v>2.5</x:v>
      </x:c>
      <x:c r="N297" s="288" t="str">
        <x:v>Conditional coverage wheel</x:v>
      </x:c>
    </x:row>
    <x:row r="298">
      <x:c r="A298" s="295" t="n">
        <x:v>294</x:v>
      </x:c>
      <x:c r="B298" s="296" t="n">
        <x:v>21</x:v>
      </x:c>
      <x:c r="C298" s="296" t="n">
        <x:v>28</x:v>
      </x:c>
      <x:c r="D298" s="296" t="n">
        <x:v>36</x:v>
      </x:c>
      <x:c r="E298" s="296" t="n">
        <x:v>42</x:v>
      </x:c>
      <x:c r="F298" s="296" t="n">
        <x:v>50</x:v>
      </x:c>
      <x:c r="G298" s="296" t="n">
        <x:v>4</x:v>
      </x:c>
      <x:c r="H298" s="296" t="n">
        <x:v>9</x:v>
      </x:c>
      <x:c r="I298" s="296" t="n">
        <x:f>SUM(B298:F298)</x:f>
        <x:v>177</x:v>
      </x:c>
      <x:c r="J298" s="296" t="n">
        <x:f>MOD(B298,2)+MOD(C298,2)+MOD(D298,2)+MOD(E298,2)+MOD(F298,2)</x:f>
        <x:v>1</x:v>
      </x:c>
      <x:c r="K298" s="296" t="n">
        <x:f>COUNTIF(B298:F298,"&gt;31")</x:f>
        <x:v>3</x:v>
      </x:c>
      <x:c r="L298" s="336" t="n">
        <x:f>1/'Executive Summary'!$B$24</x:f>
        <x:v>7.1511238420185165e-9</x:v>
      </x:c>
      <x:c r="M298" s="342" t="n">
        <x:f>2.5</x:f>
        <x:v>2.5</x:v>
      </x:c>
      <x:c r="N298" s="288" t="str">
        <x:v>Conditional coverage wheel</x:v>
      </x:c>
    </x:row>
    <x:row r="299">
      <x:c r="A299" s="295" t="n">
        <x:v>295</x:v>
      </x:c>
      <x:c r="B299" s="296" t="n">
        <x:v>21</x:v>
      </x:c>
      <x:c r="C299" s="296" t="n">
        <x:v>28</x:v>
      </x:c>
      <x:c r="D299" s="296" t="n">
        <x:v>36</x:v>
      </x:c>
      <x:c r="E299" s="296" t="n">
        <x:v>42</x:v>
      </x:c>
      <x:c r="F299" s="296" t="n">
        <x:v>50</x:v>
      </x:c>
      <x:c r="G299" s="296" t="n">
        <x:v>5</x:v>
      </x:c>
      <x:c r="H299" s="296" t="n">
        <x:v>7</x:v>
      </x:c>
      <x:c r="I299" s="296" t="n">
        <x:f>SUM(B299:F299)</x:f>
        <x:v>177</x:v>
      </x:c>
      <x:c r="J299" s="296" t="n">
        <x:f>MOD(B299,2)+MOD(C299,2)+MOD(D299,2)+MOD(E299,2)+MOD(F299,2)</x:f>
        <x:v>1</x:v>
      </x:c>
      <x:c r="K299" s="296" t="n">
        <x:f>COUNTIF(B299:F299,"&gt;31")</x:f>
        <x:v>3</x:v>
      </x:c>
      <x:c r="L299" s="336" t="n">
        <x:f>1/'Executive Summary'!$B$24</x:f>
        <x:v>7.1511238420185165e-9</x:v>
      </x:c>
      <x:c r="M299" s="342" t="n">
        <x:f>2.5</x:f>
        <x:v>2.5</x:v>
      </x:c>
      <x:c r="N299" s="288" t="str">
        <x:v>Conditional coverage wheel</x:v>
      </x:c>
    </x:row>
    <x:row r="300">
      <x:c r="A300" s="295" t="n">
        <x:v>296</x:v>
      </x:c>
      <x:c r="B300" s="296" t="n">
        <x:v>21</x:v>
      </x:c>
      <x:c r="C300" s="296" t="n">
        <x:v>28</x:v>
      </x:c>
      <x:c r="D300" s="296" t="n">
        <x:v>36</x:v>
      </x:c>
      <x:c r="E300" s="296" t="n">
        <x:v>42</x:v>
      </x:c>
      <x:c r="F300" s="296" t="n">
        <x:v>50</x:v>
      </x:c>
      <x:c r="G300" s="296" t="n">
        <x:v>5</x:v>
      </x:c>
      <x:c r="H300" s="296" t="n">
        <x:v>8</x:v>
      </x:c>
      <x:c r="I300" s="296" t="n">
        <x:f>SUM(B300:F300)</x:f>
        <x:v>177</x:v>
      </x:c>
      <x:c r="J300" s="296" t="n">
        <x:f>MOD(B300,2)+MOD(C300,2)+MOD(D300,2)+MOD(E300,2)+MOD(F300,2)</x:f>
        <x:v>1</x:v>
      </x:c>
      <x:c r="K300" s="296" t="n">
        <x:f>COUNTIF(B300:F300,"&gt;31")</x:f>
        <x:v>3</x:v>
      </x:c>
      <x:c r="L300" s="336" t="n">
        <x:f>1/'Executive Summary'!$B$24</x:f>
        <x:v>7.1511238420185165e-9</x:v>
      </x:c>
      <x:c r="M300" s="342" t="n">
        <x:f>2.5</x:f>
        <x:v>2.5</x:v>
      </x:c>
      <x:c r="N300" s="288" t="str">
        <x:v>Conditional coverage wheel</x:v>
      </x:c>
    </x:row>
    <x:row r="301">
      <x:c r="A301" s="295" t="n">
        <x:v>297</x:v>
      </x:c>
      <x:c r="B301" s="296" t="n">
        <x:v>21</x:v>
      </x:c>
      <x:c r="C301" s="296" t="n">
        <x:v>28</x:v>
      </x:c>
      <x:c r="D301" s="296" t="n">
        <x:v>36</x:v>
      </x:c>
      <x:c r="E301" s="296" t="n">
        <x:v>42</x:v>
      </x:c>
      <x:c r="F301" s="296" t="n">
        <x:v>50</x:v>
      </x:c>
      <x:c r="G301" s="296" t="n">
        <x:v>5</x:v>
      </x:c>
      <x:c r="H301" s="296" t="n">
        <x:v>9</x:v>
      </x:c>
      <x:c r="I301" s="296" t="n">
        <x:f>SUM(B301:F301)</x:f>
        <x:v>177</x:v>
      </x:c>
      <x:c r="J301" s="296" t="n">
        <x:f>MOD(B301,2)+MOD(C301,2)+MOD(D301,2)+MOD(E301,2)+MOD(F301,2)</x:f>
        <x:v>1</x:v>
      </x:c>
      <x:c r="K301" s="296" t="n">
        <x:f>COUNTIF(B301:F301,"&gt;31")</x:f>
        <x:v>3</x:v>
      </x:c>
      <x:c r="L301" s="336" t="n">
        <x:f>1/'Executive Summary'!$B$24</x:f>
        <x:v>7.1511238420185165e-9</x:v>
      </x:c>
      <x:c r="M301" s="342" t="n">
        <x:f>2.5</x:f>
        <x:v>2.5</x:v>
      </x:c>
      <x:c r="N301" s="288" t="str">
        <x:v>Conditional coverage wheel</x:v>
      </x:c>
    </x:row>
    <x:row r="302">
      <x:c r="A302" s="295" t="n">
        <x:v>298</x:v>
      </x:c>
      <x:c r="B302" s="296" t="n">
        <x:v>21</x:v>
      </x:c>
      <x:c r="C302" s="296" t="n">
        <x:v>28</x:v>
      </x:c>
      <x:c r="D302" s="296" t="n">
        <x:v>36</x:v>
      </x:c>
      <x:c r="E302" s="296" t="n">
        <x:v>42</x:v>
      </x:c>
      <x:c r="F302" s="296" t="n">
        <x:v>50</x:v>
      </x:c>
      <x:c r="G302" s="296" t="n">
        <x:v>7</x:v>
      </x:c>
      <x:c r="H302" s="296" t="n">
        <x:v>8</x:v>
      </x:c>
      <x:c r="I302" s="296" t="n">
        <x:f>SUM(B302:F302)</x:f>
        <x:v>177</x:v>
      </x:c>
      <x:c r="J302" s="296" t="n">
        <x:f>MOD(B302,2)+MOD(C302,2)+MOD(D302,2)+MOD(E302,2)+MOD(F302,2)</x:f>
        <x:v>1</x:v>
      </x:c>
      <x:c r="K302" s="296" t="n">
        <x:f>COUNTIF(B302:F302,"&gt;31")</x:f>
        <x:v>3</x:v>
      </x:c>
      <x:c r="L302" s="336" t="n">
        <x:f>1/'Executive Summary'!$B$24</x:f>
        <x:v>7.1511238420185165e-9</x:v>
      </x:c>
      <x:c r="M302" s="342" t="n">
        <x:f>2.5</x:f>
        <x:v>2.5</x:v>
      </x:c>
      <x:c r="N302" s="288" t="str">
        <x:v>Conditional coverage wheel</x:v>
      </x:c>
    </x:row>
    <x:row r="303">
      <x:c r="A303" s="295" t="n">
        <x:v>299</x:v>
      </x:c>
      <x:c r="B303" s="296" t="n">
        <x:v>21</x:v>
      </x:c>
      <x:c r="C303" s="296" t="n">
        <x:v>28</x:v>
      </x:c>
      <x:c r="D303" s="296" t="n">
        <x:v>36</x:v>
      </x:c>
      <x:c r="E303" s="296" t="n">
        <x:v>42</x:v>
      </x:c>
      <x:c r="F303" s="296" t="n">
        <x:v>50</x:v>
      </x:c>
      <x:c r="G303" s="296" t="n">
        <x:v>7</x:v>
      </x:c>
      <x:c r="H303" s="296" t="n">
        <x:v>9</x:v>
      </x:c>
      <x:c r="I303" s="296" t="n">
        <x:f>SUM(B303:F303)</x:f>
        <x:v>177</x:v>
      </x:c>
      <x:c r="J303" s="296" t="n">
        <x:f>MOD(B303,2)+MOD(C303,2)+MOD(D303,2)+MOD(E303,2)+MOD(F303,2)</x:f>
        <x:v>1</x:v>
      </x:c>
      <x:c r="K303" s="296" t="n">
        <x:f>COUNTIF(B303:F303,"&gt;31")</x:f>
        <x:v>3</x:v>
      </x:c>
      <x:c r="L303" s="336" t="n">
        <x:f>1/'Executive Summary'!$B$24</x:f>
        <x:v>7.1511238420185165e-9</x:v>
      </x:c>
      <x:c r="M303" s="342" t="n">
        <x:f>2.5</x:f>
        <x:v>2.5</x:v>
      </x:c>
      <x:c r="N303" s="288" t="str">
        <x:v>Conditional coverage wheel</x:v>
      </x:c>
    </x:row>
    <x:row r="304">
      <x:c r="A304" s="295" t="n">
        <x:v>300</x:v>
      </x:c>
      <x:c r="B304" s="296" t="n">
        <x:v>21</x:v>
      </x:c>
      <x:c r="C304" s="296" t="n">
        <x:v>28</x:v>
      </x:c>
      <x:c r="D304" s="296" t="n">
        <x:v>36</x:v>
      </x:c>
      <x:c r="E304" s="296" t="n">
        <x:v>42</x:v>
      </x:c>
      <x:c r="F304" s="296" t="n">
        <x:v>50</x:v>
      </x:c>
      <x:c r="G304" s="296" t="n">
        <x:v>8</x:v>
      </x:c>
      <x:c r="H304" s="296" t="n">
        <x:v>9</x:v>
      </x:c>
      <x:c r="I304" s="296" t="n">
        <x:f>SUM(B304:F304)</x:f>
        <x:v>177</x:v>
      </x:c>
      <x:c r="J304" s="296" t="n">
        <x:f>MOD(B304,2)+MOD(C304,2)+MOD(D304,2)+MOD(E304,2)+MOD(F304,2)</x:f>
        <x:v>1</x:v>
      </x:c>
      <x:c r="K304" s="296" t="n">
        <x:f>COUNTIF(B304:F304,"&gt;31")</x:f>
        <x:v>3</x:v>
      </x:c>
      <x:c r="L304" s="336" t="n">
        <x:f>1/'Executive Summary'!$B$24</x:f>
        <x:v>7.1511238420185165e-9</x:v>
      </x:c>
      <x:c r="M304" s="342" t="n">
        <x:f>2.5</x:f>
        <x:v>2.5</x:v>
      </x:c>
      <x:c r="N304" s="288" t="str">
        <x:v>Conditional coverage wheel</x:v>
      </x:c>
    </x:row>
    <x:row r="305">
      <x:c r="A305" s="295" t="n">
        <x:v>301</x:v>
      </x:c>
      <x:c r="B305" s="296" t="n">
        <x:v>4</x:v>
      </x:c>
      <x:c r="C305" s="296" t="n">
        <x:v>25</x:v>
      </x:c>
      <x:c r="D305" s="296" t="n">
        <x:v>37</x:v>
      </x:c>
      <x:c r="E305" s="296" t="n">
        <x:v>44</x:v>
      </x:c>
      <x:c r="F305" s="296" t="n">
        <x:v>50</x:v>
      </x:c>
      <x:c r="G305" s="296" t="n">
        <x:v>3</x:v>
      </x:c>
      <x:c r="H305" s="296" t="n">
        <x:v>4</x:v>
      </x:c>
      <x:c r="I305" s="296" t="n">
        <x:f>SUM(B305:F305)</x:f>
        <x:v>160</x:v>
      </x:c>
      <x:c r="J305" s="296" t="n">
        <x:f>MOD(B305,2)+MOD(C305,2)+MOD(D305,2)+MOD(E305,2)+MOD(F305,2)</x:f>
        <x:v>2</x:v>
      </x:c>
      <x:c r="K305" s="296" t="n">
        <x:f>COUNTIF(B305:F305,"&gt;31")</x:f>
        <x:v>3</x:v>
      </x:c>
      <x:c r="L305" s="336" t="n">
        <x:f>1/'Executive Summary'!$B$24</x:f>
        <x:v>7.1511238420185165e-9</x:v>
      </x:c>
      <x:c r="M305" s="342" t="n">
        <x:f>2.5</x:f>
        <x:v>2.5</x:v>
      </x:c>
      <x:c r="N305" s="288" t="str">
        <x:v>Conditional coverage wheel</x:v>
      </x:c>
    </x:row>
    <x:row r="306">
      <x:c r="A306" s="295" t="n">
        <x:v>302</x:v>
      </x:c>
      <x:c r="B306" s="296" t="n">
        <x:v>4</x:v>
      </x:c>
      <x:c r="C306" s="296" t="n">
        <x:v>25</x:v>
      </x:c>
      <x:c r="D306" s="296" t="n">
        <x:v>37</x:v>
      </x:c>
      <x:c r="E306" s="296" t="n">
        <x:v>44</x:v>
      </x:c>
      <x:c r="F306" s="296" t="n">
        <x:v>50</x:v>
      </x:c>
      <x:c r="G306" s="296" t="n">
        <x:v>3</x:v>
      </x:c>
      <x:c r="H306" s="296" t="n">
        <x:v>5</x:v>
      </x:c>
      <x:c r="I306" s="296" t="n">
        <x:f>SUM(B306:F306)</x:f>
        <x:v>160</x:v>
      </x:c>
      <x:c r="J306" s="296" t="n">
        <x:f>MOD(B306,2)+MOD(C306,2)+MOD(D306,2)+MOD(E306,2)+MOD(F306,2)</x:f>
        <x:v>2</x:v>
      </x:c>
      <x:c r="K306" s="296" t="n">
        <x:f>COUNTIF(B306:F306,"&gt;31")</x:f>
        <x:v>3</x:v>
      </x:c>
      <x:c r="L306" s="336" t="n">
        <x:f>1/'Executive Summary'!$B$24</x:f>
        <x:v>7.1511238420185165e-9</x:v>
      </x:c>
      <x:c r="M306" s="342" t="n">
        <x:f>2.5</x:f>
        <x:v>2.5</x:v>
      </x:c>
      <x:c r="N306" s="288" t="str">
        <x:v>Conditional coverage wheel</x:v>
      </x:c>
    </x:row>
    <x:row r="307">
      <x:c r="A307" s="295" t="n">
        <x:v>303</x:v>
      </x:c>
      <x:c r="B307" s="296" t="n">
        <x:v>4</x:v>
      </x:c>
      <x:c r="C307" s="296" t="n">
        <x:v>25</x:v>
      </x:c>
      <x:c r="D307" s="296" t="n">
        <x:v>37</x:v>
      </x:c>
      <x:c r="E307" s="296" t="n">
        <x:v>44</x:v>
      </x:c>
      <x:c r="F307" s="296" t="n">
        <x:v>50</x:v>
      </x:c>
      <x:c r="G307" s="296" t="n">
        <x:v>3</x:v>
      </x:c>
      <x:c r="H307" s="296" t="n">
        <x:v>7</x:v>
      </x:c>
      <x:c r="I307" s="296" t="n">
        <x:f>SUM(B307:F307)</x:f>
        <x:v>160</x:v>
      </x:c>
      <x:c r="J307" s="296" t="n">
        <x:f>MOD(B307,2)+MOD(C307,2)+MOD(D307,2)+MOD(E307,2)+MOD(F307,2)</x:f>
        <x:v>2</x:v>
      </x:c>
      <x:c r="K307" s="296" t="n">
        <x:f>COUNTIF(B307:F307,"&gt;31")</x:f>
        <x:v>3</x:v>
      </x:c>
      <x:c r="L307" s="336" t="n">
        <x:f>1/'Executive Summary'!$B$24</x:f>
        <x:v>7.1511238420185165e-9</x:v>
      </x:c>
      <x:c r="M307" s="342" t="n">
        <x:f>2.5</x:f>
        <x:v>2.5</x:v>
      </x:c>
      <x:c r="N307" s="288" t="str">
        <x:v>Conditional coverage wheel</x:v>
      </x:c>
    </x:row>
    <x:row r="308">
      <x:c r="A308" s="295" t="n">
        <x:v>304</x:v>
      </x:c>
      <x:c r="B308" s="296" t="n">
        <x:v>4</x:v>
      </x:c>
      <x:c r="C308" s="296" t="n">
        <x:v>25</x:v>
      </x:c>
      <x:c r="D308" s="296" t="n">
        <x:v>37</x:v>
      </x:c>
      <x:c r="E308" s="296" t="n">
        <x:v>44</x:v>
      </x:c>
      <x:c r="F308" s="296" t="n">
        <x:v>50</x:v>
      </x:c>
      <x:c r="G308" s="296" t="n">
        <x:v>3</x:v>
      </x:c>
      <x:c r="H308" s="296" t="n">
        <x:v>8</x:v>
      </x:c>
      <x:c r="I308" s="296" t="n">
        <x:f>SUM(B308:F308)</x:f>
        <x:v>160</x:v>
      </x:c>
      <x:c r="J308" s="296" t="n">
        <x:f>MOD(B308,2)+MOD(C308,2)+MOD(D308,2)+MOD(E308,2)+MOD(F308,2)</x:f>
        <x:v>2</x:v>
      </x:c>
      <x:c r="K308" s="296" t="n">
        <x:f>COUNTIF(B308:F308,"&gt;31")</x:f>
        <x:v>3</x:v>
      </x:c>
      <x:c r="L308" s="336" t="n">
        <x:f>1/'Executive Summary'!$B$24</x:f>
        <x:v>7.1511238420185165e-9</x:v>
      </x:c>
      <x:c r="M308" s="342" t="n">
        <x:f>2.5</x:f>
        <x:v>2.5</x:v>
      </x:c>
      <x:c r="N308" s="288" t="str">
        <x:v>Conditional coverage wheel</x:v>
      </x:c>
    </x:row>
    <x:row r="309">
      <x:c r="A309" s="295" t="n">
        <x:v>305</x:v>
      </x:c>
      <x:c r="B309" s="296" t="n">
        <x:v>4</x:v>
      </x:c>
      <x:c r="C309" s="296" t="n">
        <x:v>25</x:v>
      </x:c>
      <x:c r="D309" s="296" t="n">
        <x:v>37</x:v>
      </x:c>
      <x:c r="E309" s="296" t="n">
        <x:v>44</x:v>
      </x:c>
      <x:c r="F309" s="296" t="n">
        <x:v>50</x:v>
      </x:c>
      <x:c r="G309" s="296" t="n">
        <x:v>3</x:v>
      </x:c>
      <x:c r="H309" s="296" t="n">
        <x:v>9</x:v>
      </x:c>
      <x:c r="I309" s="296" t="n">
        <x:f>SUM(B309:F309)</x:f>
        <x:v>160</x:v>
      </x:c>
      <x:c r="J309" s="296" t="n">
        <x:f>MOD(B309,2)+MOD(C309,2)+MOD(D309,2)+MOD(E309,2)+MOD(F309,2)</x:f>
        <x:v>2</x:v>
      </x:c>
      <x:c r="K309" s="296" t="n">
        <x:f>COUNTIF(B309:F309,"&gt;31")</x:f>
        <x:v>3</x:v>
      </x:c>
      <x:c r="L309" s="336" t="n">
        <x:f>1/'Executive Summary'!$B$24</x:f>
        <x:v>7.1511238420185165e-9</x:v>
      </x:c>
      <x:c r="M309" s="342" t="n">
        <x:f>2.5</x:f>
        <x:v>2.5</x:v>
      </x:c>
      <x:c r="N309" s="288" t="str">
        <x:v>Conditional coverage wheel</x:v>
      </x:c>
    </x:row>
    <x:row r="310">
      <x:c r="A310" s="295" t="n">
        <x:v>306</x:v>
      </x:c>
      <x:c r="B310" s="296" t="n">
        <x:v>4</x:v>
      </x:c>
      <x:c r="C310" s="296" t="n">
        <x:v>25</x:v>
      </x:c>
      <x:c r="D310" s="296" t="n">
        <x:v>37</x:v>
      </x:c>
      <x:c r="E310" s="296" t="n">
        <x:v>44</x:v>
      </x:c>
      <x:c r="F310" s="296" t="n">
        <x:v>50</x:v>
      </x:c>
      <x:c r="G310" s="296" t="n">
        <x:v>4</x:v>
      </x:c>
      <x:c r="H310" s="296" t="n">
        <x:v>5</x:v>
      </x:c>
      <x:c r="I310" s="296" t="n">
        <x:f>SUM(B310:F310)</x:f>
        <x:v>160</x:v>
      </x:c>
      <x:c r="J310" s="296" t="n">
        <x:f>MOD(B310,2)+MOD(C310,2)+MOD(D310,2)+MOD(E310,2)+MOD(F310,2)</x:f>
        <x:v>2</x:v>
      </x:c>
      <x:c r="K310" s="296" t="n">
        <x:f>COUNTIF(B310:F310,"&gt;31")</x:f>
        <x:v>3</x:v>
      </x:c>
      <x:c r="L310" s="336" t="n">
        <x:f>1/'Executive Summary'!$B$24</x:f>
        <x:v>7.1511238420185165e-9</x:v>
      </x:c>
      <x:c r="M310" s="342" t="n">
        <x:f>2.5</x:f>
        <x:v>2.5</x:v>
      </x:c>
      <x:c r="N310" s="288" t="str">
        <x:v>Conditional coverage wheel</x:v>
      </x:c>
    </x:row>
    <x:row r="311">
      <x:c r="A311" s="295" t="n">
        <x:v>307</x:v>
      </x:c>
      <x:c r="B311" s="296" t="n">
        <x:v>4</x:v>
      </x:c>
      <x:c r="C311" s="296" t="n">
        <x:v>25</x:v>
      </x:c>
      <x:c r="D311" s="296" t="n">
        <x:v>37</x:v>
      </x:c>
      <x:c r="E311" s="296" t="n">
        <x:v>44</x:v>
      </x:c>
      <x:c r="F311" s="296" t="n">
        <x:v>50</x:v>
      </x:c>
      <x:c r="G311" s="296" t="n">
        <x:v>4</x:v>
      </x:c>
      <x:c r="H311" s="296" t="n">
        <x:v>7</x:v>
      </x:c>
      <x:c r="I311" s="296" t="n">
        <x:f>SUM(B311:F311)</x:f>
        <x:v>160</x:v>
      </x:c>
      <x:c r="J311" s="296" t="n">
        <x:f>MOD(B311,2)+MOD(C311,2)+MOD(D311,2)+MOD(E311,2)+MOD(F311,2)</x:f>
        <x:v>2</x:v>
      </x:c>
      <x:c r="K311" s="296" t="n">
        <x:f>COUNTIF(B311:F311,"&gt;31")</x:f>
        <x:v>3</x:v>
      </x:c>
      <x:c r="L311" s="336" t="n">
        <x:f>1/'Executive Summary'!$B$24</x:f>
        <x:v>7.1511238420185165e-9</x:v>
      </x:c>
      <x:c r="M311" s="342" t="n">
        <x:f>2.5</x:f>
        <x:v>2.5</x:v>
      </x:c>
      <x:c r="N311" s="288" t="str">
        <x:v>Conditional coverage wheel</x:v>
      </x:c>
    </x:row>
    <x:row r="312">
      <x:c r="A312" s="295" t="n">
        <x:v>308</x:v>
      </x:c>
      <x:c r="B312" s="296" t="n">
        <x:v>4</x:v>
      </x:c>
      <x:c r="C312" s="296" t="n">
        <x:v>25</x:v>
      </x:c>
      <x:c r="D312" s="296" t="n">
        <x:v>37</x:v>
      </x:c>
      <x:c r="E312" s="296" t="n">
        <x:v>44</x:v>
      </x:c>
      <x:c r="F312" s="296" t="n">
        <x:v>50</x:v>
      </x:c>
      <x:c r="G312" s="296" t="n">
        <x:v>4</x:v>
      </x:c>
      <x:c r="H312" s="296" t="n">
        <x:v>8</x:v>
      </x:c>
      <x:c r="I312" s="296" t="n">
        <x:f>SUM(B312:F312)</x:f>
        <x:v>160</x:v>
      </x:c>
      <x:c r="J312" s="296" t="n">
        <x:f>MOD(B312,2)+MOD(C312,2)+MOD(D312,2)+MOD(E312,2)+MOD(F312,2)</x:f>
        <x:v>2</x:v>
      </x:c>
      <x:c r="K312" s="296" t="n">
        <x:f>COUNTIF(B312:F312,"&gt;31")</x:f>
        <x:v>3</x:v>
      </x:c>
      <x:c r="L312" s="336" t="n">
        <x:f>1/'Executive Summary'!$B$24</x:f>
        <x:v>7.1511238420185165e-9</x:v>
      </x:c>
      <x:c r="M312" s="342" t="n">
        <x:f>2.5</x:f>
        <x:v>2.5</x:v>
      </x:c>
      <x:c r="N312" s="288" t="str">
        <x:v>Conditional coverage wheel</x:v>
      </x:c>
    </x:row>
    <x:row r="313">
      <x:c r="A313" s="295" t="n">
        <x:v>309</x:v>
      </x:c>
      <x:c r="B313" s="296" t="n">
        <x:v>4</x:v>
      </x:c>
      <x:c r="C313" s="296" t="n">
        <x:v>25</x:v>
      </x:c>
      <x:c r="D313" s="296" t="n">
        <x:v>37</x:v>
      </x:c>
      <x:c r="E313" s="296" t="n">
        <x:v>44</x:v>
      </x:c>
      <x:c r="F313" s="296" t="n">
        <x:v>50</x:v>
      </x:c>
      <x:c r="G313" s="296" t="n">
        <x:v>4</x:v>
      </x:c>
      <x:c r="H313" s="296" t="n">
        <x:v>9</x:v>
      </x:c>
      <x:c r="I313" s="296" t="n">
        <x:f>SUM(B313:F313)</x:f>
        <x:v>160</x:v>
      </x:c>
      <x:c r="J313" s="296" t="n">
        <x:f>MOD(B313,2)+MOD(C313,2)+MOD(D313,2)+MOD(E313,2)+MOD(F313,2)</x:f>
        <x:v>2</x:v>
      </x:c>
      <x:c r="K313" s="296" t="n">
        <x:f>COUNTIF(B313:F313,"&gt;31")</x:f>
        <x:v>3</x:v>
      </x:c>
      <x:c r="L313" s="336" t="n">
        <x:f>1/'Executive Summary'!$B$24</x:f>
        <x:v>7.1511238420185165e-9</x:v>
      </x:c>
      <x:c r="M313" s="342" t="n">
        <x:f>2.5</x:f>
        <x:v>2.5</x:v>
      </x:c>
      <x:c r="N313" s="288" t="str">
        <x:v>Conditional coverage wheel</x:v>
      </x:c>
    </x:row>
    <x:row r="314">
      <x:c r="A314" s="295" t="n">
        <x:v>310</x:v>
      </x:c>
      <x:c r="B314" s="296" t="n">
        <x:v>4</x:v>
      </x:c>
      <x:c r="C314" s="296" t="n">
        <x:v>25</x:v>
      </x:c>
      <x:c r="D314" s="296" t="n">
        <x:v>37</x:v>
      </x:c>
      <x:c r="E314" s="296" t="n">
        <x:v>44</x:v>
      </x:c>
      <x:c r="F314" s="296" t="n">
        <x:v>50</x:v>
      </x:c>
      <x:c r="G314" s="296" t="n">
        <x:v>5</x:v>
      </x:c>
      <x:c r="H314" s="296" t="n">
        <x:v>7</x:v>
      </x:c>
      <x:c r="I314" s="296" t="n">
        <x:f>SUM(B314:F314)</x:f>
        <x:v>160</x:v>
      </x:c>
      <x:c r="J314" s="296" t="n">
        <x:f>MOD(B314,2)+MOD(C314,2)+MOD(D314,2)+MOD(E314,2)+MOD(F314,2)</x:f>
        <x:v>2</x:v>
      </x:c>
      <x:c r="K314" s="296" t="n">
        <x:f>COUNTIF(B314:F314,"&gt;31")</x:f>
        <x:v>3</x:v>
      </x:c>
      <x:c r="L314" s="336" t="n">
        <x:f>1/'Executive Summary'!$B$24</x:f>
        <x:v>7.1511238420185165e-9</x:v>
      </x:c>
      <x:c r="M314" s="342" t="n">
        <x:f>2.5</x:f>
        <x:v>2.5</x:v>
      </x:c>
      <x:c r="N314" s="288" t="str">
        <x:v>Conditional coverage wheel</x:v>
      </x:c>
    </x:row>
    <x:row r="315">
      <x:c r="A315" s="295" t="n">
        <x:v>311</x:v>
      </x:c>
      <x:c r="B315" s="296" t="n">
        <x:v>4</x:v>
      </x:c>
      <x:c r="C315" s="296" t="n">
        <x:v>25</x:v>
      </x:c>
      <x:c r="D315" s="296" t="n">
        <x:v>37</x:v>
      </x:c>
      <x:c r="E315" s="296" t="n">
        <x:v>44</x:v>
      </x:c>
      <x:c r="F315" s="296" t="n">
        <x:v>50</x:v>
      </x:c>
      <x:c r="G315" s="296" t="n">
        <x:v>5</x:v>
      </x:c>
      <x:c r="H315" s="296" t="n">
        <x:v>8</x:v>
      </x:c>
      <x:c r="I315" s="296" t="n">
        <x:f>SUM(B315:F315)</x:f>
        <x:v>160</x:v>
      </x:c>
      <x:c r="J315" s="296" t="n">
        <x:f>MOD(B315,2)+MOD(C315,2)+MOD(D315,2)+MOD(E315,2)+MOD(F315,2)</x:f>
        <x:v>2</x:v>
      </x:c>
      <x:c r="K315" s="296" t="n">
        <x:f>COUNTIF(B315:F315,"&gt;31")</x:f>
        <x:v>3</x:v>
      </x:c>
      <x:c r="L315" s="336" t="n">
        <x:f>1/'Executive Summary'!$B$24</x:f>
        <x:v>7.1511238420185165e-9</x:v>
      </x:c>
      <x:c r="M315" s="342" t="n">
        <x:f>2.5</x:f>
        <x:v>2.5</x:v>
      </x:c>
      <x:c r="N315" s="288" t="str">
        <x:v>Conditional coverage wheel</x:v>
      </x:c>
    </x:row>
    <x:row r="316">
      <x:c r="A316" s="295" t="n">
        <x:v>312</x:v>
      </x:c>
      <x:c r="B316" s="296" t="n">
        <x:v>4</x:v>
      </x:c>
      <x:c r="C316" s="296" t="n">
        <x:v>25</x:v>
      </x:c>
      <x:c r="D316" s="296" t="n">
        <x:v>37</x:v>
      </x:c>
      <x:c r="E316" s="296" t="n">
        <x:v>44</x:v>
      </x:c>
      <x:c r="F316" s="296" t="n">
        <x:v>50</x:v>
      </x:c>
      <x:c r="G316" s="296" t="n">
        <x:v>5</x:v>
      </x:c>
      <x:c r="H316" s="296" t="n">
        <x:v>9</x:v>
      </x:c>
      <x:c r="I316" s="296" t="n">
        <x:f>SUM(B316:F316)</x:f>
        <x:v>160</x:v>
      </x:c>
      <x:c r="J316" s="296" t="n">
        <x:f>MOD(B316,2)+MOD(C316,2)+MOD(D316,2)+MOD(E316,2)+MOD(F316,2)</x:f>
        <x:v>2</x:v>
      </x:c>
      <x:c r="K316" s="296" t="n">
        <x:f>COUNTIF(B316:F316,"&gt;31")</x:f>
        <x:v>3</x:v>
      </x:c>
      <x:c r="L316" s="336" t="n">
        <x:f>1/'Executive Summary'!$B$24</x:f>
        <x:v>7.1511238420185165e-9</x:v>
      </x:c>
      <x:c r="M316" s="342" t="n">
        <x:f>2.5</x:f>
        <x:v>2.5</x:v>
      </x:c>
      <x:c r="N316" s="288" t="str">
        <x:v>Conditional coverage wheel</x:v>
      </x:c>
    </x:row>
    <x:row r="317">
      <x:c r="A317" s="295" t="n">
        <x:v>313</x:v>
      </x:c>
      <x:c r="B317" s="296" t="n">
        <x:v>4</x:v>
      </x:c>
      <x:c r="C317" s="296" t="n">
        <x:v>25</x:v>
      </x:c>
      <x:c r="D317" s="296" t="n">
        <x:v>37</x:v>
      </x:c>
      <x:c r="E317" s="296" t="n">
        <x:v>44</x:v>
      </x:c>
      <x:c r="F317" s="296" t="n">
        <x:v>50</x:v>
      </x:c>
      <x:c r="G317" s="296" t="n">
        <x:v>7</x:v>
      </x:c>
      <x:c r="H317" s="296" t="n">
        <x:v>8</x:v>
      </x:c>
      <x:c r="I317" s="296" t="n">
        <x:f>SUM(B317:F317)</x:f>
        <x:v>160</x:v>
      </x:c>
      <x:c r="J317" s="296" t="n">
        <x:f>MOD(B317,2)+MOD(C317,2)+MOD(D317,2)+MOD(E317,2)+MOD(F317,2)</x:f>
        <x:v>2</x:v>
      </x:c>
      <x:c r="K317" s="296" t="n">
        <x:f>COUNTIF(B317:F317,"&gt;31")</x:f>
        <x:v>3</x:v>
      </x:c>
      <x:c r="L317" s="336" t="n">
        <x:f>1/'Executive Summary'!$B$24</x:f>
        <x:v>7.1511238420185165e-9</x:v>
      </x:c>
      <x:c r="M317" s="342" t="n">
        <x:f>2.5</x:f>
        <x:v>2.5</x:v>
      </x:c>
      <x:c r="N317" s="288" t="str">
        <x:v>Conditional coverage wheel</x:v>
      </x:c>
    </x:row>
    <x:row r="318">
      <x:c r="A318" s="295" t="n">
        <x:v>314</x:v>
      </x:c>
      <x:c r="B318" s="296" t="n">
        <x:v>4</x:v>
      </x:c>
      <x:c r="C318" s="296" t="n">
        <x:v>25</x:v>
      </x:c>
      <x:c r="D318" s="296" t="n">
        <x:v>37</x:v>
      </x:c>
      <x:c r="E318" s="296" t="n">
        <x:v>44</x:v>
      </x:c>
      <x:c r="F318" s="296" t="n">
        <x:v>50</x:v>
      </x:c>
      <x:c r="G318" s="296" t="n">
        <x:v>7</x:v>
      </x:c>
      <x:c r="H318" s="296" t="n">
        <x:v>9</x:v>
      </x:c>
      <x:c r="I318" s="296" t="n">
        <x:f>SUM(B318:F318)</x:f>
        <x:v>160</x:v>
      </x:c>
      <x:c r="J318" s="296" t="n">
        <x:f>MOD(B318,2)+MOD(C318,2)+MOD(D318,2)+MOD(E318,2)+MOD(F318,2)</x:f>
        <x:v>2</x:v>
      </x:c>
      <x:c r="K318" s="296" t="n">
        <x:f>COUNTIF(B318:F318,"&gt;31")</x:f>
        <x:v>3</x:v>
      </x:c>
      <x:c r="L318" s="336" t="n">
        <x:f>1/'Executive Summary'!$B$24</x:f>
        <x:v>7.1511238420185165e-9</x:v>
      </x:c>
      <x:c r="M318" s="342" t="n">
        <x:f>2.5</x:f>
        <x:v>2.5</x:v>
      </x:c>
      <x:c r="N318" s="288" t="str">
        <x:v>Conditional coverage wheel</x:v>
      </x:c>
    </x:row>
    <x:row r="319">
      <x:c r="A319" s="295" t="n">
        <x:v>315</x:v>
      </x:c>
      <x:c r="B319" s="296" t="n">
        <x:v>4</x:v>
      </x:c>
      <x:c r="C319" s="296" t="n">
        <x:v>25</x:v>
      </x:c>
      <x:c r="D319" s="296" t="n">
        <x:v>37</x:v>
      </x:c>
      <x:c r="E319" s="296" t="n">
        <x:v>44</x:v>
      </x:c>
      <x:c r="F319" s="296" t="n">
        <x:v>50</x:v>
      </x:c>
      <x:c r="G319" s="296" t="n">
        <x:v>8</x:v>
      </x:c>
      <x:c r="H319" s="296" t="n">
        <x:v>9</x:v>
      </x:c>
      <x:c r="I319" s="296" t="n">
        <x:f>SUM(B319:F319)</x:f>
        <x:v>160</x:v>
      </x:c>
      <x:c r="J319" s="296" t="n">
        <x:f>MOD(B319,2)+MOD(C319,2)+MOD(D319,2)+MOD(E319,2)+MOD(F319,2)</x:f>
        <x:v>2</x:v>
      </x:c>
      <x:c r="K319" s="296" t="n">
        <x:f>COUNTIF(B319:F319,"&gt;31")</x:f>
        <x:v>3</x:v>
      </x:c>
      <x:c r="L319" s="336" t="n">
        <x:f>1/'Executive Summary'!$B$24</x:f>
        <x:v>7.1511238420185165e-9</x:v>
      </x:c>
      <x:c r="M319" s="342" t="n">
        <x:f>2.5</x:f>
        <x:v>2.5</x:v>
      </x:c>
      <x:c r="N319" s="288" t="str">
        <x:v>Conditional coverage wheel</x:v>
      </x:c>
    </x:row>
    <x:row r="320">
      <x:c r="A320" s="295" t="n">
        <x:v>316</x:v>
      </x:c>
      <x:c r="B320" s="296" t="n">
        <x:v>21</x:v>
      </x:c>
      <x:c r="C320" s="296" t="n">
        <x:v>25</x:v>
      </x:c>
      <x:c r="D320" s="296" t="n">
        <x:v>27</x:v>
      </x:c>
      <x:c r="E320" s="296" t="n">
        <x:v>36</x:v>
      </x:c>
      <x:c r="F320" s="296" t="n">
        <x:v>44</x:v>
      </x:c>
      <x:c r="G320" s="296" t="n">
        <x:v>3</x:v>
      </x:c>
      <x:c r="H320" s="296" t="n">
        <x:v>4</x:v>
      </x:c>
      <x:c r="I320" s="296" t="n">
        <x:f>SUM(B320:F320)</x:f>
        <x:v>153</x:v>
      </x:c>
      <x:c r="J320" s="296" t="n">
        <x:f>MOD(B320,2)+MOD(C320,2)+MOD(D320,2)+MOD(E320,2)+MOD(F320,2)</x:f>
        <x:v>3</x:v>
      </x:c>
      <x:c r="K320" s="296" t="n">
        <x:f>COUNTIF(B320:F320,"&gt;31")</x:f>
        <x:v>2</x:v>
      </x:c>
      <x:c r="L320" s="336" t="n">
        <x:f>1/'Executive Summary'!$B$24</x:f>
        <x:v>7.1511238420185165e-9</x:v>
      </x:c>
      <x:c r="M320" s="342" t="n">
        <x:f>2.5</x:f>
        <x:v>2.5</x:v>
      </x:c>
      <x:c r="N320" s="288" t="str">
        <x:v>Conditional coverage wheel</x:v>
      </x:c>
    </x:row>
    <x:row r="321">
      <x:c r="A321" s="295" t="n">
        <x:v>317</x:v>
      </x:c>
      <x:c r="B321" s="296" t="n">
        <x:v>21</x:v>
      </x:c>
      <x:c r="C321" s="296" t="n">
        <x:v>25</x:v>
      </x:c>
      <x:c r="D321" s="296" t="n">
        <x:v>27</x:v>
      </x:c>
      <x:c r="E321" s="296" t="n">
        <x:v>36</x:v>
      </x:c>
      <x:c r="F321" s="296" t="n">
        <x:v>44</x:v>
      </x:c>
      <x:c r="G321" s="296" t="n">
        <x:v>3</x:v>
      </x:c>
      <x:c r="H321" s="296" t="n">
        <x:v>5</x:v>
      </x:c>
      <x:c r="I321" s="296" t="n">
        <x:f>SUM(B321:F321)</x:f>
        <x:v>153</x:v>
      </x:c>
      <x:c r="J321" s="296" t="n">
        <x:f>MOD(B321,2)+MOD(C321,2)+MOD(D321,2)+MOD(E321,2)+MOD(F321,2)</x:f>
        <x:v>3</x:v>
      </x:c>
      <x:c r="K321" s="296" t="n">
        <x:f>COUNTIF(B321:F321,"&gt;31")</x:f>
        <x:v>2</x:v>
      </x:c>
      <x:c r="L321" s="336" t="n">
        <x:f>1/'Executive Summary'!$B$24</x:f>
        <x:v>7.1511238420185165e-9</x:v>
      </x:c>
      <x:c r="M321" s="342" t="n">
        <x:f>2.5</x:f>
        <x:v>2.5</x:v>
      </x:c>
      <x:c r="N321" s="288" t="str">
        <x:v>Conditional coverage wheel</x:v>
      </x:c>
    </x:row>
    <x:row r="322">
      <x:c r="A322" s="295" t="n">
        <x:v>318</x:v>
      </x:c>
      <x:c r="B322" s="296" t="n">
        <x:v>21</x:v>
      </x:c>
      <x:c r="C322" s="296" t="n">
        <x:v>25</x:v>
      </x:c>
      <x:c r="D322" s="296" t="n">
        <x:v>27</x:v>
      </x:c>
      <x:c r="E322" s="296" t="n">
        <x:v>36</x:v>
      </x:c>
      <x:c r="F322" s="296" t="n">
        <x:v>44</x:v>
      </x:c>
      <x:c r="G322" s="296" t="n">
        <x:v>3</x:v>
      </x:c>
      <x:c r="H322" s="296" t="n">
        <x:v>7</x:v>
      </x:c>
      <x:c r="I322" s="296" t="n">
        <x:f>SUM(B322:F322)</x:f>
        <x:v>153</x:v>
      </x:c>
      <x:c r="J322" s="296" t="n">
        <x:f>MOD(B322,2)+MOD(C322,2)+MOD(D322,2)+MOD(E322,2)+MOD(F322,2)</x:f>
        <x:v>3</x:v>
      </x:c>
      <x:c r="K322" s="296" t="n">
        <x:f>COUNTIF(B322:F322,"&gt;31")</x:f>
        <x:v>2</x:v>
      </x:c>
      <x:c r="L322" s="336" t="n">
        <x:f>1/'Executive Summary'!$B$24</x:f>
        <x:v>7.1511238420185165e-9</x:v>
      </x:c>
      <x:c r="M322" s="342" t="n">
        <x:f>2.5</x:f>
        <x:v>2.5</x:v>
      </x:c>
      <x:c r="N322" s="288" t="str">
        <x:v>Conditional coverage wheel</x:v>
      </x:c>
    </x:row>
    <x:row r="323">
      <x:c r="A323" s="295" t="n">
        <x:v>319</x:v>
      </x:c>
      <x:c r="B323" s="296" t="n">
        <x:v>21</x:v>
      </x:c>
      <x:c r="C323" s="296" t="n">
        <x:v>25</x:v>
      </x:c>
      <x:c r="D323" s="296" t="n">
        <x:v>27</x:v>
      </x:c>
      <x:c r="E323" s="296" t="n">
        <x:v>36</x:v>
      </x:c>
      <x:c r="F323" s="296" t="n">
        <x:v>44</x:v>
      </x:c>
      <x:c r="G323" s="296" t="n">
        <x:v>3</x:v>
      </x:c>
      <x:c r="H323" s="296" t="n">
        <x:v>8</x:v>
      </x:c>
      <x:c r="I323" s="296" t="n">
        <x:f>SUM(B323:F323)</x:f>
        <x:v>153</x:v>
      </x:c>
      <x:c r="J323" s="296" t="n">
        <x:f>MOD(B323,2)+MOD(C323,2)+MOD(D323,2)+MOD(E323,2)+MOD(F323,2)</x:f>
        <x:v>3</x:v>
      </x:c>
      <x:c r="K323" s="296" t="n">
        <x:f>COUNTIF(B323:F323,"&gt;31")</x:f>
        <x:v>2</x:v>
      </x:c>
      <x:c r="L323" s="336" t="n">
        <x:f>1/'Executive Summary'!$B$24</x:f>
        <x:v>7.1511238420185165e-9</x:v>
      </x:c>
      <x:c r="M323" s="342" t="n">
        <x:f>2.5</x:f>
        <x:v>2.5</x:v>
      </x:c>
      <x:c r="N323" s="288" t="str">
        <x:v>Conditional coverage wheel</x:v>
      </x:c>
    </x:row>
    <x:row r="324">
      <x:c r="A324" s="295" t="n">
        <x:v>320</x:v>
      </x:c>
      <x:c r="B324" s="296" t="n">
        <x:v>21</x:v>
      </x:c>
      <x:c r="C324" s="296" t="n">
        <x:v>25</x:v>
      </x:c>
      <x:c r="D324" s="296" t="n">
        <x:v>27</x:v>
      </x:c>
      <x:c r="E324" s="296" t="n">
        <x:v>36</x:v>
      </x:c>
      <x:c r="F324" s="296" t="n">
        <x:v>44</x:v>
      </x:c>
      <x:c r="G324" s="296" t="n">
        <x:v>3</x:v>
      </x:c>
      <x:c r="H324" s="296" t="n">
        <x:v>9</x:v>
      </x:c>
      <x:c r="I324" s="296" t="n">
        <x:f>SUM(B324:F324)</x:f>
        <x:v>153</x:v>
      </x:c>
      <x:c r="J324" s="296" t="n">
        <x:f>MOD(B324,2)+MOD(C324,2)+MOD(D324,2)+MOD(E324,2)+MOD(F324,2)</x:f>
        <x:v>3</x:v>
      </x:c>
      <x:c r="K324" s="296" t="n">
        <x:f>COUNTIF(B324:F324,"&gt;31")</x:f>
        <x:v>2</x:v>
      </x:c>
      <x:c r="L324" s="336" t="n">
        <x:f>1/'Executive Summary'!$B$24</x:f>
        <x:v>7.1511238420185165e-9</x:v>
      </x:c>
      <x:c r="M324" s="342" t="n">
        <x:f>2.5</x:f>
        <x:v>2.5</x:v>
      </x:c>
      <x:c r="N324" s="288" t="str">
        <x:v>Conditional coverage wheel</x:v>
      </x:c>
    </x:row>
    <x:row r="325">
      <x:c r="A325" s="295" t="n">
        <x:v>321</x:v>
      </x:c>
      <x:c r="B325" s="296" t="n">
        <x:v>21</x:v>
      </x:c>
      <x:c r="C325" s="296" t="n">
        <x:v>25</x:v>
      </x:c>
      <x:c r="D325" s="296" t="n">
        <x:v>27</x:v>
      </x:c>
      <x:c r="E325" s="296" t="n">
        <x:v>36</x:v>
      </x:c>
      <x:c r="F325" s="296" t="n">
        <x:v>44</x:v>
      </x:c>
      <x:c r="G325" s="296" t="n">
        <x:v>4</x:v>
      </x:c>
      <x:c r="H325" s="296" t="n">
        <x:v>5</x:v>
      </x:c>
      <x:c r="I325" s="296" t="n">
        <x:f>SUM(B325:F325)</x:f>
        <x:v>153</x:v>
      </x:c>
      <x:c r="J325" s="296" t="n">
        <x:f>MOD(B325,2)+MOD(C325,2)+MOD(D325,2)+MOD(E325,2)+MOD(F325,2)</x:f>
        <x:v>3</x:v>
      </x:c>
      <x:c r="K325" s="296" t="n">
        <x:f>COUNTIF(B325:F325,"&gt;31")</x:f>
        <x:v>2</x:v>
      </x:c>
      <x:c r="L325" s="336" t="n">
        <x:f>1/'Executive Summary'!$B$24</x:f>
        <x:v>7.1511238420185165e-9</x:v>
      </x:c>
      <x:c r="M325" s="342" t="n">
        <x:f>2.5</x:f>
        <x:v>2.5</x:v>
      </x:c>
      <x:c r="N325" s="288" t="str">
        <x:v>Conditional coverage wheel</x:v>
      </x:c>
    </x:row>
    <x:row r="326">
      <x:c r="A326" s="295" t="n">
        <x:v>322</x:v>
      </x:c>
      <x:c r="B326" s="296" t="n">
        <x:v>21</x:v>
      </x:c>
      <x:c r="C326" s="296" t="n">
        <x:v>25</x:v>
      </x:c>
      <x:c r="D326" s="296" t="n">
        <x:v>27</x:v>
      </x:c>
      <x:c r="E326" s="296" t="n">
        <x:v>36</x:v>
      </x:c>
      <x:c r="F326" s="296" t="n">
        <x:v>44</x:v>
      </x:c>
      <x:c r="G326" s="296" t="n">
        <x:v>4</x:v>
      </x:c>
      <x:c r="H326" s="296" t="n">
        <x:v>7</x:v>
      </x:c>
      <x:c r="I326" s="296" t="n">
        <x:f>SUM(B326:F326)</x:f>
        <x:v>153</x:v>
      </x:c>
      <x:c r="J326" s="296" t="n">
        <x:f>MOD(B326,2)+MOD(C326,2)+MOD(D326,2)+MOD(E326,2)+MOD(F326,2)</x:f>
        <x:v>3</x:v>
      </x:c>
      <x:c r="K326" s="296" t="n">
        <x:f>COUNTIF(B326:F326,"&gt;31")</x:f>
        <x:v>2</x:v>
      </x:c>
      <x:c r="L326" s="336" t="n">
        <x:f>1/'Executive Summary'!$B$24</x:f>
        <x:v>7.1511238420185165e-9</x:v>
      </x:c>
      <x:c r="M326" s="342" t="n">
        <x:f>2.5</x:f>
        <x:v>2.5</x:v>
      </x:c>
      <x:c r="N326" s="288" t="str">
        <x:v>Conditional coverage wheel</x:v>
      </x:c>
    </x:row>
    <x:row r="327">
      <x:c r="A327" s="295" t="n">
        <x:v>323</x:v>
      </x:c>
      <x:c r="B327" s="296" t="n">
        <x:v>21</x:v>
      </x:c>
      <x:c r="C327" s="296" t="n">
        <x:v>25</x:v>
      </x:c>
      <x:c r="D327" s="296" t="n">
        <x:v>27</x:v>
      </x:c>
      <x:c r="E327" s="296" t="n">
        <x:v>36</x:v>
      </x:c>
      <x:c r="F327" s="296" t="n">
        <x:v>44</x:v>
      </x:c>
      <x:c r="G327" s="296" t="n">
        <x:v>4</x:v>
      </x:c>
      <x:c r="H327" s="296" t="n">
        <x:v>8</x:v>
      </x:c>
      <x:c r="I327" s="296" t="n">
        <x:f>SUM(B327:F327)</x:f>
        <x:v>153</x:v>
      </x:c>
      <x:c r="J327" s="296" t="n">
        <x:f>MOD(B327,2)+MOD(C327,2)+MOD(D327,2)+MOD(E327,2)+MOD(F327,2)</x:f>
        <x:v>3</x:v>
      </x:c>
      <x:c r="K327" s="296" t="n">
        <x:f>COUNTIF(B327:F327,"&gt;31")</x:f>
        <x:v>2</x:v>
      </x:c>
      <x:c r="L327" s="336" t="n">
        <x:f>1/'Executive Summary'!$B$24</x:f>
        <x:v>7.1511238420185165e-9</x:v>
      </x:c>
      <x:c r="M327" s="342" t="n">
        <x:f>2.5</x:f>
        <x:v>2.5</x:v>
      </x:c>
      <x:c r="N327" s="288" t="str">
        <x:v>Conditional coverage wheel</x:v>
      </x:c>
    </x:row>
    <x:row r="328">
      <x:c r="A328" s="295" t="n">
        <x:v>324</x:v>
      </x:c>
      <x:c r="B328" s="296" t="n">
        <x:v>21</x:v>
      </x:c>
      <x:c r="C328" s="296" t="n">
        <x:v>25</x:v>
      </x:c>
      <x:c r="D328" s="296" t="n">
        <x:v>27</x:v>
      </x:c>
      <x:c r="E328" s="296" t="n">
        <x:v>36</x:v>
      </x:c>
      <x:c r="F328" s="296" t="n">
        <x:v>44</x:v>
      </x:c>
      <x:c r="G328" s="296" t="n">
        <x:v>4</x:v>
      </x:c>
      <x:c r="H328" s="296" t="n">
        <x:v>9</x:v>
      </x:c>
      <x:c r="I328" s="296" t="n">
        <x:f>SUM(B328:F328)</x:f>
        <x:v>153</x:v>
      </x:c>
      <x:c r="J328" s="296" t="n">
        <x:f>MOD(B328,2)+MOD(C328,2)+MOD(D328,2)+MOD(E328,2)+MOD(F328,2)</x:f>
        <x:v>3</x:v>
      </x:c>
      <x:c r="K328" s="296" t="n">
        <x:f>COUNTIF(B328:F328,"&gt;31")</x:f>
        <x:v>2</x:v>
      </x:c>
      <x:c r="L328" s="336" t="n">
        <x:f>1/'Executive Summary'!$B$24</x:f>
        <x:v>7.1511238420185165e-9</x:v>
      </x:c>
      <x:c r="M328" s="342" t="n">
        <x:f>2.5</x:f>
        <x:v>2.5</x:v>
      </x:c>
      <x:c r="N328" s="288" t="str">
        <x:v>Conditional coverage wheel</x:v>
      </x:c>
    </x:row>
    <x:row r="329">
      <x:c r="A329" s="295" t="n">
        <x:v>325</x:v>
      </x:c>
      <x:c r="B329" s="296" t="n">
        <x:v>21</x:v>
      </x:c>
      <x:c r="C329" s="296" t="n">
        <x:v>25</x:v>
      </x:c>
      <x:c r="D329" s="296" t="n">
        <x:v>27</x:v>
      </x:c>
      <x:c r="E329" s="296" t="n">
        <x:v>36</x:v>
      </x:c>
      <x:c r="F329" s="296" t="n">
        <x:v>44</x:v>
      </x:c>
      <x:c r="G329" s="296" t="n">
        <x:v>5</x:v>
      </x:c>
      <x:c r="H329" s="296" t="n">
        <x:v>7</x:v>
      </x:c>
      <x:c r="I329" s="296" t="n">
        <x:f>SUM(B329:F329)</x:f>
        <x:v>153</x:v>
      </x:c>
      <x:c r="J329" s="296" t="n">
        <x:f>MOD(B329,2)+MOD(C329,2)+MOD(D329,2)+MOD(E329,2)+MOD(F329,2)</x:f>
        <x:v>3</x:v>
      </x:c>
      <x:c r="K329" s="296" t="n">
        <x:f>COUNTIF(B329:F329,"&gt;31")</x:f>
        <x:v>2</x:v>
      </x:c>
      <x:c r="L329" s="336" t="n">
        <x:f>1/'Executive Summary'!$B$24</x:f>
        <x:v>7.1511238420185165e-9</x:v>
      </x:c>
      <x:c r="M329" s="342" t="n">
        <x:f>2.5</x:f>
        <x:v>2.5</x:v>
      </x:c>
      <x:c r="N329" s="288" t="str">
        <x:v>Conditional coverage wheel</x:v>
      </x:c>
    </x:row>
    <x:row r="330">
      <x:c r="A330" s="295" t="n">
        <x:v>326</x:v>
      </x:c>
      <x:c r="B330" s="296" t="n">
        <x:v>21</x:v>
      </x:c>
      <x:c r="C330" s="296" t="n">
        <x:v>25</x:v>
      </x:c>
      <x:c r="D330" s="296" t="n">
        <x:v>27</x:v>
      </x:c>
      <x:c r="E330" s="296" t="n">
        <x:v>36</x:v>
      </x:c>
      <x:c r="F330" s="296" t="n">
        <x:v>44</x:v>
      </x:c>
      <x:c r="G330" s="296" t="n">
        <x:v>5</x:v>
      </x:c>
      <x:c r="H330" s="296" t="n">
        <x:v>8</x:v>
      </x:c>
      <x:c r="I330" s="296" t="n">
        <x:f>SUM(B330:F330)</x:f>
        <x:v>153</x:v>
      </x:c>
      <x:c r="J330" s="296" t="n">
        <x:f>MOD(B330,2)+MOD(C330,2)+MOD(D330,2)+MOD(E330,2)+MOD(F330,2)</x:f>
        <x:v>3</x:v>
      </x:c>
      <x:c r="K330" s="296" t="n">
        <x:f>COUNTIF(B330:F330,"&gt;31")</x:f>
        <x:v>2</x:v>
      </x:c>
      <x:c r="L330" s="336" t="n">
        <x:f>1/'Executive Summary'!$B$24</x:f>
        <x:v>7.1511238420185165e-9</x:v>
      </x:c>
      <x:c r="M330" s="342" t="n">
        <x:f>2.5</x:f>
        <x:v>2.5</x:v>
      </x:c>
      <x:c r="N330" s="288" t="str">
        <x:v>Conditional coverage wheel</x:v>
      </x:c>
    </x:row>
    <x:row r="331">
      <x:c r="A331" s="295" t="n">
        <x:v>327</x:v>
      </x:c>
      <x:c r="B331" s="296" t="n">
        <x:v>21</x:v>
      </x:c>
      <x:c r="C331" s="296" t="n">
        <x:v>25</x:v>
      </x:c>
      <x:c r="D331" s="296" t="n">
        <x:v>27</x:v>
      </x:c>
      <x:c r="E331" s="296" t="n">
        <x:v>36</x:v>
      </x:c>
      <x:c r="F331" s="296" t="n">
        <x:v>44</x:v>
      </x:c>
      <x:c r="G331" s="296" t="n">
        <x:v>5</x:v>
      </x:c>
      <x:c r="H331" s="296" t="n">
        <x:v>9</x:v>
      </x:c>
      <x:c r="I331" s="296" t="n">
        <x:f>SUM(B331:F331)</x:f>
        <x:v>153</x:v>
      </x:c>
      <x:c r="J331" s="296" t="n">
        <x:f>MOD(B331,2)+MOD(C331,2)+MOD(D331,2)+MOD(E331,2)+MOD(F331,2)</x:f>
        <x:v>3</x:v>
      </x:c>
      <x:c r="K331" s="296" t="n">
        <x:f>COUNTIF(B331:F331,"&gt;31")</x:f>
        <x:v>2</x:v>
      </x:c>
      <x:c r="L331" s="336" t="n">
        <x:f>1/'Executive Summary'!$B$24</x:f>
        <x:v>7.1511238420185165e-9</x:v>
      </x:c>
      <x:c r="M331" s="342" t="n">
        <x:f>2.5</x:f>
        <x:v>2.5</x:v>
      </x:c>
      <x:c r="N331" s="288" t="str">
        <x:v>Conditional coverage wheel</x:v>
      </x:c>
    </x:row>
    <x:row r="332">
      <x:c r="A332" s="295" t="n">
        <x:v>328</x:v>
      </x:c>
      <x:c r="B332" s="296" t="n">
        <x:v>21</x:v>
      </x:c>
      <x:c r="C332" s="296" t="n">
        <x:v>25</x:v>
      </x:c>
      <x:c r="D332" s="296" t="n">
        <x:v>27</x:v>
      </x:c>
      <x:c r="E332" s="296" t="n">
        <x:v>36</x:v>
      </x:c>
      <x:c r="F332" s="296" t="n">
        <x:v>44</x:v>
      </x:c>
      <x:c r="G332" s="296" t="n">
        <x:v>7</x:v>
      </x:c>
      <x:c r="H332" s="296" t="n">
        <x:v>8</x:v>
      </x:c>
      <x:c r="I332" s="296" t="n">
        <x:f>SUM(B332:F332)</x:f>
        <x:v>153</x:v>
      </x:c>
      <x:c r="J332" s="296" t="n">
        <x:f>MOD(B332,2)+MOD(C332,2)+MOD(D332,2)+MOD(E332,2)+MOD(F332,2)</x:f>
        <x:v>3</x:v>
      </x:c>
      <x:c r="K332" s="296" t="n">
        <x:f>COUNTIF(B332:F332,"&gt;31")</x:f>
        <x:v>2</x:v>
      </x:c>
      <x:c r="L332" s="336" t="n">
        <x:f>1/'Executive Summary'!$B$24</x:f>
        <x:v>7.1511238420185165e-9</x:v>
      </x:c>
      <x:c r="M332" s="342" t="n">
        <x:f>2.5</x:f>
        <x:v>2.5</x:v>
      </x:c>
      <x:c r="N332" s="288" t="str">
        <x:v>Conditional coverage wheel</x:v>
      </x:c>
    </x:row>
    <x:row r="333">
      <x:c r="A333" s="295" t="n">
        <x:v>329</x:v>
      </x:c>
      <x:c r="B333" s="296" t="n">
        <x:v>21</x:v>
      </x:c>
      <x:c r="C333" s="296" t="n">
        <x:v>25</x:v>
      </x:c>
      <x:c r="D333" s="296" t="n">
        <x:v>27</x:v>
      </x:c>
      <x:c r="E333" s="296" t="n">
        <x:v>36</x:v>
      </x:c>
      <x:c r="F333" s="296" t="n">
        <x:v>44</x:v>
      </x:c>
      <x:c r="G333" s="296" t="n">
        <x:v>7</x:v>
      </x:c>
      <x:c r="H333" s="296" t="n">
        <x:v>9</x:v>
      </x:c>
      <x:c r="I333" s="296" t="n">
        <x:f>SUM(B333:F333)</x:f>
        <x:v>153</x:v>
      </x:c>
      <x:c r="J333" s="296" t="n">
        <x:f>MOD(B333,2)+MOD(C333,2)+MOD(D333,2)+MOD(E333,2)+MOD(F333,2)</x:f>
        <x:v>3</x:v>
      </x:c>
      <x:c r="K333" s="296" t="n">
        <x:f>COUNTIF(B333:F333,"&gt;31")</x:f>
        <x:v>2</x:v>
      </x:c>
      <x:c r="L333" s="336" t="n">
        <x:f>1/'Executive Summary'!$B$24</x:f>
        <x:v>7.1511238420185165e-9</x:v>
      </x:c>
      <x:c r="M333" s="342" t="n">
        <x:f>2.5</x:f>
        <x:v>2.5</x:v>
      </x:c>
      <x:c r="N333" s="288" t="str">
        <x:v>Conditional coverage wheel</x:v>
      </x:c>
    </x:row>
    <x:row r="334">
      <x:c r="A334" s="295" t="n">
        <x:v>330</x:v>
      </x:c>
      <x:c r="B334" s="296" t="n">
        <x:v>21</x:v>
      </x:c>
      <x:c r="C334" s="296" t="n">
        <x:v>25</x:v>
      </x:c>
      <x:c r="D334" s="296" t="n">
        <x:v>27</x:v>
      </x:c>
      <x:c r="E334" s="296" t="n">
        <x:v>36</x:v>
      </x:c>
      <x:c r="F334" s="296" t="n">
        <x:v>44</x:v>
      </x:c>
      <x:c r="G334" s="296" t="n">
        <x:v>8</x:v>
      </x:c>
      <x:c r="H334" s="296" t="n">
        <x:v>9</x:v>
      </x:c>
      <x:c r="I334" s="296" t="n">
        <x:f>SUM(B334:F334)</x:f>
        <x:v>153</x:v>
      </x:c>
      <x:c r="J334" s="296" t="n">
        <x:f>MOD(B334,2)+MOD(C334,2)+MOD(D334,2)+MOD(E334,2)+MOD(F334,2)</x:f>
        <x:v>3</x:v>
      </x:c>
      <x:c r="K334" s="296" t="n">
        <x:f>COUNTIF(B334:F334,"&gt;31")</x:f>
        <x:v>2</x:v>
      </x:c>
      <x:c r="L334" s="336" t="n">
        <x:f>1/'Executive Summary'!$B$24</x:f>
        <x:v>7.1511238420185165e-9</x:v>
      </x:c>
      <x:c r="M334" s="342" t="n">
        <x:f>2.5</x:f>
        <x:v>2.5</x:v>
      </x:c>
      <x:c r="N334" s="288" t="str">
        <x:v>Conditional coverage wheel</x:v>
      </x:c>
    </x:row>
    <x:row r="335">
      <x:c r="A335" s="295" t="n">
        <x:v>331</x:v>
      </x:c>
      <x:c r="B335" s="296" t="n">
        <x:v>21</x:v>
      </x:c>
      <x:c r="C335" s="296" t="n">
        <x:v>27</x:v>
      </x:c>
      <x:c r="D335" s="296" t="n">
        <x:v>35</x:v>
      </x:c>
      <x:c r="E335" s="296" t="n">
        <x:v>48</x:v>
      </x:c>
      <x:c r="F335" s="296" t="n">
        <x:v>50</x:v>
      </x:c>
      <x:c r="G335" s="296" t="n">
        <x:v>3</x:v>
      </x:c>
      <x:c r="H335" s="296" t="n">
        <x:v>4</x:v>
      </x:c>
      <x:c r="I335" s="296" t="n">
        <x:f>SUM(B335:F335)</x:f>
        <x:v>181</x:v>
      </x:c>
      <x:c r="J335" s="296" t="n">
        <x:f>MOD(B335,2)+MOD(C335,2)+MOD(D335,2)+MOD(E335,2)+MOD(F335,2)</x:f>
        <x:v>3</x:v>
      </x:c>
      <x:c r="K335" s="296" t="n">
        <x:f>COUNTIF(B335:F335,"&gt;31")</x:f>
        <x:v>3</x:v>
      </x:c>
      <x:c r="L335" s="336" t="n">
        <x:f>1/'Executive Summary'!$B$24</x:f>
        <x:v>7.1511238420185165e-9</x:v>
      </x:c>
      <x:c r="M335" s="342" t="n">
        <x:f>2.5</x:f>
        <x:v>2.5</x:v>
      </x:c>
      <x:c r="N335" s="288" t="str">
        <x:v>Conditional coverage wheel</x:v>
      </x:c>
    </x:row>
    <x:row r="336">
      <x:c r="A336" s="295" t="n">
        <x:v>332</x:v>
      </x:c>
      <x:c r="B336" s="296" t="n">
        <x:v>21</x:v>
      </x:c>
      <x:c r="C336" s="296" t="n">
        <x:v>27</x:v>
      </x:c>
      <x:c r="D336" s="296" t="n">
        <x:v>35</x:v>
      </x:c>
      <x:c r="E336" s="296" t="n">
        <x:v>48</x:v>
      </x:c>
      <x:c r="F336" s="296" t="n">
        <x:v>50</x:v>
      </x:c>
      <x:c r="G336" s="296" t="n">
        <x:v>3</x:v>
      </x:c>
      <x:c r="H336" s="296" t="n">
        <x:v>5</x:v>
      </x:c>
      <x:c r="I336" s="296" t="n">
        <x:f>SUM(B336:F336)</x:f>
        <x:v>181</x:v>
      </x:c>
      <x:c r="J336" s="296" t="n">
        <x:f>MOD(B336,2)+MOD(C336,2)+MOD(D336,2)+MOD(E336,2)+MOD(F336,2)</x:f>
        <x:v>3</x:v>
      </x:c>
      <x:c r="K336" s="296" t="n">
        <x:f>COUNTIF(B336:F336,"&gt;31")</x:f>
        <x:v>3</x:v>
      </x:c>
      <x:c r="L336" s="336" t="n">
        <x:f>1/'Executive Summary'!$B$24</x:f>
        <x:v>7.1511238420185165e-9</x:v>
      </x:c>
      <x:c r="M336" s="342" t="n">
        <x:f>2.5</x:f>
        <x:v>2.5</x:v>
      </x:c>
      <x:c r="N336" s="288" t="str">
        <x:v>Conditional coverage wheel</x:v>
      </x:c>
    </x:row>
    <x:row r="337">
      <x:c r="A337" s="295" t="n">
        <x:v>333</x:v>
      </x:c>
      <x:c r="B337" s="296" t="n">
        <x:v>21</x:v>
      </x:c>
      <x:c r="C337" s="296" t="n">
        <x:v>27</x:v>
      </x:c>
      <x:c r="D337" s="296" t="n">
        <x:v>35</x:v>
      </x:c>
      <x:c r="E337" s="296" t="n">
        <x:v>48</x:v>
      </x:c>
      <x:c r="F337" s="296" t="n">
        <x:v>50</x:v>
      </x:c>
      <x:c r="G337" s="296" t="n">
        <x:v>3</x:v>
      </x:c>
      <x:c r="H337" s="296" t="n">
        <x:v>7</x:v>
      </x:c>
      <x:c r="I337" s="296" t="n">
        <x:f>SUM(B337:F337)</x:f>
        <x:v>181</x:v>
      </x:c>
      <x:c r="J337" s="296" t="n">
        <x:f>MOD(B337,2)+MOD(C337,2)+MOD(D337,2)+MOD(E337,2)+MOD(F337,2)</x:f>
        <x:v>3</x:v>
      </x:c>
      <x:c r="K337" s="296" t="n">
        <x:f>COUNTIF(B337:F337,"&gt;31")</x:f>
        <x:v>3</x:v>
      </x:c>
      <x:c r="L337" s="336" t="n">
        <x:f>1/'Executive Summary'!$B$24</x:f>
        <x:v>7.1511238420185165e-9</x:v>
      </x:c>
      <x:c r="M337" s="342" t="n">
        <x:f>2.5</x:f>
        <x:v>2.5</x:v>
      </x:c>
      <x:c r="N337" s="288" t="str">
        <x:v>Conditional coverage wheel</x:v>
      </x:c>
    </x:row>
    <x:row r="338">
      <x:c r="A338" s="295" t="n">
        <x:v>334</x:v>
      </x:c>
      <x:c r="B338" s="296" t="n">
        <x:v>21</x:v>
      </x:c>
      <x:c r="C338" s="296" t="n">
        <x:v>27</x:v>
      </x:c>
      <x:c r="D338" s="296" t="n">
        <x:v>35</x:v>
      </x:c>
      <x:c r="E338" s="296" t="n">
        <x:v>48</x:v>
      </x:c>
      <x:c r="F338" s="296" t="n">
        <x:v>50</x:v>
      </x:c>
      <x:c r="G338" s="296" t="n">
        <x:v>3</x:v>
      </x:c>
      <x:c r="H338" s="296" t="n">
        <x:v>8</x:v>
      </x:c>
      <x:c r="I338" s="296" t="n">
        <x:f>SUM(B338:F338)</x:f>
        <x:v>181</x:v>
      </x:c>
      <x:c r="J338" s="296" t="n">
        <x:f>MOD(B338,2)+MOD(C338,2)+MOD(D338,2)+MOD(E338,2)+MOD(F338,2)</x:f>
        <x:v>3</x:v>
      </x:c>
      <x:c r="K338" s="296" t="n">
        <x:f>COUNTIF(B338:F338,"&gt;31")</x:f>
        <x:v>3</x:v>
      </x:c>
      <x:c r="L338" s="336" t="n">
        <x:f>1/'Executive Summary'!$B$24</x:f>
        <x:v>7.1511238420185165e-9</x:v>
      </x:c>
      <x:c r="M338" s="342" t="n">
        <x:f>2.5</x:f>
        <x:v>2.5</x:v>
      </x:c>
      <x:c r="N338" s="288" t="str">
        <x:v>Conditional coverage wheel</x:v>
      </x:c>
    </x:row>
    <x:row r="339">
      <x:c r="A339" s="295" t="n">
        <x:v>335</x:v>
      </x:c>
      <x:c r="B339" s="296" t="n">
        <x:v>21</x:v>
      </x:c>
      <x:c r="C339" s="296" t="n">
        <x:v>27</x:v>
      </x:c>
      <x:c r="D339" s="296" t="n">
        <x:v>35</x:v>
      </x:c>
      <x:c r="E339" s="296" t="n">
        <x:v>48</x:v>
      </x:c>
      <x:c r="F339" s="296" t="n">
        <x:v>50</x:v>
      </x:c>
      <x:c r="G339" s="296" t="n">
        <x:v>3</x:v>
      </x:c>
      <x:c r="H339" s="296" t="n">
        <x:v>9</x:v>
      </x:c>
      <x:c r="I339" s="296" t="n">
        <x:f>SUM(B339:F339)</x:f>
        <x:v>181</x:v>
      </x:c>
      <x:c r="J339" s="296" t="n">
        <x:f>MOD(B339,2)+MOD(C339,2)+MOD(D339,2)+MOD(E339,2)+MOD(F339,2)</x:f>
        <x:v>3</x:v>
      </x:c>
      <x:c r="K339" s="296" t="n">
        <x:f>COUNTIF(B339:F339,"&gt;31")</x:f>
        <x:v>3</x:v>
      </x:c>
      <x:c r="L339" s="336" t="n">
        <x:f>1/'Executive Summary'!$B$24</x:f>
        <x:v>7.1511238420185165e-9</x:v>
      </x:c>
      <x:c r="M339" s="342" t="n">
        <x:f>2.5</x:f>
        <x:v>2.5</x:v>
      </x:c>
      <x:c r="N339" s="288" t="str">
        <x:v>Conditional coverage wheel</x:v>
      </x:c>
    </x:row>
    <x:row r="340">
      <x:c r="A340" s="295" t="n">
        <x:v>336</x:v>
      </x:c>
      <x:c r="B340" s="296" t="n">
        <x:v>21</x:v>
      </x:c>
      <x:c r="C340" s="296" t="n">
        <x:v>27</x:v>
      </x:c>
      <x:c r="D340" s="296" t="n">
        <x:v>35</x:v>
      </x:c>
      <x:c r="E340" s="296" t="n">
        <x:v>48</x:v>
      </x:c>
      <x:c r="F340" s="296" t="n">
        <x:v>50</x:v>
      </x:c>
      <x:c r="G340" s="296" t="n">
        <x:v>4</x:v>
      </x:c>
      <x:c r="H340" s="296" t="n">
        <x:v>5</x:v>
      </x:c>
      <x:c r="I340" s="296" t="n">
        <x:f>SUM(B340:F340)</x:f>
        <x:v>181</x:v>
      </x:c>
      <x:c r="J340" s="296" t="n">
        <x:f>MOD(B340,2)+MOD(C340,2)+MOD(D340,2)+MOD(E340,2)+MOD(F340,2)</x:f>
        <x:v>3</x:v>
      </x:c>
      <x:c r="K340" s="296" t="n">
        <x:f>COUNTIF(B340:F340,"&gt;31")</x:f>
        <x:v>3</x:v>
      </x:c>
      <x:c r="L340" s="336" t="n">
        <x:f>1/'Executive Summary'!$B$24</x:f>
        <x:v>7.1511238420185165e-9</x:v>
      </x:c>
      <x:c r="M340" s="342" t="n">
        <x:f>2.5</x:f>
        <x:v>2.5</x:v>
      </x:c>
      <x:c r="N340" s="288" t="str">
        <x:v>Conditional coverage wheel</x:v>
      </x:c>
    </x:row>
    <x:row r="341">
      <x:c r="A341" s="295" t="n">
        <x:v>337</x:v>
      </x:c>
      <x:c r="B341" s="296" t="n">
        <x:v>21</x:v>
      </x:c>
      <x:c r="C341" s="296" t="n">
        <x:v>27</x:v>
      </x:c>
      <x:c r="D341" s="296" t="n">
        <x:v>35</x:v>
      </x:c>
      <x:c r="E341" s="296" t="n">
        <x:v>48</x:v>
      </x:c>
      <x:c r="F341" s="296" t="n">
        <x:v>50</x:v>
      </x:c>
      <x:c r="G341" s="296" t="n">
        <x:v>4</x:v>
      </x:c>
      <x:c r="H341" s="296" t="n">
        <x:v>7</x:v>
      </x:c>
      <x:c r="I341" s="296" t="n">
        <x:f>SUM(B341:F341)</x:f>
        <x:v>181</x:v>
      </x:c>
      <x:c r="J341" s="296" t="n">
        <x:f>MOD(B341,2)+MOD(C341,2)+MOD(D341,2)+MOD(E341,2)+MOD(F341,2)</x:f>
        <x:v>3</x:v>
      </x:c>
      <x:c r="K341" s="296" t="n">
        <x:f>COUNTIF(B341:F341,"&gt;31")</x:f>
        <x:v>3</x:v>
      </x:c>
      <x:c r="L341" s="336" t="n">
        <x:f>1/'Executive Summary'!$B$24</x:f>
        <x:v>7.1511238420185165e-9</x:v>
      </x:c>
      <x:c r="M341" s="342" t="n">
        <x:f>2.5</x:f>
        <x:v>2.5</x:v>
      </x:c>
      <x:c r="N341" s="288" t="str">
        <x:v>Conditional coverage wheel</x:v>
      </x:c>
    </x:row>
    <x:row r="342">
      <x:c r="A342" s="295" t="n">
        <x:v>338</x:v>
      </x:c>
      <x:c r="B342" s="296" t="n">
        <x:v>21</x:v>
      </x:c>
      <x:c r="C342" s="296" t="n">
        <x:v>27</x:v>
      </x:c>
      <x:c r="D342" s="296" t="n">
        <x:v>35</x:v>
      </x:c>
      <x:c r="E342" s="296" t="n">
        <x:v>48</x:v>
      </x:c>
      <x:c r="F342" s="296" t="n">
        <x:v>50</x:v>
      </x:c>
      <x:c r="G342" s="296" t="n">
        <x:v>4</x:v>
      </x:c>
      <x:c r="H342" s="296" t="n">
        <x:v>8</x:v>
      </x:c>
      <x:c r="I342" s="296" t="n">
        <x:f>SUM(B342:F342)</x:f>
        <x:v>181</x:v>
      </x:c>
      <x:c r="J342" s="296" t="n">
        <x:f>MOD(B342,2)+MOD(C342,2)+MOD(D342,2)+MOD(E342,2)+MOD(F342,2)</x:f>
        <x:v>3</x:v>
      </x:c>
      <x:c r="K342" s="296" t="n">
        <x:f>COUNTIF(B342:F342,"&gt;31")</x:f>
        <x:v>3</x:v>
      </x:c>
      <x:c r="L342" s="336" t="n">
        <x:f>1/'Executive Summary'!$B$24</x:f>
        <x:v>7.1511238420185165e-9</x:v>
      </x:c>
      <x:c r="M342" s="342" t="n">
        <x:f>2.5</x:f>
        <x:v>2.5</x:v>
      </x:c>
      <x:c r="N342" s="288" t="str">
        <x:v>Conditional coverage wheel</x:v>
      </x:c>
    </x:row>
    <x:row r="343">
      <x:c r="A343" s="295" t="n">
        <x:v>339</x:v>
      </x:c>
      <x:c r="B343" s="296" t="n">
        <x:v>21</x:v>
      </x:c>
      <x:c r="C343" s="296" t="n">
        <x:v>27</x:v>
      </x:c>
      <x:c r="D343" s="296" t="n">
        <x:v>35</x:v>
      </x:c>
      <x:c r="E343" s="296" t="n">
        <x:v>48</x:v>
      </x:c>
      <x:c r="F343" s="296" t="n">
        <x:v>50</x:v>
      </x:c>
      <x:c r="G343" s="296" t="n">
        <x:v>4</x:v>
      </x:c>
      <x:c r="H343" s="296" t="n">
        <x:v>9</x:v>
      </x:c>
      <x:c r="I343" s="296" t="n">
        <x:f>SUM(B343:F343)</x:f>
        <x:v>181</x:v>
      </x:c>
      <x:c r="J343" s="296" t="n">
        <x:f>MOD(B343,2)+MOD(C343,2)+MOD(D343,2)+MOD(E343,2)+MOD(F343,2)</x:f>
        <x:v>3</x:v>
      </x:c>
      <x:c r="K343" s="296" t="n">
        <x:f>COUNTIF(B343:F343,"&gt;31")</x:f>
        <x:v>3</x:v>
      </x:c>
      <x:c r="L343" s="336" t="n">
        <x:f>1/'Executive Summary'!$B$24</x:f>
        <x:v>7.1511238420185165e-9</x:v>
      </x:c>
      <x:c r="M343" s="342" t="n">
        <x:f>2.5</x:f>
        <x:v>2.5</x:v>
      </x:c>
      <x:c r="N343" s="288" t="str">
        <x:v>Conditional coverage wheel</x:v>
      </x:c>
    </x:row>
    <x:row r="344">
      <x:c r="A344" s="295" t="n">
        <x:v>340</x:v>
      </x:c>
      <x:c r="B344" s="296" t="n">
        <x:v>21</x:v>
      </x:c>
      <x:c r="C344" s="296" t="n">
        <x:v>27</x:v>
      </x:c>
      <x:c r="D344" s="296" t="n">
        <x:v>35</x:v>
      </x:c>
      <x:c r="E344" s="296" t="n">
        <x:v>48</x:v>
      </x:c>
      <x:c r="F344" s="296" t="n">
        <x:v>50</x:v>
      </x:c>
      <x:c r="G344" s="296" t="n">
        <x:v>5</x:v>
      </x:c>
      <x:c r="H344" s="296" t="n">
        <x:v>7</x:v>
      </x:c>
      <x:c r="I344" s="296" t="n">
        <x:f>SUM(B344:F344)</x:f>
        <x:v>181</x:v>
      </x:c>
      <x:c r="J344" s="296" t="n">
        <x:f>MOD(B344,2)+MOD(C344,2)+MOD(D344,2)+MOD(E344,2)+MOD(F344,2)</x:f>
        <x:v>3</x:v>
      </x:c>
      <x:c r="K344" s="296" t="n">
        <x:f>COUNTIF(B344:F344,"&gt;31")</x:f>
        <x:v>3</x:v>
      </x:c>
      <x:c r="L344" s="336" t="n">
        <x:f>1/'Executive Summary'!$B$24</x:f>
        <x:v>7.1511238420185165e-9</x:v>
      </x:c>
      <x:c r="M344" s="342" t="n">
        <x:f>2.5</x:f>
        <x:v>2.5</x:v>
      </x:c>
      <x:c r="N344" s="288" t="str">
        <x:v>Conditional coverage wheel</x:v>
      </x:c>
    </x:row>
    <x:row r="345">
      <x:c r="A345" s="295" t="n">
        <x:v>341</x:v>
      </x:c>
      <x:c r="B345" s="296" t="n">
        <x:v>21</x:v>
      </x:c>
      <x:c r="C345" s="296" t="n">
        <x:v>27</x:v>
      </x:c>
      <x:c r="D345" s="296" t="n">
        <x:v>35</x:v>
      </x:c>
      <x:c r="E345" s="296" t="n">
        <x:v>48</x:v>
      </x:c>
      <x:c r="F345" s="296" t="n">
        <x:v>50</x:v>
      </x:c>
      <x:c r="G345" s="296" t="n">
        <x:v>5</x:v>
      </x:c>
      <x:c r="H345" s="296" t="n">
        <x:v>8</x:v>
      </x:c>
      <x:c r="I345" s="296" t="n">
        <x:f>SUM(B345:F345)</x:f>
        <x:v>181</x:v>
      </x:c>
      <x:c r="J345" s="296" t="n">
        <x:f>MOD(B345,2)+MOD(C345,2)+MOD(D345,2)+MOD(E345,2)+MOD(F345,2)</x:f>
        <x:v>3</x:v>
      </x:c>
      <x:c r="K345" s="296" t="n">
        <x:f>COUNTIF(B345:F345,"&gt;31")</x:f>
        <x:v>3</x:v>
      </x:c>
      <x:c r="L345" s="336" t="n">
        <x:f>1/'Executive Summary'!$B$24</x:f>
        <x:v>7.1511238420185165e-9</x:v>
      </x:c>
      <x:c r="M345" s="342" t="n">
        <x:f>2.5</x:f>
        <x:v>2.5</x:v>
      </x:c>
      <x:c r="N345" s="288" t="str">
        <x:v>Conditional coverage wheel</x:v>
      </x:c>
    </x:row>
    <x:row r="346">
      <x:c r="A346" s="295" t="n">
        <x:v>342</x:v>
      </x:c>
      <x:c r="B346" s="296" t="n">
        <x:v>21</x:v>
      </x:c>
      <x:c r="C346" s="296" t="n">
        <x:v>27</x:v>
      </x:c>
      <x:c r="D346" s="296" t="n">
        <x:v>35</x:v>
      </x:c>
      <x:c r="E346" s="296" t="n">
        <x:v>48</x:v>
      </x:c>
      <x:c r="F346" s="296" t="n">
        <x:v>50</x:v>
      </x:c>
      <x:c r="G346" s="296" t="n">
        <x:v>5</x:v>
      </x:c>
      <x:c r="H346" s="296" t="n">
        <x:v>9</x:v>
      </x:c>
      <x:c r="I346" s="296" t="n">
        <x:f>SUM(B346:F346)</x:f>
        <x:v>181</x:v>
      </x:c>
      <x:c r="J346" s="296" t="n">
        <x:f>MOD(B346,2)+MOD(C346,2)+MOD(D346,2)+MOD(E346,2)+MOD(F346,2)</x:f>
        <x:v>3</x:v>
      </x:c>
      <x:c r="K346" s="296" t="n">
        <x:f>COUNTIF(B346:F346,"&gt;31")</x:f>
        <x:v>3</x:v>
      </x:c>
      <x:c r="L346" s="336" t="n">
        <x:f>1/'Executive Summary'!$B$24</x:f>
        <x:v>7.1511238420185165e-9</x:v>
      </x:c>
      <x:c r="M346" s="342" t="n">
        <x:f>2.5</x:f>
        <x:v>2.5</x:v>
      </x:c>
      <x:c r="N346" s="288" t="str">
        <x:v>Conditional coverage wheel</x:v>
      </x:c>
    </x:row>
    <x:row r="347">
      <x:c r="A347" s="295" t="n">
        <x:v>343</x:v>
      </x:c>
      <x:c r="B347" s="296" t="n">
        <x:v>21</x:v>
      </x:c>
      <x:c r="C347" s="296" t="n">
        <x:v>27</x:v>
      </x:c>
      <x:c r="D347" s="296" t="n">
        <x:v>35</x:v>
      </x:c>
      <x:c r="E347" s="296" t="n">
        <x:v>48</x:v>
      </x:c>
      <x:c r="F347" s="296" t="n">
        <x:v>50</x:v>
      </x:c>
      <x:c r="G347" s="296" t="n">
        <x:v>7</x:v>
      </x:c>
      <x:c r="H347" s="296" t="n">
        <x:v>8</x:v>
      </x:c>
      <x:c r="I347" s="296" t="n">
        <x:f>SUM(B347:F347)</x:f>
        <x:v>181</x:v>
      </x:c>
      <x:c r="J347" s="296" t="n">
        <x:f>MOD(B347,2)+MOD(C347,2)+MOD(D347,2)+MOD(E347,2)+MOD(F347,2)</x:f>
        <x:v>3</x:v>
      </x:c>
      <x:c r="K347" s="296" t="n">
        <x:f>COUNTIF(B347:F347,"&gt;31")</x:f>
        <x:v>3</x:v>
      </x:c>
      <x:c r="L347" s="336" t="n">
        <x:f>1/'Executive Summary'!$B$24</x:f>
        <x:v>7.1511238420185165e-9</x:v>
      </x:c>
      <x:c r="M347" s="342" t="n">
        <x:f>2.5</x:f>
        <x:v>2.5</x:v>
      </x:c>
      <x:c r="N347" s="288" t="str">
        <x:v>Conditional coverage wheel</x:v>
      </x:c>
    </x:row>
    <x:row r="348">
      <x:c r="A348" s="295" t="n">
        <x:v>344</x:v>
      </x:c>
      <x:c r="B348" s="296" t="n">
        <x:v>21</x:v>
      </x:c>
      <x:c r="C348" s="296" t="n">
        <x:v>27</x:v>
      </x:c>
      <x:c r="D348" s="296" t="n">
        <x:v>35</x:v>
      </x:c>
      <x:c r="E348" s="296" t="n">
        <x:v>48</x:v>
      </x:c>
      <x:c r="F348" s="296" t="n">
        <x:v>50</x:v>
      </x:c>
      <x:c r="G348" s="296" t="n">
        <x:v>7</x:v>
      </x:c>
      <x:c r="H348" s="296" t="n">
        <x:v>9</x:v>
      </x:c>
      <x:c r="I348" s="296" t="n">
        <x:f>SUM(B348:F348)</x:f>
        <x:v>181</x:v>
      </x:c>
      <x:c r="J348" s="296" t="n">
        <x:f>MOD(B348,2)+MOD(C348,2)+MOD(D348,2)+MOD(E348,2)+MOD(F348,2)</x:f>
        <x:v>3</x:v>
      </x:c>
      <x:c r="K348" s="296" t="n">
        <x:f>COUNTIF(B348:F348,"&gt;31")</x:f>
        <x:v>3</x:v>
      </x:c>
      <x:c r="L348" s="336" t="n">
        <x:f>1/'Executive Summary'!$B$24</x:f>
        <x:v>7.1511238420185165e-9</x:v>
      </x:c>
      <x:c r="M348" s="342" t="n">
        <x:f>2.5</x:f>
        <x:v>2.5</x:v>
      </x:c>
      <x:c r="N348" s="288" t="str">
        <x:v>Conditional coverage wheel</x:v>
      </x:c>
    </x:row>
    <x:row r="349">
      <x:c r="A349" s="295" t="n">
        <x:v>345</x:v>
      </x:c>
      <x:c r="B349" s="296" t="n">
        <x:v>21</x:v>
      </x:c>
      <x:c r="C349" s="296" t="n">
        <x:v>27</x:v>
      </x:c>
      <x:c r="D349" s="296" t="n">
        <x:v>35</x:v>
      </x:c>
      <x:c r="E349" s="296" t="n">
        <x:v>48</x:v>
      </x:c>
      <x:c r="F349" s="296" t="n">
        <x:v>50</x:v>
      </x:c>
      <x:c r="G349" s="296" t="n">
        <x:v>8</x:v>
      </x:c>
      <x:c r="H349" s="296" t="n">
        <x:v>9</x:v>
      </x:c>
      <x:c r="I349" s="296" t="n">
        <x:f>SUM(B349:F349)</x:f>
        <x:v>181</x:v>
      </x:c>
      <x:c r="J349" s="296" t="n">
        <x:f>MOD(B349,2)+MOD(C349,2)+MOD(D349,2)+MOD(E349,2)+MOD(F349,2)</x:f>
        <x:v>3</x:v>
      </x:c>
      <x:c r="K349" s="296" t="n">
        <x:f>COUNTIF(B349:F349,"&gt;31")</x:f>
        <x:v>3</x:v>
      </x:c>
      <x:c r="L349" s="336" t="n">
        <x:f>1/'Executive Summary'!$B$24</x:f>
        <x:v>7.1511238420185165e-9</x:v>
      </x:c>
      <x:c r="M349" s="342" t="n">
        <x:f>2.5</x:f>
        <x:v>2.5</x:v>
      </x:c>
      <x:c r="N349" s="288" t="str">
        <x:v>Conditional coverage wheel</x:v>
      </x:c>
    </x:row>
    <x:row r="350">
      <x:c r="A350" s="295" t="n">
        <x:v>346</x:v>
      </x:c>
      <x:c r="B350" s="296" t="n">
        <x:v>4</x:v>
      </x:c>
      <x:c r="C350" s="296" t="n">
        <x:v>25</x:v>
      </x:c>
      <x:c r="D350" s="296" t="n">
        <x:v>28</x:v>
      </x:c>
      <x:c r="E350" s="296" t="n">
        <x:v>35</x:v>
      </x:c>
      <x:c r="F350" s="296" t="n">
        <x:v>48</x:v>
      </x:c>
      <x:c r="G350" s="296" t="n">
        <x:v>3</x:v>
      </x:c>
      <x:c r="H350" s="296" t="n">
        <x:v>4</x:v>
      </x:c>
      <x:c r="I350" s="296" t="n">
        <x:f>SUM(B350:F350)</x:f>
        <x:v>140</x:v>
      </x:c>
      <x:c r="J350" s="296" t="n">
        <x:f>MOD(B350,2)+MOD(C350,2)+MOD(D350,2)+MOD(E350,2)+MOD(F350,2)</x:f>
        <x:v>2</x:v>
      </x:c>
      <x:c r="K350" s="296" t="n">
        <x:f>COUNTIF(B350:F350,"&gt;31")</x:f>
        <x:v>2</x:v>
      </x:c>
      <x:c r="L350" s="336" t="n">
        <x:f>1/'Executive Summary'!$B$24</x:f>
        <x:v>7.1511238420185165e-9</x:v>
      </x:c>
      <x:c r="M350" s="342" t="n">
        <x:f>2.5</x:f>
        <x:v>2.5</x:v>
      </x:c>
      <x:c r="N350" s="288" t="str">
        <x:v>Conditional coverage wheel</x:v>
      </x:c>
    </x:row>
    <x:row r="351">
      <x:c r="A351" s="295" t="n">
        <x:v>347</x:v>
      </x:c>
      <x:c r="B351" s="296" t="n">
        <x:v>4</x:v>
      </x:c>
      <x:c r="C351" s="296" t="n">
        <x:v>25</x:v>
      </x:c>
      <x:c r="D351" s="296" t="n">
        <x:v>28</x:v>
      </x:c>
      <x:c r="E351" s="296" t="n">
        <x:v>35</x:v>
      </x:c>
      <x:c r="F351" s="296" t="n">
        <x:v>48</x:v>
      </x:c>
      <x:c r="G351" s="296" t="n">
        <x:v>3</x:v>
      </x:c>
      <x:c r="H351" s="296" t="n">
        <x:v>5</x:v>
      </x:c>
      <x:c r="I351" s="296" t="n">
        <x:f>SUM(B351:F351)</x:f>
        <x:v>140</x:v>
      </x:c>
      <x:c r="J351" s="296" t="n">
        <x:f>MOD(B351,2)+MOD(C351,2)+MOD(D351,2)+MOD(E351,2)+MOD(F351,2)</x:f>
        <x:v>2</x:v>
      </x:c>
      <x:c r="K351" s="296" t="n">
        <x:f>COUNTIF(B351:F351,"&gt;31")</x:f>
        <x:v>2</x:v>
      </x:c>
      <x:c r="L351" s="336" t="n">
        <x:f>1/'Executive Summary'!$B$24</x:f>
        <x:v>7.1511238420185165e-9</x:v>
      </x:c>
      <x:c r="M351" s="342" t="n">
        <x:f>2.5</x:f>
        <x:v>2.5</x:v>
      </x:c>
      <x:c r="N351" s="288" t="str">
        <x:v>Conditional coverage wheel</x:v>
      </x:c>
    </x:row>
    <x:row r="352">
      <x:c r="A352" s="295" t="n">
        <x:v>348</x:v>
      </x:c>
      <x:c r="B352" s="296" t="n">
        <x:v>4</x:v>
      </x:c>
      <x:c r="C352" s="296" t="n">
        <x:v>25</x:v>
      </x:c>
      <x:c r="D352" s="296" t="n">
        <x:v>28</x:v>
      </x:c>
      <x:c r="E352" s="296" t="n">
        <x:v>35</x:v>
      </x:c>
      <x:c r="F352" s="296" t="n">
        <x:v>48</x:v>
      </x:c>
      <x:c r="G352" s="296" t="n">
        <x:v>3</x:v>
      </x:c>
      <x:c r="H352" s="296" t="n">
        <x:v>7</x:v>
      </x:c>
      <x:c r="I352" s="296" t="n">
        <x:f>SUM(B352:F352)</x:f>
        <x:v>140</x:v>
      </x:c>
      <x:c r="J352" s="296" t="n">
        <x:f>MOD(B352,2)+MOD(C352,2)+MOD(D352,2)+MOD(E352,2)+MOD(F352,2)</x:f>
        <x:v>2</x:v>
      </x:c>
      <x:c r="K352" s="296" t="n">
        <x:f>COUNTIF(B352:F352,"&gt;31")</x:f>
        <x:v>2</x:v>
      </x:c>
      <x:c r="L352" s="336" t="n">
        <x:f>1/'Executive Summary'!$B$24</x:f>
        <x:v>7.1511238420185165e-9</x:v>
      </x:c>
      <x:c r="M352" s="342" t="n">
        <x:f>2.5</x:f>
        <x:v>2.5</x:v>
      </x:c>
      <x:c r="N352" s="288" t="str">
        <x:v>Conditional coverage wheel</x:v>
      </x:c>
    </x:row>
    <x:row r="353">
      <x:c r="A353" s="295" t="n">
        <x:v>349</x:v>
      </x:c>
      <x:c r="B353" s="296" t="n">
        <x:v>4</x:v>
      </x:c>
      <x:c r="C353" s="296" t="n">
        <x:v>25</x:v>
      </x:c>
      <x:c r="D353" s="296" t="n">
        <x:v>28</x:v>
      </x:c>
      <x:c r="E353" s="296" t="n">
        <x:v>35</x:v>
      </x:c>
      <x:c r="F353" s="296" t="n">
        <x:v>48</x:v>
      </x:c>
      <x:c r="G353" s="296" t="n">
        <x:v>3</x:v>
      </x:c>
      <x:c r="H353" s="296" t="n">
        <x:v>8</x:v>
      </x:c>
      <x:c r="I353" s="296" t="n">
        <x:f>SUM(B353:F353)</x:f>
        <x:v>140</x:v>
      </x:c>
      <x:c r="J353" s="296" t="n">
        <x:f>MOD(B353,2)+MOD(C353,2)+MOD(D353,2)+MOD(E353,2)+MOD(F353,2)</x:f>
        <x:v>2</x:v>
      </x:c>
      <x:c r="K353" s="296" t="n">
        <x:f>COUNTIF(B353:F353,"&gt;31")</x:f>
        <x:v>2</x:v>
      </x:c>
      <x:c r="L353" s="336" t="n">
        <x:f>1/'Executive Summary'!$B$24</x:f>
        <x:v>7.1511238420185165e-9</x:v>
      </x:c>
      <x:c r="M353" s="342" t="n">
        <x:f>2.5</x:f>
        <x:v>2.5</x:v>
      </x:c>
      <x:c r="N353" s="288" t="str">
        <x:v>Conditional coverage wheel</x:v>
      </x:c>
    </x:row>
    <x:row r="354">
      <x:c r="A354" s="295" t="n">
        <x:v>350</x:v>
      </x:c>
      <x:c r="B354" s="296" t="n">
        <x:v>4</x:v>
      </x:c>
      <x:c r="C354" s="296" t="n">
        <x:v>25</x:v>
      </x:c>
      <x:c r="D354" s="296" t="n">
        <x:v>28</x:v>
      </x:c>
      <x:c r="E354" s="296" t="n">
        <x:v>35</x:v>
      </x:c>
      <x:c r="F354" s="296" t="n">
        <x:v>48</x:v>
      </x:c>
      <x:c r="G354" s="296" t="n">
        <x:v>3</x:v>
      </x:c>
      <x:c r="H354" s="296" t="n">
        <x:v>9</x:v>
      </x:c>
      <x:c r="I354" s="296" t="n">
        <x:f>SUM(B354:F354)</x:f>
        <x:v>140</x:v>
      </x:c>
      <x:c r="J354" s="296" t="n">
        <x:f>MOD(B354,2)+MOD(C354,2)+MOD(D354,2)+MOD(E354,2)+MOD(F354,2)</x:f>
        <x:v>2</x:v>
      </x:c>
      <x:c r="K354" s="296" t="n">
        <x:f>COUNTIF(B354:F354,"&gt;31")</x:f>
        <x:v>2</x:v>
      </x:c>
      <x:c r="L354" s="336" t="n">
        <x:f>1/'Executive Summary'!$B$24</x:f>
        <x:v>7.1511238420185165e-9</x:v>
      </x:c>
      <x:c r="M354" s="342" t="n">
        <x:f>2.5</x:f>
        <x:v>2.5</x:v>
      </x:c>
      <x:c r="N354" s="288" t="str">
        <x:v>Conditional coverage wheel</x:v>
      </x:c>
    </x:row>
    <x:row r="355">
      <x:c r="A355" s="295" t="n">
        <x:v>351</x:v>
      </x:c>
      <x:c r="B355" s="296" t="n">
        <x:v>4</x:v>
      </x:c>
      <x:c r="C355" s="296" t="n">
        <x:v>25</x:v>
      </x:c>
      <x:c r="D355" s="296" t="n">
        <x:v>28</x:v>
      </x:c>
      <x:c r="E355" s="296" t="n">
        <x:v>35</x:v>
      </x:c>
      <x:c r="F355" s="296" t="n">
        <x:v>48</x:v>
      </x:c>
      <x:c r="G355" s="296" t="n">
        <x:v>4</x:v>
      </x:c>
      <x:c r="H355" s="296" t="n">
        <x:v>5</x:v>
      </x:c>
      <x:c r="I355" s="296" t="n">
        <x:f>SUM(B355:F355)</x:f>
        <x:v>140</x:v>
      </x:c>
      <x:c r="J355" s="296" t="n">
        <x:f>MOD(B355,2)+MOD(C355,2)+MOD(D355,2)+MOD(E355,2)+MOD(F355,2)</x:f>
        <x:v>2</x:v>
      </x:c>
      <x:c r="K355" s="296" t="n">
        <x:f>COUNTIF(B355:F355,"&gt;31")</x:f>
        <x:v>2</x:v>
      </x:c>
      <x:c r="L355" s="336" t="n">
        <x:f>1/'Executive Summary'!$B$24</x:f>
        <x:v>7.1511238420185165e-9</x:v>
      </x:c>
      <x:c r="M355" s="342" t="n">
        <x:f>2.5</x:f>
        <x:v>2.5</x:v>
      </x:c>
      <x:c r="N355" s="288" t="str">
        <x:v>Conditional coverage wheel</x:v>
      </x:c>
    </x:row>
    <x:row r="356">
      <x:c r="A356" s="295" t="n">
        <x:v>352</x:v>
      </x:c>
      <x:c r="B356" s="296" t="n">
        <x:v>4</x:v>
      </x:c>
      <x:c r="C356" s="296" t="n">
        <x:v>25</x:v>
      </x:c>
      <x:c r="D356" s="296" t="n">
        <x:v>28</x:v>
      </x:c>
      <x:c r="E356" s="296" t="n">
        <x:v>35</x:v>
      </x:c>
      <x:c r="F356" s="296" t="n">
        <x:v>48</x:v>
      </x:c>
      <x:c r="G356" s="296" t="n">
        <x:v>4</x:v>
      </x:c>
      <x:c r="H356" s="296" t="n">
        <x:v>7</x:v>
      </x:c>
      <x:c r="I356" s="296" t="n">
        <x:f>SUM(B356:F356)</x:f>
        <x:v>140</x:v>
      </x:c>
      <x:c r="J356" s="296" t="n">
        <x:f>MOD(B356,2)+MOD(C356,2)+MOD(D356,2)+MOD(E356,2)+MOD(F356,2)</x:f>
        <x:v>2</x:v>
      </x:c>
      <x:c r="K356" s="296" t="n">
        <x:f>COUNTIF(B356:F356,"&gt;31")</x:f>
        <x:v>2</x:v>
      </x:c>
      <x:c r="L356" s="336" t="n">
        <x:f>1/'Executive Summary'!$B$24</x:f>
        <x:v>7.1511238420185165e-9</x:v>
      </x:c>
      <x:c r="M356" s="342" t="n">
        <x:f>2.5</x:f>
        <x:v>2.5</x:v>
      </x:c>
      <x:c r="N356" s="288" t="str">
        <x:v>Conditional coverage wheel</x:v>
      </x:c>
    </x:row>
    <x:row r="357">
      <x:c r="A357" s="295" t="n">
        <x:v>353</x:v>
      </x:c>
      <x:c r="B357" s="296" t="n">
        <x:v>4</x:v>
      </x:c>
      <x:c r="C357" s="296" t="n">
        <x:v>25</x:v>
      </x:c>
      <x:c r="D357" s="296" t="n">
        <x:v>28</x:v>
      </x:c>
      <x:c r="E357" s="296" t="n">
        <x:v>35</x:v>
      </x:c>
      <x:c r="F357" s="296" t="n">
        <x:v>48</x:v>
      </x:c>
      <x:c r="G357" s="296" t="n">
        <x:v>4</x:v>
      </x:c>
      <x:c r="H357" s="296" t="n">
        <x:v>8</x:v>
      </x:c>
      <x:c r="I357" s="296" t="n">
        <x:f>SUM(B357:F357)</x:f>
        <x:v>140</x:v>
      </x:c>
      <x:c r="J357" s="296" t="n">
        <x:f>MOD(B357,2)+MOD(C357,2)+MOD(D357,2)+MOD(E357,2)+MOD(F357,2)</x:f>
        <x:v>2</x:v>
      </x:c>
      <x:c r="K357" s="296" t="n">
        <x:f>COUNTIF(B357:F357,"&gt;31")</x:f>
        <x:v>2</x:v>
      </x:c>
      <x:c r="L357" s="336" t="n">
        <x:f>1/'Executive Summary'!$B$24</x:f>
        <x:v>7.1511238420185165e-9</x:v>
      </x:c>
      <x:c r="M357" s="342" t="n">
        <x:f>2.5</x:f>
        <x:v>2.5</x:v>
      </x:c>
      <x:c r="N357" s="288" t="str">
        <x:v>Conditional coverage wheel</x:v>
      </x:c>
    </x:row>
    <x:row r="358">
      <x:c r="A358" s="295" t="n">
        <x:v>354</x:v>
      </x:c>
      <x:c r="B358" s="296" t="n">
        <x:v>4</x:v>
      </x:c>
      <x:c r="C358" s="296" t="n">
        <x:v>25</x:v>
      </x:c>
      <x:c r="D358" s="296" t="n">
        <x:v>28</x:v>
      </x:c>
      <x:c r="E358" s="296" t="n">
        <x:v>35</x:v>
      </x:c>
      <x:c r="F358" s="296" t="n">
        <x:v>48</x:v>
      </x:c>
      <x:c r="G358" s="296" t="n">
        <x:v>4</x:v>
      </x:c>
      <x:c r="H358" s="296" t="n">
        <x:v>9</x:v>
      </x:c>
      <x:c r="I358" s="296" t="n">
        <x:f>SUM(B358:F358)</x:f>
        <x:v>140</x:v>
      </x:c>
      <x:c r="J358" s="296" t="n">
        <x:f>MOD(B358,2)+MOD(C358,2)+MOD(D358,2)+MOD(E358,2)+MOD(F358,2)</x:f>
        <x:v>2</x:v>
      </x:c>
      <x:c r="K358" s="296" t="n">
        <x:f>COUNTIF(B358:F358,"&gt;31")</x:f>
        <x:v>2</x:v>
      </x:c>
      <x:c r="L358" s="336" t="n">
        <x:f>1/'Executive Summary'!$B$24</x:f>
        <x:v>7.1511238420185165e-9</x:v>
      </x:c>
      <x:c r="M358" s="342" t="n">
        <x:f>2.5</x:f>
        <x:v>2.5</x:v>
      </x:c>
      <x:c r="N358" s="288" t="str">
        <x:v>Conditional coverage wheel</x:v>
      </x:c>
    </x:row>
    <x:row r="359">
      <x:c r="A359" s="295" t="n">
        <x:v>355</x:v>
      </x:c>
      <x:c r="B359" s="296" t="n">
        <x:v>4</x:v>
      </x:c>
      <x:c r="C359" s="296" t="n">
        <x:v>25</x:v>
      </x:c>
      <x:c r="D359" s="296" t="n">
        <x:v>28</x:v>
      </x:c>
      <x:c r="E359" s="296" t="n">
        <x:v>35</x:v>
      </x:c>
      <x:c r="F359" s="296" t="n">
        <x:v>48</x:v>
      </x:c>
      <x:c r="G359" s="296" t="n">
        <x:v>5</x:v>
      </x:c>
      <x:c r="H359" s="296" t="n">
        <x:v>7</x:v>
      </x:c>
      <x:c r="I359" s="296" t="n">
        <x:f>SUM(B359:F359)</x:f>
        <x:v>140</x:v>
      </x:c>
      <x:c r="J359" s="296" t="n">
        <x:f>MOD(B359,2)+MOD(C359,2)+MOD(D359,2)+MOD(E359,2)+MOD(F359,2)</x:f>
        <x:v>2</x:v>
      </x:c>
      <x:c r="K359" s="296" t="n">
        <x:f>COUNTIF(B359:F359,"&gt;31")</x:f>
        <x:v>2</x:v>
      </x:c>
      <x:c r="L359" s="336" t="n">
        <x:f>1/'Executive Summary'!$B$24</x:f>
        <x:v>7.1511238420185165e-9</x:v>
      </x:c>
      <x:c r="M359" s="342" t="n">
        <x:f>2.5</x:f>
        <x:v>2.5</x:v>
      </x:c>
      <x:c r="N359" s="288" t="str">
        <x:v>Conditional coverage wheel</x:v>
      </x:c>
    </x:row>
    <x:row r="360">
      <x:c r="A360" s="295" t="n">
        <x:v>356</x:v>
      </x:c>
      <x:c r="B360" s="296" t="n">
        <x:v>4</x:v>
      </x:c>
      <x:c r="C360" s="296" t="n">
        <x:v>25</x:v>
      </x:c>
      <x:c r="D360" s="296" t="n">
        <x:v>28</x:v>
      </x:c>
      <x:c r="E360" s="296" t="n">
        <x:v>35</x:v>
      </x:c>
      <x:c r="F360" s="296" t="n">
        <x:v>48</x:v>
      </x:c>
      <x:c r="G360" s="296" t="n">
        <x:v>5</x:v>
      </x:c>
      <x:c r="H360" s="296" t="n">
        <x:v>8</x:v>
      </x:c>
      <x:c r="I360" s="296" t="n">
        <x:f>SUM(B360:F360)</x:f>
        <x:v>140</x:v>
      </x:c>
      <x:c r="J360" s="296" t="n">
        <x:f>MOD(B360,2)+MOD(C360,2)+MOD(D360,2)+MOD(E360,2)+MOD(F360,2)</x:f>
        <x:v>2</x:v>
      </x:c>
      <x:c r="K360" s="296" t="n">
        <x:f>COUNTIF(B360:F360,"&gt;31")</x:f>
        <x:v>2</x:v>
      </x:c>
      <x:c r="L360" s="336" t="n">
        <x:f>1/'Executive Summary'!$B$24</x:f>
        <x:v>7.1511238420185165e-9</x:v>
      </x:c>
      <x:c r="M360" s="342" t="n">
        <x:f>2.5</x:f>
        <x:v>2.5</x:v>
      </x:c>
      <x:c r="N360" s="288" t="str">
        <x:v>Conditional coverage wheel</x:v>
      </x:c>
    </x:row>
    <x:row r="361">
      <x:c r="A361" s="295" t="n">
        <x:v>357</x:v>
      </x:c>
      <x:c r="B361" s="296" t="n">
        <x:v>4</x:v>
      </x:c>
      <x:c r="C361" s="296" t="n">
        <x:v>25</x:v>
      </x:c>
      <x:c r="D361" s="296" t="n">
        <x:v>28</x:v>
      </x:c>
      <x:c r="E361" s="296" t="n">
        <x:v>35</x:v>
      </x:c>
      <x:c r="F361" s="296" t="n">
        <x:v>48</x:v>
      </x:c>
      <x:c r="G361" s="296" t="n">
        <x:v>5</x:v>
      </x:c>
      <x:c r="H361" s="296" t="n">
        <x:v>9</x:v>
      </x:c>
      <x:c r="I361" s="296" t="n">
        <x:f>SUM(B361:F361)</x:f>
        <x:v>140</x:v>
      </x:c>
      <x:c r="J361" s="296" t="n">
        <x:f>MOD(B361,2)+MOD(C361,2)+MOD(D361,2)+MOD(E361,2)+MOD(F361,2)</x:f>
        <x:v>2</x:v>
      </x:c>
      <x:c r="K361" s="296" t="n">
        <x:f>COUNTIF(B361:F361,"&gt;31")</x:f>
        <x:v>2</x:v>
      </x:c>
      <x:c r="L361" s="336" t="n">
        <x:f>1/'Executive Summary'!$B$24</x:f>
        <x:v>7.1511238420185165e-9</x:v>
      </x:c>
      <x:c r="M361" s="342" t="n">
        <x:f>2.5</x:f>
        <x:v>2.5</x:v>
      </x:c>
      <x:c r="N361" s="288" t="str">
        <x:v>Conditional coverage wheel</x:v>
      </x:c>
    </x:row>
    <x:row r="362">
      <x:c r="A362" s="295" t="n">
        <x:v>358</x:v>
      </x:c>
      <x:c r="B362" s="296" t="n">
        <x:v>4</x:v>
      </x:c>
      <x:c r="C362" s="296" t="n">
        <x:v>25</x:v>
      </x:c>
      <x:c r="D362" s="296" t="n">
        <x:v>28</x:v>
      </x:c>
      <x:c r="E362" s="296" t="n">
        <x:v>35</x:v>
      </x:c>
      <x:c r="F362" s="296" t="n">
        <x:v>48</x:v>
      </x:c>
      <x:c r="G362" s="296" t="n">
        <x:v>7</x:v>
      </x:c>
      <x:c r="H362" s="296" t="n">
        <x:v>8</x:v>
      </x:c>
      <x:c r="I362" s="296" t="n">
        <x:f>SUM(B362:F362)</x:f>
        <x:v>140</x:v>
      </x:c>
      <x:c r="J362" s="296" t="n">
        <x:f>MOD(B362,2)+MOD(C362,2)+MOD(D362,2)+MOD(E362,2)+MOD(F362,2)</x:f>
        <x:v>2</x:v>
      </x:c>
      <x:c r="K362" s="296" t="n">
        <x:f>COUNTIF(B362:F362,"&gt;31")</x:f>
        <x:v>2</x:v>
      </x:c>
      <x:c r="L362" s="336" t="n">
        <x:f>1/'Executive Summary'!$B$24</x:f>
        <x:v>7.1511238420185165e-9</x:v>
      </x:c>
      <x:c r="M362" s="342" t="n">
        <x:f>2.5</x:f>
        <x:v>2.5</x:v>
      </x:c>
      <x:c r="N362" s="288" t="str">
        <x:v>Conditional coverage wheel</x:v>
      </x:c>
    </x:row>
    <x:row r="363">
      <x:c r="A363" s="295" t="n">
        <x:v>359</x:v>
      </x:c>
      <x:c r="B363" s="296" t="n">
        <x:v>4</x:v>
      </x:c>
      <x:c r="C363" s="296" t="n">
        <x:v>25</x:v>
      </x:c>
      <x:c r="D363" s="296" t="n">
        <x:v>28</x:v>
      </x:c>
      <x:c r="E363" s="296" t="n">
        <x:v>35</x:v>
      </x:c>
      <x:c r="F363" s="296" t="n">
        <x:v>48</x:v>
      </x:c>
      <x:c r="G363" s="296" t="n">
        <x:v>7</x:v>
      </x:c>
      <x:c r="H363" s="296" t="n">
        <x:v>9</x:v>
      </x:c>
      <x:c r="I363" s="296" t="n">
        <x:f>SUM(B363:F363)</x:f>
        <x:v>140</x:v>
      </x:c>
      <x:c r="J363" s="296" t="n">
        <x:f>MOD(B363,2)+MOD(C363,2)+MOD(D363,2)+MOD(E363,2)+MOD(F363,2)</x:f>
        <x:v>2</x:v>
      </x:c>
      <x:c r="K363" s="296" t="n">
        <x:f>COUNTIF(B363:F363,"&gt;31")</x:f>
        <x:v>2</x:v>
      </x:c>
      <x:c r="L363" s="336" t="n">
        <x:f>1/'Executive Summary'!$B$24</x:f>
        <x:v>7.1511238420185165e-9</x:v>
      </x:c>
      <x:c r="M363" s="342" t="n">
        <x:f>2.5</x:f>
        <x:v>2.5</x:v>
      </x:c>
      <x:c r="N363" s="288" t="str">
        <x:v>Conditional coverage wheel</x:v>
      </x:c>
    </x:row>
    <x:row r="364">
      <x:c r="A364" s="295" t="n">
        <x:v>360</x:v>
      </x:c>
      <x:c r="B364" s="296" t="n">
        <x:v>4</x:v>
      </x:c>
      <x:c r="C364" s="296" t="n">
        <x:v>25</x:v>
      </x:c>
      <x:c r="D364" s="296" t="n">
        <x:v>28</x:v>
      </x:c>
      <x:c r="E364" s="296" t="n">
        <x:v>35</x:v>
      </x:c>
      <x:c r="F364" s="296" t="n">
        <x:v>48</x:v>
      </x:c>
      <x:c r="G364" s="296" t="n">
        <x:v>8</x:v>
      </x:c>
      <x:c r="H364" s="296" t="n">
        <x:v>9</x:v>
      </x:c>
      <x:c r="I364" s="296" t="n">
        <x:f>SUM(B364:F364)</x:f>
        <x:v>140</x:v>
      </x:c>
      <x:c r="J364" s="296" t="n">
        <x:f>MOD(B364,2)+MOD(C364,2)+MOD(D364,2)+MOD(E364,2)+MOD(F364,2)</x:f>
        <x:v>2</x:v>
      </x:c>
      <x:c r="K364" s="296" t="n">
        <x:f>COUNTIF(B364:F364,"&gt;31")</x:f>
        <x:v>2</x:v>
      </x:c>
      <x:c r="L364" s="336" t="n">
        <x:f>1/'Executive Summary'!$B$24</x:f>
        <x:v>7.1511238420185165e-9</x:v>
      </x:c>
      <x:c r="M364" s="342" t="n">
        <x:f>2.5</x:f>
        <x:v>2.5</x:v>
      </x:c>
      <x:c r="N364" s="288" t="str">
        <x:v>Conditional coverage wheel</x:v>
      </x:c>
    </x:row>
    <x:row r="365">
      <x:c r="A365" s="295" t="n">
        <x:v>361</x:v>
      </x:c>
      <x:c r="B365" s="296" t="n">
        <x:v>21</x:v>
      </x:c>
      <x:c r="C365" s="296" t="n">
        <x:v>27</x:v>
      </x:c>
      <x:c r="D365" s="296" t="n">
        <x:v>28</x:v>
      </x:c>
      <x:c r="E365" s="296" t="n">
        <x:v>37</x:v>
      </x:c>
      <x:c r="F365" s="296" t="n">
        <x:v>44</x:v>
      </x:c>
      <x:c r="G365" s="296" t="n">
        <x:v>3</x:v>
      </x:c>
      <x:c r="H365" s="296" t="n">
        <x:v>4</x:v>
      </x:c>
      <x:c r="I365" s="296" t="n">
        <x:f>SUM(B365:F365)</x:f>
        <x:v>157</x:v>
      </x:c>
      <x:c r="J365" s="296" t="n">
        <x:f>MOD(B365,2)+MOD(C365,2)+MOD(D365,2)+MOD(E365,2)+MOD(F365,2)</x:f>
        <x:v>3</x:v>
      </x:c>
      <x:c r="K365" s="296" t="n">
        <x:f>COUNTIF(B365:F365,"&gt;31")</x:f>
        <x:v>2</x:v>
      </x:c>
      <x:c r="L365" s="336" t="n">
        <x:f>1/'Executive Summary'!$B$24</x:f>
        <x:v>7.1511238420185165e-9</x:v>
      </x:c>
      <x:c r="M365" s="342" t="n">
        <x:f>2.5</x:f>
        <x:v>2.5</x:v>
      </x:c>
      <x:c r="N365" s="288" t="str">
        <x:v>Conditional coverage wheel</x:v>
      </x:c>
    </x:row>
    <x:row r="366">
      <x:c r="A366" s="295" t="n">
        <x:v>362</x:v>
      </x:c>
      <x:c r="B366" s="296" t="n">
        <x:v>21</x:v>
      </x:c>
      <x:c r="C366" s="296" t="n">
        <x:v>27</x:v>
      </x:c>
      <x:c r="D366" s="296" t="n">
        <x:v>28</x:v>
      </x:c>
      <x:c r="E366" s="296" t="n">
        <x:v>37</x:v>
      </x:c>
      <x:c r="F366" s="296" t="n">
        <x:v>44</x:v>
      </x:c>
      <x:c r="G366" s="296" t="n">
        <x:v>3</x:v>
      </x:c>
      <x:c r="H366" s="296" t="n">
        <x:v>5</x:v>
      </x:c>
      <x:c r="I366" s="296" t="n">
        <x:f>SUM(B366:F366)</x:f>
        <x:v>157</x:v>
      </x:c>
      <x:c r="J366" s="296" t="n">
        <x:f>MOD(B366,2)+MOD(C366,2)+MOD(D366,2)+MOD(E366,2)+MOD(F366,2)</x:f>
        <x:v>3</x:v>
      </x:c>
      <x:c r="K366" s="296" t="n">
        <x:f>COUNTIF(B366:F366,"&gt;31")</x:f>
        <x:v>2</x:v>
      </x:c>
      <x:c r="L366" s="336" t="n">
        <x:f>1/'Executive Summary'!$B$24</x:f>
        <x:v>7.1511238420185165e-9</x:v>
      </x:c>
      <x:c r="M366" s="342" t="n">
        <x:f>2.5</x:f>
        <x:v>2.5</x:v>
      </x:c>
      <x:c r="N366" s="288" t="str">
        <x:v>Conditional coverage wheel</x:v>
      </x:c>
    </x:row>
    <x:row r="367">
      <x:c r="A367" s="295" t="n">
        <x:v>363</x:v>
      </x:c>
      <x:c r="B367" s="296" t="n">
        <x:v>21</x:v>
      </x:c>
      <x:c r="C367" s="296" t="n">
        <x:v>27</x:v>
      </x:c>
      <x:c r="D367" s="296" t="n">
        <x:v>28</x:v>
      </x:c>
      <x:c r="E367" s="296" t="n">
        <x:v>37</x:v>
      </x:c>
      <x:c r="F367" s="296" t="n">
        <x:v>44</x:v>
      </x:c>
      <x:c r="G367" s="296" t="n">
        <x:v>3</x:v>
      </x:c>
      <x:c r="H367" s="296" t="n">
        <x:v>7</x:v>
      </x:c>
      <x:c r="I367" s="296" t="n">
        <x:f>SUM(B367:F367)</x:f>
        <x:v>157</x:v>
      </x:c>
      <x:c r="J367" s="296" t="n">
        <x:f>MOD(B367,2)+MOD(C367,2)+MOD(D367,2)+MOD(E367,2)+MOD(F367,2)</x:f>
        <x:v>3</x:v>
      </x:c>
      <x:c r="K367" s="296" t="n">
        <x:f>COUNTIF(B367:F367,"&gt;31")</x:f>
        <x:v>2</x:v>
      </x:c>
      <x:c r="L367" s="336" t="n">
        <x:f>1/'Executive Summary'!$B$24</x:f>
        <x:v>7.1511238420185165e-9</x:v>
      </x:c>
      <x:c r="M367" s="342" t="n">
        <x:f>2.5</x:f>
        <x:v>2.5</x:v>
      </x:c>
      <x:c r="N367" s="288" t="str">
        <x:v>Conditional coverage wheel</x:v>
      </x:c>
    </x:row>
    <x:row r="368">
      <x:c r="A368" s="295" t="n">
        <x:v>364</x:v>
      </x:c>
      <x:c r="B368" s="296" t="n">
        <x:v>21</x:v>
      </x:c>
      <x:c r="C368" s="296" t="n">
        <x:v>27</x:v>
      </x:c>
      <x:c r="D368" s="296" t="n">
        <x:v>28</x:v>
      </x:c>
      <x:c r="E368" s="296" t="n">
        <x:v>37</x:v>
      </x:c>
      <x:c r="F368" s="296" t="n">
        <x:v>44</x:v>
      </x:c>
      <x:c r="G368" s="296" t="n">
        <x:v>3</x:v>
      </x:c>
      <x:c r="H368" s="296" t="n">
        <x:v>8</x:v>
      </x:c>
      <x:c r="I368" s="296" t="n">
        <x:f>SUM(B368:F368)</x:f>
        <x:v>157</x:v>
      </x:c>
      <x:c r="J368" s="296" t="n">
        <x:f>MOD(B368,2)+MOD(C368,2)+MOD(D368,2)+MOD(E368,2)+MOD(F368,2)</x:f>
        <x:v>3</x:v>
      </x:c>
      <x:c r="K368" s="296" t="n">
        <x:f>COUNTIF(B368:F368,"&gt;31")</x:f>
        <x:v>2</x:v>
      </x:c>
      <x:c r="L368" s="336" t="n">
        <x:f>1/'Executive Summary'!$B$24</x:f>
        <x:v>7.1511238420185165e-9</x:v>
      </x:c>
      <x:c r="M368" s="342" t="n">
        <x:f>2.5</x:f>
        <x:v>2.5</x:v>
      </x:c>
      <x:c r="N368" s="288" t="str">
        <x:v>Conditional coverage wheel</x:v>
      </x:c>
    </x:row>
    <x:row r="369">
      <x:c r="A369" s="295" t="n">
        <x:v>365</x:v>
      </x:c>
      <x:c r="B369" s="296" t="n">
        <x:v>21</x:v>
      </x:c>
      <x:c r="C369" s="296" t="n">
        <x:v>27</x:v>
      </x:c>
      <x:c r="D369" s="296" t="n">
        <x:v>28</x:v>
      </x:c>
      <x:c r="E369" s="296" t="n">
        <x:v>37</x:v>
      </x:c>
      <x:c r="F369" s="296" t="n">
        <x:v>44</x:v>
      </x:c>
      <x:c r="G369" s="296" t="n">
        <x:v>3</x:v>
      </x:c>
      <x:c r="H369" s="296" t="n">
        <x:v>9</x:v>
      </x:c>
      <x:c r="I369" s="296" t="n">
        <x:f>SUM(B369:F369)</x:f>
        <x:v>157</x:v>
      </x:c>
      <x:c r="J369" s="296" t="n">
        <x:f>MOD(B369,2)+MOD(C369,2)+MOD(D369,2)+MOD(E369,2)+MOD(F369,2)</x:f>
        <x:v>3</x:v>
      </x:c>
      <x:c r="K369" s="296" t="n">
        <x:f>COUNTIF(B369:F369,"&gt;31")</x:f>
        <x:v>2</x:v>
      </x:c>
      <x:c r="L369" s="336" t="n">
        <x:f>1/'Executive Summary'!$B$24</x:f>
        <x:v>7.1511238420185165e-9</x:v>
      </x:c>
      <x:c r="M369" s="342" t="n">
        <x:f>2.5</x:f>
        <x:v>2.5</x:v>
      </x:c>
      <x:c r="N369" s="288" t="str">
        <x:v>Conditional coverage wheel</x:v>
      </x:c>
    </x:row>
    <x:row r="370">
      <x:c r="A370" s="295" t="n">
        <x:v>366</x:v>
      </x:c>
      <x:c r="B370" s="296" t="n">
        <x:v>21</x:v>
      </x:c>
      <x:c r="C370" s="296" t="n">
        <x:v>27</x:v>
      </x:c>
      <x:c r="D370" s="296" t="n">
        <x:v>28</x:v>
      </x:c>
      <x:c r="E370" s="296" t="n">
        <x:v>37</x:v>
      </x:c>
      <x:c r="F370" s="296" t="n">
        <x:v>44</x:v>
      </x:c>
      <x:c r="G370" s="296" t="n">
        <x:v>4</x:v>
      </x:c>
      <x:c r="H370" s="296" t="n">
        <x:v>5</x:v>
      </x:c>
      <x:c r="I370" s="296" t="n">
        <x:f>SUM(B370:F370)</x:f>
        <x:v>157</x:v>
      </x:c>
      <x:c r="J370" s="296" t="n">
        <x:f>MOD(B370,2)+MOD(C370,2)+MOD(D370,2)+MOD(E370,2)+MOD(F370,2)</x:f>
        <x:v>3</x:v>
      </x:c>
      <x:c r="K370" s="296" t="n">
        <x:f>COUNTIF(B370:F370,"&gt;31")</x:f>
        <x:v>2</x:v>
      </x:c>
      <x:c r="L370" s="336" t="n">
        <x:f>1/'Executive Summary'!$B$24</x:f>
        <x:v>7.1511238420185165e-9</x:v>
      </x:c>
      <x:c r="M370" s="342" t="n">
        <x:f>2.5</x:f>
        <x:v>2.5</x:v>
      </x:c>
      <x:c r="N370" s="288" t="str">
        <x:v>Conditional coverage wheel</x:v>
      </x:c>
    </x:row>
    <x:row r="371">
      <x:c r="A371" s="295" t="n">
        <x:v>367</x:v>
      </x:c>
      <x:c r="B371" s="296" t="n">
        <x:v>21</x:v>
      </x:c>
      <x:c r="C371" s="296" t="n">
        <x:v>27</x:v>
      </x:c>
      <x:c r="D371" s="296" t="n">
        <x:v>28</x:v>
      </x:c>
      <x:c r="E371" s="296" t="n">
        <x:v>37</x:v>
      </x:c>
      <x:c r="F371" s="296" t="n">
        <x:v>44</x:v>
      </x:c>
      <x:c r="G371" s="296" t="n">
        <x:v>4</x:v>
      </x:c>
      <x:c r="H371" s="296" t="n">
        <x:v>7</x:v>
      </x:c>
      <x:c r="I371" s="296" t="n">
        <x:f>SUM(B371:F371)</x:f>
        <x:v>157</x:v>
      </x:c>
      <x:c r="J371" s="296" t="n">
        <x:f>MOD(B371,2)+MOD(C371,2)+MOD(D371,2)+MOD(E371,2)+MOD(F371,2)</x:f>
        <x:v>3</x:v>
      </x:c>
      <x:c r="K371" s="296" t="n">
        <x:f>COUNTIF(B371:F371,"&gt;31")</x:f>
        <x:v>2</x:v>
      </x:c>
      <x:c r="L371" s="336" t="n">
        <x:f>1/'Executive Summary'!$B$24</x:f>
        <x:v>7.1511238420185165e-9</x:v>
      </x:c>
      <x:c r="M371" s="342" t="n">
        <x:f>2.5</x:f>
        <x:v>2.5</x:v>
      </x:c>
      <x:c r="N371" s="288" t="str">
        <x:v>Conditional coverage wheel</x:v>
      </x:c>
    </x:row>
    <x:row r="372">
      <x:c r="A372" s="295" t="n">
        <x:v>368</x:v>
      </x:c>
      <x:c r="B372" s="296" t="n">
        <x:v>21</x:v>
      </x:c>
      <x:c r="C372" s="296" t="n">
        <x:v>27</x:v>
      </x:c>
      <x:c r="D372" s="296" t="n">
        <x:v>28</x:v>
      </x:c>
      <x:c r="E372" s="296" t="n">
        <x:v>37</x:v>
      </x:c>
      <x:c r="F372" s="296" t="n">
        <x:v>44</x:v>
      </x:c>
      <x:c r="G372" s="296" t="n">
        <x:v>4</x:v>
      </x:c>
      <x:c r="H372" s="296" t="n">
        <x:v>8</x:v>
      </x:c>
      <x:c r="I372" s="296" t="n">
        <x:f>SUM(B372:F372)</x:f>
        <x:v>157</x:v>
      </x:c>
      <x:c r="J372" s="296" t="n">
        <x:f>MOD(B372,2)+MOD(C372,2)+MOD(D372,2)+MOD(E372,2)+MOD(F372,2)</x:f>
        <x:v>3</x:v>
      </x:c>
      <x:c r="K372" s="296" t="n">
        <x:f>COUNTIF(B372:F372,"&gt;31")</x:f>
        <x:v>2</x:v>
      </x:c>
      <x:c r="L372" s="336" t="n">
        <x:f>1/'Executive Summary'!$B$24</x:f>
        <x:v>7.1511238420185165e-9</x:v>
      </x:c>
      <x:c r="M372" s="342" t="n">
        <x:f>2.5</x:f>
        <x:v>2.5</x:v>
      </x:c>
      <x:c r="N372" s="288" t="str">
        <x:v>Conditional coverage wheel</x:v>
      </x:c>
    </x:row>
    <x:row r="373">
      <x:c r="A373" s="295" t="n">
        <x:v>369</x:v>
      </x:c>
      <x:c r="B373" s="296" t="n">
        <x:v>21</x:v>
      </x:c>
      <x:c r="C373" s="296" t="n">
        <x:v>27</x:v>
      </x:c>
      <x:c r="D373" s="296" t="n">
        <x:v>28</x:v>
      </x:c>
      <x:c r="E373" s="296" t="n">
        <x:v>37</x:v>
      </x:c>
      <x:c r="F373" s="296" t="n">
        <x:v>44</x:v>
      </x:c>
      <x:c r="G373" s="296" t="n">
        <x:v>4</x:v>
      </x:c>
      <x:c r="H373" s="296" t="n">
        <x:v>9</x:v>
      </x:c>
      <x:c r="I373" s="296" t="n">
        <x:f>SUM(B373:F373)</x:f>
        <x:v>157</x:v>
      </x:c>
      <x:c r="J373" s="296" t="n">
        <x:f>MOD(B373,2)+MOD(C373,2)+MOD(D373,2)+MOD(E373,2)+MOD(F373,2)</x:f>
        <x:v>3</x:v>
      </x:c>
      <x:c r="K373" s="296" t="n">
        <x:f>COUNTIF(B373:F373,"&gt;31")</x:f>
        <x:v>2</x:v>
      </x:c>
      <x:c r="L373" s="336" t="n">
        <x:f>1/'Executive Summary'!$B$24</x:f>
        <x:v>7.1511238420185165e-9</x:v>
      </x:c>
      <x:c r="M373" s="342" t="n">
        <x:f>2.5</x:f>
        <x:v>2.5</x:v>
      </x:c>
      <x:c r="N373" s="288" t="str">
        <x:v>Conditional coverage wheel</x:v>
      </x:c>
    </x:row>
    <x:row r="374">
      <x:c r="A374" s="295" t="n">
        <x:v>370</x:v>
      </x:c>
      <x:c r="B374" s="296" t="n">
        <x:v>21</x:v>
      </x:c>
      <x:c r="C374" s="296" t="n">
        <x:v>27</x:v>
      </x:c>
      <x:c r="D374" s="296" t="n">
        <x:v>28</x:v>
      </x:c>
      <x:c r="E374" s="296" t="n">
        <x:v>37</x:v>
      </x:c>
      <x:c r="F374" s="296" t="n">
        <x:v>44</x:v>
      </x:c>
      <x:c r="G374" s="296" t="n">
        <x:v>5</x:v>
      </x:c>
      <x:c r="H374" s="296" t="n">
        <x:v>7</x:v>
      </x:c>
      <x:c r="I374" s="296" t="n">
        <x:f>SUM(B374:F374)</x:f>
        <x:v>157</x:v>
      </x:c>
      <x:c r="J374" s="296" t="n">
        <x:f>MOD(B374,2)+MOD(C374,2)+MOD(D374,2)+MOD(E374,2)+MOD(F374,2)</x:f>
        <x:v>3</x:v>
      </x:c>
      <x:c r="K374" s="296" t="n">
        <x:f>COUNTIF(B374:F374,"&gt;31")</x:f>
        <x:v>2</x:v>
      </x:c>
      <x:c r="L374" s="336" t="n">
        <x:f>1/'Executive Summary'!$B$24</x:f>
        <x:v>7.1511238420185165e-9</x:v>
      </x:c>
      <x:c r="M374" s="342" t="n">
        <x:f>2.5</x:f>
        <x:v>2.5</x:v>
      </x:c>
      <x:c r="N374" s="288" t="str">
        <x:v>Conditional coverage wheel</x:v>
      </x:c>
    </x:row>
    <x:row r="375">
      <x:c r="A375" s="295" t="n">
        <x:v>371</x:v>
      </x:c>
      <x:c r="B375" s="296" t="n">
        <x:v>21</x:v>
      </x:c>
      <x:c r="C375" s="296" t="n">
        <x:v>27</x:v>
      </x:c>
      <x:c r="D375" s="296" t="n">
        <x:v>28</x:v>
      </x:c>
      <x:c r="E375" s="296" t="n">
        <x:v>37</x:v>
      </x:c>
      <x:c r="F375" s="296" t="n">
        <x:v>44</x:v>
      </x:c>
      <x:c r="G375" s="296" t="n">
        <x:v>5</x:v>
      </x:c>
      <x:c r="H375" s="296" t="n">
        <x:v>8</x:v>
      </x:c>
      <x:c r="I375" s="296" t="n">
        <x:f>SUM(B375:F375)</x:f>
        <x:v>157</x:v>
      </x:c>
      <x:c r="J375" s="296" t="n">
        <x:f>MOD(B375,2)+MOD(C375,2)+MOD(D375,2)+MOD(E375,2)+MOD(F375,2)</x:f>
        <x:v>3</x:v>
      </x:c>
      <x:c r="K375" s="296" t="n">
        <x:f>COUNTIF(B375:F375,"&gt;31")</x:f>
        <x:v>2</x:v>
      </x:c>
      <x:c r="L375" s="336" t="n">
        <x:f>1/'Executive Summary'!$B$24</x:f>
        <x:v>7.1511238420185165e-9</x:v>
      </x:c>
      <x:c r="M375" s="342" t="n">
        <x:f>2.5</x:f>
        <x:v>2.5</x:v>
      </x:c>
      <x:c r="N375" s="288" t="str">
        <x:v>Conditional coverage wheel</x:v>
      </x:c>
    </x:row>
    <x:row r="376">
      <x:c r="A376" s="295" t="n">
        <x:v>372</x:v>
      </x:c>
      <x:c r="B376" s="296" t="n">
        <x:v>21</x:v>
      </x:c>
      <x:c r="C376" s="296" t="n">
        <x:v>27</x:v>
      </x:c>
      <x:c r="D376" s="296" t="n">
        <x:v>28</x:v>
      </x:c>
      <x:c r="E376" s="296" t="n">
        <x:v>37</x:v>
      </x:c>
      <x:c r="F376" s="296" t="n">
        <x:v>44</x:v>
      </x:c>
      <x:c r="G376" s="296" t="n">
        <x:v>5</x:v>
      </x:c>
      <x:c r="H376" s="296" t="n">
        <x:v>9</x:v>
      </x:c>
      <x:c r="I376" s="296" t="n">
        <x:f>SUM(B376:F376)</x:f>
        <x:v>157</x:v>
      </x:c>
      <x:c r="J376" s="296" t="n">
        <x:f>MOD(B376,2)+MOD(C376,2)+MOD(D376,2)+MOD(E376,2)+MOD(F376,2)</x:f>
        <x:v>3</x:v>
      </x:c>
      <x:c r="K376" s="296" t="n">
        <x:f>COUNTIF(B376:F376,"&gt;31")</x:f>
        <x:v>2</x:v>
      </x:c>
      <x:c r="L376" s="336" t="n">
        <x:f>1/'Executive Summary'!$B$24</x:f>
        <x:v>7.1511238420185165e-9</x:v>
      </x:c>
      <x:c r="M376" s="342" t="n">
        <x:f>2.5</x:f>
        <x:v>2.5</x:v>
      </x:c>
      <x:c r="N376" s="288" t="str">
        <x:v>Conditional coverage wheel</x:v>
      </x:c>
    </x:row>
    <x:row r="377">
      <x:c r="A377" s="295" t="n">
        <x:v>373</x:v>
      </x:c>
      <x:c r="B377" s="296" t="n">
        <x:v>21</x:v>
      </x:c>
      <x:c r="C377" s="296" t="n">
        <x:v>27</x:v>
      </x:c>
      <x:c r="D377" s="296" t="n">
        <x:v>28</x:v>
      </x:c>
      <x:c r="E377" s="296" t="n">
        <x:v>37</x:v>
      </x:c>
      <x:c r="F377" s="296" t="n">
        <x:v>44</x:v>
      </x:c>
      <x:c r="G377" s="296" t="n">
        <x:v>7</x:v>
      </x:c>
      <x:c r="H377" s="296" t="n">
        <x:v>8</x:v>
      </x:c>
      <x:c r="I377" s="296" t="n">
        <x:f>SUM(B377:F377)</x:f>
        <x:v>157</x:v>
      </x:c>
      <x:c r="J377" s="296" t="n">
        <x:f>MOD(B377,2)+MOD(C377,2)+MOD(D377,2)+MOD(E377,2)+MOD(F377,2)</x:f>
        <x:v>3</x:v>
      </x:c>
      <x:c r="K377" s="296" t="n">
        <x:f>COUNTIF(B377:F377,"&gt;31")</x:f>
        <x:v>2</x:v>
      </x:c>
      <x:c r="L377" s="336" t="n">
        <x:f>1/'Executive Summary'!$B$24</x:f>
        <x:v>7.1511238420185165e-9</x:v>
      </x:c>
      <x:c r="M377" s="342" t="n">
        <x:f>2.5</x:f>
        <x:v>2.5</x:v>
      </x:c>
      <x:c r="N377" s="288" t="str">
        <x:v>Conditional coverage wheel</x:v>
      </x:c>
    </x:row>
    <x:row r="378">
      <x:c r="A378" s="295" t="n">
        <x:v>374</x:v>
      </x:c>
      <x:c r="B378" s="296" t="n">
        <x:v>21</x:v>
      </x:c>
      <x:c r="C378" s="296" t="n">
        <x:v>27</x:v>
      </x:c>
      <x:c r="D378" s="296" t="n">
        <x:v>28</x:v>
      </x:c>
      <x:c r="E378" s="296" t="n">
        <x:v>37</x:v>
      </x:c>
      <x:c r="F378" s="296" t="n">
        <x:v>44</x:v>
      </x:c>
      <x:c r="G378" s="296" t="n">
        <x:v>7</x:v>
      </x:c>
      <x:c r="H378" s="296" t="n">
        <x:v>9</x:v>
      </x:c>
      <x:c r="I378" s="296" t="n">
        <x:f>SUM(B378:F378)</x:f>
        <x:v>157</x:v>
      </x:c>
      <x:c r="J378" s="296" t="n">
        <x:f>MOD(B378,2)+MOD(C378,2)+MOD(D378,2)+MOD(E378,2)+MOD(F378,2)</x:f>
        <x:v>3</x:v>
      </x:c>
      <x:c r="K378" s="296" t="n">
        <x:f>COUNTIF(B378:F378,"&gt;31")</x:f>
        <x:v>2</x:v>
      </x:c>
      <x:c r="L378" s="336" t="n">
        <x:f>1/'Executive Summary'!$B$24</x:f>
        <x:v>7.1511238420185165e-9</x:v>
      </x:c>
      <x:c r="M378" s="342" t="n">
        <x:f>2.5</x:f>
        <x:v>2.5</x:v>
      </x:c>
      <x:c r="N378" s="288" t="str">
        <x:v>Conditional coverage wheel</x:v>
      </x:c>
    </x:row>
    <x:row r="379">
      <x:c r="A379" s="295" t="n">
        <x:v>375</x:v>
      </x:c>
      <x:c r="B379" s="296" t="n">
        <x:v>21</x:v>
      </x:c>
      <x:c r="C379" s="296" t="n">
        <x:v>27</x:v>
      </x:c>
      <x:c r="D379" s="296" t="n">
        <x:v>28</x:v>
      </x:c>
      <x:c r="E379" s="296" t="n">
        <x:v>37</x:v>
      </x:c>
      <x:c r="F379" s="296" t="n">
        <x:v>44</x:v>
      </x:c>
      <x:c r="G379" s="296" t="n">
        <x:v>8</x:v>
      </x:c>
      <x:c r="H379" s="296" t="n">
        <x:v>9</x:v>
      </x:c>
      <x:c r="I379" s="296" t="n">
        <x:f>SUM(B379:F379)</x:f>
        <x:v>157</x:v>
      </x:c>
      <x:c r="J379" s="296" t="n">
        <x:f>MOD(B379,2)+MOD(C379,2)+MOD(D379,2)+MOD(E379,2)+MOD(F379,2)</x:f>
        <x:v>3</x:v>
      </x:c>
      <x:c r="K379" s="296" t="n">
        <x:f>COUNTIF(B379:F379,"&gt;31")</x:f>
        <x:v>2</x:v>
      </x:c>
      <x:c r="L379" s="336" t="n">
        <x:f>1/'Executive Summary'!$B$24</x:f>
        <x:v>7.1511238420185165e-9</x:v>
      </x:c>
      <x:c r="M379" s="342" t="n">
        <x:f>2.5</x:f>
        <x:v>2.5</x:v>
      </x:c>
      <x:c r="N379" s="288" t="str">
        <x:v>Conditional coverage wheel</x:v>
      </x:c>
    </x:row>
    <x:row r="380">
      <x:c r="A380" s="295" t="n">
        <x:v>376</x:v>
      </x:c>
      <x:c r="B380" s="296" t="n">
        <x:v>25</x:v>
      </x:c>
      <x:c r="C380" s="296" t="n">
        <x:v>35</x:v>
      </x:c>
      <x:c r="D380" s="296" t="n">
        <x:v>36</x:v>
      </x:c>
      <x:c r="E380" s="296" t="n">
        <x:v>37</x:v>
      </x:c>
      <x:c r="F380" s="296" t="n">
        <x:v>50</x:v>
      </x:c>
      <x:c r="G380" s="296" t="n">
        <x:v>3</x:v>
      </x:c>
      <x:c r="H380" s="296" t="n">
        <x:v>4</x:v>
      </x:c>
      <x:c r="I380" s="296" t="n">
        <x:f>SUM(B380:F380)</x:f>
        <x:v>183</x:v>
      </x:c>
      <x:c r="J380" s="296" t="n">
        <x:f>MOD(B380,2)+MOD(C380,2)+MOD(D380,2)+MOD(E380,2)+MOD(F380,2)</x:f>
        <x:v>3</x:v>
      </x:c>
      <x:c r="K380" s="296" t="n">
        <x:f>COUNTIF(B380:F380,"&gt;31")</x:f>
        <x:v>4</x:v>
      </x:c>
      <x:c r="L380" s="336" t="n">
        <x:f>1/'Executive Summary'!$B$24</x:f>
        <x:v>7.1511238420185165e-9</x:v>
      </x:c>
      <x:c r="M380" s="342" t="n">
        <x:f>2.5</x:f>
        <x:v>2.5</x:v>
      </x:c>
      <x:c r="N380" s="288" t="str">
        <x:v>Conditional coverage wheel</x:v>
      </x:c>
    </x:row>
    <x:row r="381">
      <x:c r="A381" s="295" t="n">
        <x:v>377</x:v>
      </x:c>
      <x:c r="B381" s="296" t="n">
        <x:v>25</x:v>
      </x:c>
      <x:c r="C381" s="296" t="n">
        <x:v>35</x:v>
      </x:c>
      <x:c r="D381" s="296" t="n">
        <x:v>36</x:v>
      </x:c>
      <x:c r="E381" s="296" t="n">
        <x:v>37</x:v>
      </x:c>
      <x:c r="F381" s="296" t="n">
        <x:v>50</x:v>
      </x:c>
      <x:c r="G381" s="296" t="n">
        <x:v>3</x:v>
      </x:c>
      <x:c r="H381" s="296" t="n">
        <x:v>5</x:v>
      </x:c>
      <x:c r="I381" s="296" t="n">
        <x:f>SUM(B381:F381)</x:f>
        <x:v>183</x:v>
      </x:c>
      <x:c r="J381" s="296" t="n">
        <x:f>MOD(B381,2)+MOD(C381,2)+MOD(D381,2)+MOD(E381,2)+MOD(F381,2)</x:f>
        <x:v>3</x:v>
      </x:c>
      <x:c r="K381" s="296" t="n">
        <x:f>COUNTIF(B381:F381,"&gt;31")</x:f>
        <x:v>4</x:v>
      </x:c>
      <x:c r="L381" s="336" t="n">
        <x:f>1/'Executive Summary'!$B$24</x:f>
        <x:v>7.1511238420185165e-9</x:v>
      </x:c>
      <x:c r="M381" s="342" t="n">
        <x:f>2.5</x:f>
        <x:v>2.5</x:v>
      </x:c>
      <x:c r="N381" s="288" t="str">
        <x:v>Conditional coverage wheel</x:v>
      </x:c>
    </x:row>
    <x:row r="382">
      <x:c r="A382" s="295" t="n">
        <x:v>378</x:v>
      </x:c>
      <x:c r="B382" s="296" t="n">
        <x:v>25</x:v>
      </x:c>
      <x:c r="C382" s="296" t="n">
        <x:v>35</x:v>
      </x:c>
      <x:c r="D382" s="296" t="n">
        <x:v>36</x:v>
      </x:c>
      <x:c r="E382" s="296" t="n">
        <x:v>37</x:v>
      </x:c>
      <x:c r="F382" s="296" t="n">
        <x:v>50</x:v>
      </x:c>
      <x:c r="G382" s="296" t="n">
        <x:v>3</x:v>
      </x:c>
      <x:c r="H382" s="296" t="n">
        <x:v>7</x:v>
      </x:c>
      <x:c r="I382" s="296" t="n">
        <x:f>SUM(B382:F382)</x:f>
        <x:v>183</x:v>
      </x:c>
      <x:c r="J382" s="296" t="n">
        <x:f>MOD(B382,2)+MOD(C382,2)+MOD(D382,2)+MOD(E382,2)+MOD(F382,2)</x:f>
        <x:v>3</x:v>
      </x:c>
      <x:c r="K382" s="296" t="n">
        <x:f>COUNTIF(B382:F382,"&gt;31")</x:f>
        <x:v>4</x:v>
      </x:c>
      <x:c r="L382" s="336" t="n">
        <x:f>1/'Executive Summary'!$B$24</x:f>
        <x:v>7.1511238420185165e-9</x:v>
      </x:c>
      <x:c r="M382" s="342" t="n">
        <x:f>2.5</x:f>
        <x:v>2.5</x:v>
      </x:c>
      <x:c r="N382" s="288" t="str">
        <x:v>Conditional coverage wheel</x:v>
      </x:c>
    </x:row>
    <x:row r="383">
      <x:c r="A383" s="295" t="n">
        <x:v>379</x:v>
      </x:c>
      <x:c r="B383" s="296" t="n">
        <x:v>25</x:v>
      </x:c>
      <x:c r="C383" s="296" t="n">
        <x:v>35</x:v>
      </x:c>
      <x:c r="D383" s="296" t="n">
        <x:v>36</x:v>
      </x:c>
      <x:c r="E383" s="296" t="n">
        <x:v>37</x:v>
      </x:c>
      <x:c r="F383" s="296" t="n">
        <x:v>50</x:v>
      </x:c>
      <x:c r="G383" s="296" t="n">
        <x:v>3</x:v>
      </x:c>
      <x:c r="H383" s="296" t="n">
        <x:v>8</x:v>
      </x:c>
      <x:c r="I383" s="296" t="n">
        <x:f>SUM(B383:F383)</x:f>
        <x:v>183</x:v>
      </x:c>
      <x:c r="J383" s="296" t="n">
        <x:f>MOD(B383,2)+MOD(C383,2)+MOD(D383,2)+MOD(E383,2)+MOD(F383,2)</x:f>
        <x:v>3</x:v>
      </x:c>
      <x:c r="K383" s="296" t="n">
        <x:f>COUNTIF(B383:F383,"&gt;31")</x:f>
        <x:v>4</x:v>
      </x:c>
      <x:c r="L383" s="336" t="n">
        <x:f>1/'Executive Summary'!$B$24</x:f>
        <x:v>7.1511238420185165e-9</x:v>
      </x:c>
      <x:c r="M383" s="342" t="n">
        <x:f>2.5</x:f>
        <x:v>2.5</x:v>
      </x:c>
      <x:c r="N383" s="288" t="str">
        <x:v>Conditional coverage wheel</x:v>
      </x:c>
    </x:row>
    <x:row r="384">
      <x:c r="A384" s="295" t="n">
        <x:v>380</x:v>
      </x:c>
      <x:c r="B384" s="296" t="n">
        <x:v>25</x:v>
      </x:c>
      <x:c r="C384" s="296" t="n">
        <x:v>35</x:v>
      </x:c>
      <x:c r="D384" s="296" t="n">
        <x:v>36</x:v>
      </x:c>
      <x:c r="E384" s="296" t="n">
        <x:v>37</x:v>
      </x:c>
      <x:c r="F384" s="296" t="n">
        <x:v>50</x:v>
      </x:c>
      <x:c r="G384" s="296" t="n">
        <x:v>3</x:v>
      </x:c>
      <x:c r="H384" s="296" t="n">
        <x:v>9</x:v>
      </x:c>
      <x:c r="I384" s="296" t="n">
        <x:f>SUM(B384:F384)</x:f>
        <x:v>183</x:v>
      </x:c>
      <x:c r="J384" s="296" t="n">
        <x:f>MOD(B384,2)+MOD(C384,2)+MOD(D384,2)+MOD(E384,2)+MOD(F384,2)</x:f>
        <x:v>3</x:v>
      </x:c>
      <x:c r="K384" s="296" t="n">
        <x:f>COUNTIF(B384:F384,"&gt;31")</x:f>
        <x:v>4</x:v>
      </x:c>
      <x:c r="L384" s="336" t="n">
        <x:f>1/'Executive Summary'!$B$24</x:f>
        <x:v>7.1511238420185165e-9</x:v>
      </x:c>
      <x:c r="M384" s="342" t="n">
        <x:f>2.5</x:f>
        <x:v>2.5</x:v>
      </x:c>
      <x:c r="N384" s="288" t="str">
        <x:v>Conditional coverage wheel</x:v>
      </x:c>
    </x:row>
    <x:row r="385">
      <x:c r="A385" s="295" t="n">
        <x:v>381</x:v>
      </x:c>
      <x:c r="B385" s="296" t="n">
        <x:v>25</x:v>
      </x:c>
      <x:c r="C385" s="296" t="n">
        <x:v>35</x:v>
      </x:c>
      <x:c r="D385" s="296" t="n">
        <x:v>36</x:v>
      </x:c>
      <x:c r="E385" s="296" t="n">
        <x:v>37</x:v>
      </x:c>
      <x:c r="F385" s="296" t="n">
        <x:v>50</x:v>
      </x:c>
      <x:c r="G385" s="296" t="n">
        <x:v>4</x:v>
      </x:c>
      <x:c r="H385" s="296" t="n">
        <x:v>5</x:v>
      </x:c>
      <x:c r="I385" s="296" t="n">
        <x:f>SUM(B385:F385)</x:f>
        <x:v>183</x:v>
      </x:c>
      <x:c r="J385" s="296" t="n">
        <x:f>MOD(B385,2)+MOD(C385,2)+MOD(D385,2)+MOD(E385,2)+MOD(F385,2)</x:f>
        <x:v>3</x:v>
      </x:c>
      <x:c r="K385" s="296" t="n">
        <x:f>COUNTIF(B385:F385,"&gt;31")</x:f>
        <x:v>4</x:v>
      </x:c>
      <x:c r="L385" s="336" t="n">
        <x:f>1/'Executive Summary'!$B$24</x:f>
        <x:v>7.1511238420185165e-9</x:v>
      </x:c>
      <x:c r="M385" s="342" t="n">
        <x:f>2.5</x:f>
        <x:v>2.5</x:v>
      </x:c>
      <x:c r="N385" s="288" t="str">
        <x:v>Conditional coverage wheel</x:v>
      </x:c>
    </x:row>
    <x:row r="386">
      <x:c r="A386" s="295" t="n">
        <x:v>382</x:v>
      </x:c>
      <x:c r="B386" s="296" t="n">
        <x:v>25</x:v>
      </x:c>
      <x:c r="C386" s="296" t="n">
        <x:v>35</x:v>
      </x:c>
      <x:c r="D386" s="296" t="n">
        <x:v>36</x:v>
      </x:c>
      <x:c r="E386" s="296" t="n">
        <x:v>37</x:v>
      </x:c>
      <x:c r="F386" s="296" t="n">
        <x:v>50</x:v>
      </x:c>
      <x:c r="G386" s="296" t="n">
        <x:v>4</x:v>
      </x:c>
      <x:c r="H386" s="296" t="n">
        <x:v>7</x:v>
      </x:c>
      <x:c r="I386" s="296" t="n">
        <x:f>SUM(B386:F386)</x:f>
        <x:v>183</x:v>
      </x:c>
      <x:c r="J386" s="296" t="n">
        <x:f>MOD(B386,2)+MOD(C386,2)+MOD(D386,2)+MOD(E386,2)+MOD(F386,2)</x:f>
        <x:v>3</x:v>
      </x:c>
      <x:c r="K386" s="296" t="n">
        <x:f>COUNTIF(B386:F386,"&gt;31")</x:f>
        <x:v>4</x:v>
      </x:c>
      <x:c r="L386" s="336" t="n">
        <x:f>1/'Executive Summary'!$B$24</x:f>
        <x:v>7.1511238420185165e-9</x:v>
      </x:c>
      <x:c r="M386" s="342" t="n">
        <x:f>2.5</x:f>
        <x:v>2.5</x:v>
      </x:c>
      <x:c r="N386" s="288" t="str">
        <x:v>Conditional coverage wheel</x:v>
      </x:c>
    </x:row>
    <x:row r="387">
      <x:c r="A387" s="295" t="n">
        <x:v>383</x:v>
      </x:c>
      <x:c r="B387" s="296" t="n">
        <x:v>25</x:v>
      </x:c>
      <x:c r="C387" s="296" t="n">
        <x:v>35</x:v>
      </x:c>
      <x:c r="D387" s="296" t="n">
        <x:v>36</x:v>
      </x:c>
      <x:c r="E387" s="296" t="n">
        <x:v>37</x:v>
      </x:c>
      <x:c r="F387" s="296" t="n">
        <x:v>50</x:v>
      </x:c>
      <x:c r="G387" s="296" t="n">
        <x:v>4</x:v>
      </x:c>
      <x:c r="H387" s="296" t="n">
        <x:v>8</x:v>
      </x:c>
      <x:c r="I387" s="296" t="n">
        <x:f>SUM(B387:F387)</x:f>
        <x:v>183</x:v>
      </x:c>
      <x:c r="J387" s="296" t="n">
        <x:f>MOD(B387,2)+MOD(C387,2)+MOD(D387,2)+MOD(E387,2)+MOD(F387,2)</x:f>
        <x:v>3</x:v>
      </x:c>
      <x:c r="K387" s="296" t="n">
        <x:f>COUNTIF(B387:F387,"&gt;31")</x:f>
        <x:v>4</x:v>
      </x:c>
      <x:c r="L387" s="336" t="n">
        <x:f>1/'Executive Summary'!$B$24</x:f>
        <x:v>7.1511238420185165e-9</x:v>
      </x:c>
      <x:c r="M387" s="342" t="n">
        <x:f>2.5</x:f>
        <x:v>2.5</x:v>
      </x:c>
      <x:c r="N387" s="288" t="str">
        <x:v>Conditional coverage wheel</x:v>
      </x:c>
    </x:row>
    <x:row r="388">
      <x:c r="A388" s="295" t="n">
        <x:v>384</x:v>
      </x:c>
      <x:c r="B388" s="296" t="n">
        <x:v>25</x:v>
      </x:c>
      <x:c r="C388" s="296" t="n">
        <x:v>35</x:v>
      </x:c>
      <x:c r="D388" s="296" t="n">
        <x:v>36</x:v>
      </x:c>
      <x:c r="E388" s="296" t="n">
        <x:v>37</x:v>
      </x:c>
      <x:c r="F388" s="296" t="n">
        <x:v>50</x:v>
      </x:c>
      <x:c r="G388" s="296" t="n">
        <x:v>4</x:v>
      </x:c>
      <x:c r="H388" s="296" t="n">
        <x:v>9</x:v>
      </x:c>
      <x:c r="I388" s="296" t="n">
        <x:f>SUM(B388:F388)</x:f>
        <x:v>183</x:v>
      </x:c>
      <x:c r="J388" s="296" t="n">
        <x:f>MOD(B388,2)+MOD(C388,2)+MOD(D388,2)+MOD(E388,2)+MOD(F388,2)</x:f>
        <x:v>3</x:v>
      </x:c>
      <x:c r="K388" s="296" t="n">
        <x:f>COUNTIF(B388:F388,"&gt;31")</x:f>
        <x:v>4</x:v>
      </x:c>
      <x:c r="L388" s="336" t="n">
        <x:f>1/'Executive Summary'!$B$24</x:f>
        <x:v>7.1511238420185165e-9</x:v>
      </x:c>
      <x:c r="M388" s="342" t="n">
        <x:f>2.5</x:f>
        <x:v>2.5</x:v>
      </x:c>
      <x:c r="N388" s="288" t="str">
        <x:v>Conditional coverage wheel</x:v>
      </x:c>
    </x:row>
    <x:row r="389">
      <x:c r="A389" s="295" t="n">
        <x:v>385</x:v>
      </x:c>
      <x:c r="B389" s="296" t="n">
        <x:v>25</x:v>
      </x:c>
      <x:c r="C389" s="296" t="n">
        <x:v>35</x:v>
      </x:c>
      <x:c r="D389" s="296" t="n">
        <x:v>36</x:v>
      </x:c>
      <x:c r="E389" s="296" t="n">
        <x:v>37</x:v>
      </x:c>
      <x:c r="F389" s="296" t="n">
        <x:v>50</x:v>
      </x:c>
      <x:c r="G389" s="296" t="n">
        <x:v>5</x:v>
      </x:c>
      <x:c r="H389" s="296" t="n">
        <x:v>7</x:v>
      </x:c>
      <x:c r="I389" s="296" t="n">
        <x:f>SUM(B389:F389)</x:f>
        <x:v>183</x:v>
      </x:c>
      <x:c r="J389" s="296" t="n">
        <x:f>MOD(B389,2)+MOD(C389,2)+MOD(D389,2)+MOD(E389,2)+MOD(F389,2)</x:f>
        <x:v>3</x:v>
      </x:c>
      <x:c r="K389" s="296" t="n">
        <x:f>COUNTIF(B389:F389,"&gt;31")</x:f>
        <x:v>4</x:v>
      </x:c>
      <x:c r="L389" s="336" t="n">
        <x:f>1/'Executive Summary'!$B$24</x:f>
        <x:v>7.1511238420185165e-9</x:v>
      </x:c>
      <x:c r="M389" s="342" t="n">
        <x:f>2.5</x:f>
        <x:v>2.5</x:v>
      </x:c>
      <x:c r="N389" s="288" t="str">
        <x:v>Conditional coverage wheel</x:v>
      </x:c>
    </x:row>
    <x:row r="390">
      <x:c r="A390" s="295" t="n">
        <x:v>386</x:v>
      </x:c>
      <x:c r="B390" s="296" t="n">
        <x:v>25</x:v>
      </x:c>
      <x:c r="C390" s="296" t="n">
        <x:v>35</x:v>
      </x:c>
      <x:c r="D390" s="296" t="n">
        <x:v>36</x:v>
      </x:c>
      <x:c r="E390" s="296" t="n">
        <x:v>37</x:v>
      </x:c>
      <x:c r="F390" s="296" t="n">
        <x:v>50</x:v>
      </x:c>
      <x:c r="G390" s="296" t="n">
        <x:v>5</x:v>
      </x:c>
      <x:c r="H390" s="296" t="n">
        <x:v>8</x:v>
      </x:c>
      <x:c r="I390" s="296" t="n">
        <x:f>SUM(B390:F390)</x:f>
        <x:v>183</x:v>
      </x:c>
      <x:c r="J390" s="296" t="n">
        <x:f>MOD(B390,2)+MOD(C390,2)+MOD(D390,2)+MOD(E390,2)+MOD(F390,2)</x:f>
        <x:v>3</x:v>
      </x:c>
      <x:c r="K390" s="296" t="n">
        <x:f>COUNTIF(B390:F390,"&gt;31")</x:f>
        <x:v>4</x:v>
      </x:c>
      <x:c r="L390" s="336" t="n">
        <x:f>1/'Executive Summary'!$B$24</x:f>
        <x:v>7.1511238420185165e-9</x:v>
      </x:c>
      <x:c r="M390" s="342" t="n">
        <x:f>2.5</x:f>
        <x:v>2.5</x:v>
      </x:c>
      <x:c r="N390" s="288" t="str">
        <x:v>Conditional coverage wheel</x:v>
      </x:c>
    </x:row>
    <x:row r="391">
      <x:c r="A391" s="295" t="n">
        <x:v>387</x:v>
      </x:c>
      <x:c r="B391" s="296" t="n">
        <x:v>25</x:v>
      </x:c>
      <x:c r="C391" s="296" t="n">
        <x:v>35</x:v>
      </x:c>
      <x:c r="D391" s="296" t="n">
        <x:v>36</x:v>
      </x:c>
      <x:c r="E391" s="296" t="n">
        <x:v>37</x:v>
      </x:c>
      <x:c r="F391" s="296" t="n">
        <x:v>50</x:v>
      </x:c>
      <x:c r="G391" s="296" t="n">
        <x:v>5</x:v>
      </x:c>
      <x:c r="H391" s="296" t="n">
        <x:v>9</x:v>
      </x:c>
      <x:c r="I391" s="296" t="n">
        <x:f>SUM(B391:F391)</x:f>
        <x:v>183</x:v>
      </x:c>
      <x:c r="J391" s="296" t="n">
        <x:f>MOD(B391,2)+MOD(C391,2)+MOD(D391,2)+MOD(E391,2)+MOD(F391,2)</x:f>
        <x:v>3</x:v>
      </x:c>
      <x:c r="K391" s="296" t="n">
        <x:f>COUNTIF(B391:F391,"&gt;31")</x:f>
        <x:v>4</x:v>
      </x:c>
      <x:c r="L391" s="336" t="n">
        <x:f>1/'Executive Summary'!$B$24</x:f>
        <x:v>7.1511238420185165e-9</x:v>
      </x:c>
      <x:c r="M391" s="342" t="n">
        <x:f>2.5</x:f>
        <x:v>2.5</x:v>
      </x:c>
      <x:c r="N391" s="288" t="str">
        <x:v>Conditional coverage wheel</x:v>
      </x:c>
    </x:row>
    <x:row r="392">
      <x:c r="A392" s="295" t="n">
        <x:v>388</x:v>
      </x:c>
      <x:c r="B392" s="296" t="n">
        <x:v>25</x:v>
      </x:c>
      <x:c r="C392" s="296" t="n">
        <x:v>35</x:v>
      </x:c>
      <x:c r="D392" s="296" t="n">
        <x:v>36</x:v>
      </x:c>
      <x:c r="E392" s="296" t="n">
        <x:v>37</x:v>
      </x:c>
      <x:c r="F392" s="296" t="n">
        <x:v>50</x:v>
      </x:c>
      <x:c r="G392" s="296" t="n">
        <x:v>7</x:v>
      </x:c>
      <x:c r="H392" s="296" t="n">
        <x:v>8</x:v>
      </x:c>
      <x:c r="I392" s="296" t="n">
        <x:f>SUM(B392:F392)</x:f>
        <x:v>183</x:v>
      </x:c>
      <x:c r="J392" s="296" t="n">
        <x:f>MOD(B392,2)+MOD(C392,2)+MOD(D392,2)+MOD(E392,2)+MOD(F392,2)</x:f>
        <x:v>3</x:v>
      </x:c>
      <x:c r="K392" s="296" t="n">
        <x:f>COUNTIF(B392:F392,"&gt;31")</x:f>
        <x:v>4</x:v>
      </x:c>
      <x:c r="L392" s="336" t="n">
        <x:f>1/'Executive Summary'!$B$24</x:f>
        <x:v>7.1511238420185165e-9</x:v>
      </x:c>
      <x:c r="M392" s="342" t="n">
        <x:f>2.5</x:f>
        <x:v>2.5</x:v>
      </x:c>
      <x:c r="N392" s="288" t="str">
        <x:v>Conditional coverage wheel</x:v>
      </x:c>
    </x:row>
    <x:row r="393">
      <x:c r="A393" s="295" t="n">
        <x:v>389</x:v>
      </x:c>
      <x:c r="B393" s="296" t="n">
        <x:v>25</x:v>
      </x:c>
      <x:c r="C393" s="296" t="n">
        <x:v>35</x:v>
      </x:c>
      <x:c r="D393" s="296" t="n">
        <x:v>36</x:v>
      </x:c>
      <x:c r="E393" s="296" t="n">
        <x:v>37</x:v>
      </x:c>
      <x:c r="F393" s="296" t="n">
        <x:v>50</x:v>
      </x:c>
      <x:c r="G393" s="296" t="n">
        <x:v>7</x:v>
      </x:c>
      <x:c r="H393" s="296" t="n">
        <x:v>9</x:v>
      </x:c>
      <x:c r="I393" s="296" t="n">
        <x:f>SUM(B393:F393)</x:f>
        <x:v>183</x:v>
      </x:c>
      <x:c r="J393" s="296" t="n">
        <x:f>MOD(B393,2)+MOD(C393,2)+MOD(D393,2)+MOD(E393,2)+MOD(F393,2)</x:f>
        <x:v>3</x:v>
      </x:c>
      <x:c r="K393" s="296" t="n">
        <x:f>COUNTIF(B393:F393,"&gt;31")</x:f>
        <x:v>4</x:v>
      </x:c>
      <x:c r="L393" s="336" t="n">
        <x:f>1/'Executive Summary'!$B$24</x:f>
        <x:v>7.1511238420185165e-9</x:v>
      </x:c>
      <x:c r="M393" s="342" t="n">
        <x:f>2.5</x:f>
        <x:v>2.5</x:v>
      </x:c>
      <x:c r="N393" s="288" t="str">
        <x:v>Conditional coverage wheel</x:v>
      </x:c>
    </x:row>
    <x:row r="394">
      <x:c r="A394" s="295" t="n">
        <x:v>390</x:v>
      </x:c>
      <x:c r="B394" s="296" t="n">
        <x:v>25</x:v>
      </x:c>
      <x:c r="C394" s="296" t="n">
        <x:v>35</x:v>
      </x:c>
      <x:c r="D394" s="296" t="n">
        <x:v>36</x:v>
      </x:c>
      <x:c r="E394" s="296" t="n">
        <x:v>37</x:v>
      </x:c>
      <x:c r="F394" s="296" t="n">
        <x:v>50</x:v>
      </x:c>
      <x:c r="G394" s="296" t="n">
        <x:v>8</x:v>
      </x:c>
      <x:c r="H394" s="296" t="n">
        <x:v>9</x:v>
      </x:c>
      <x:c r="I394" s="296" t="n">
        <x:f>SUM(B394:F394)</x:f>
        <x:v>183</x:v>
      </x:c>
      <x:c r="J394" s="296" t="n">
        <x:f>MOD(B394,2)+MOD(C394,2)+MOD(D394,2)+MOD(E394,2)+MOD(F394,2)</x:f>
        <x:v>3</x:v>
      </x:c>
      <x:c r="K394" s="296" t="n">
        <x:f>COUNTIF(B394:F394,"&gt;31")</x:f>
        <x:v>4</x:v>
      </x:c>
      <x:c r="L394" s="336" t="n">
        <x:f>1/'Executive Summary'!$B$24</x:f>
        <x:v>7.1511238420185165e-9</x:v>
      </x:c>
      <x:c r="M394" s="342" t="n">
        <x:f>2.5</x:f>
        <x:v>2.5</x:v>
      </x:c>
      <x:c r="N394" s="288" t="str">
        <x:v>Conditional coverage wheel</x:v>
      </x:c>
    </x:row>
    <x:row r="395">
      <x:c r="A395" s="295" t="n">
        <x:v>391</x:v>
      </x:c>
      <x:c r="B395" s="296" t="n">
        <x:v>4</x:v>
      </x:c>
      <x:c r="C395" s="296" t="n">
        <x:v>21</x:v>
      </x:c>
      <x:c r="D395" s="296" t="n">
        <x:v>35</x:v>
      </x:c>
      <x:c r="E395" s="296" t="n">
        <x:v>37</x:v>
      </x:c>
      <x:c r="F395" s="296" t="n">
        <x:v>42</x:v>
      </x:c>
      <x:c r="G395" s="296" t="n">
        <x:v>3</x:v>
      </x:c>
      <x:c r="H395" s="296" t="n">
        <x:v>4</x:v>
      </x:c>
      <x:c r="I395" s="296" t="n">
        <x:f>SUM(B395:F395)</x:f>
        <x:v>139</x:v>
      </x:c>
      <x:c r="J395" s="296" t="n">
        <x:f>MOD(B395,2)+MOD(C395,2)+MOD(D395,2)+MOD(E395,2)+MOD(F395,2)</x:f>
        <x:v>3</x:v>
      </x:c>
      <x:c r="K395" s="296" t="n">
        <x:f>COUNTIF(B395:F395,"&gt;31")</x:f>
        <x:v>3</x:v>
      </x:c>
      <x:c r="L395" s="336" t="n">
        <x:f>1/'Executive Summary'!$B$24</x:f>
        <x:v>7.1511238420185165e-9</x:v>
      </x:c>
      <x:c r="M395" s="342" t="n">
        <x:f>2.5</x:f>
        <x:v>2.5</x:v>
      </x:c>
      <x:c r="N395" s="288" t="str">
        <x:v>Conditional coverage wheel</x:v>
      </x:c>
    </x:row>
    <x:row r="396">
      <x:c r="A396" s="295" t="n">
        <x:v>392</x:v>
      </x:c>
      <x:c r="B396" s="296" t="n">
        <x:v>4</x:v>
      </x:c>
      <x:c r="C396" s="296" t="n">
        <x:v>21</x:v>
      </x:c>
      <x:c r="D396" s="296" t="n">
        <x:v>35</x:v>
      </x:c>
      <x:c r="E396" s="296" t="n">
        <x:v>37</x:v>
      </x:c>
      <x:c r="F396" s="296" t="n">
        <x:v>42</x:v>
      </x:c>
      <x:c r="G396" s="296" t="n">
        <x:v>3</x:v>
      </x:c>
      <x:c r="H396" s="296" t="n">
        <x:v>5</x:v>
      </x:c>
      <x:c r="I396" s="296" t="n">
        <x:f>SUM(B396:F396)</x:f>
        <x:v>139</x:v>
      </x:c>
      <x:c r="J396" s="296" t="n">
        <x:f>MOD(B396,2)+MOD(C396,2)+MOD(D396,2)+MOD(E396,2)+MOD(F396,2)</x:f>
        <x:v>3</x:v>
      </x:c>
      <x:c r="K396" s="296" t="n">
        <x:f>COUNTIF(B396:F396,"&gt;31")</x:f>
        <x:v>3</x:v>
      </x:c>
      <x:c r="L396" s="336" t="n">
        <x:f>1/'Executive Summary'!$B$24</x:f>
        <x:v>7.1511238420185165e-9</x:v>
      </x:c>
      <x:c r="M396" s="342" t="n">
        <x:f>2.5</x:f>
        <x:v>2.5</x:v>
      </x:c>
      <x:c r="N396" s="288" t="str">
        <x:v>Conditional coverage wheel</x:v>
      </x:c>
    </x:row>
    <x:row r="397">
      <x:c r="A397" s="295" t="n">
        <x:v>393</x:v>
      </x:c>
      <x:c r="B397" s="296" t="n">
        <x:v>4</x:v>
      </x:c>
      <x:c r="C397" s="296" t="n">
        <x:v>21</x:v>
      </x:c>
      <x:c r="D397" s="296" t="n">
        <x:v>35</x:v>
      </x:c>
      <x:c r="E397" s="296" t="n">
        <x:v>37</x:v>
      </x:c>
      <x:c r="F397" s="296" t="n">
        <x:v>42</x:v>
      </x:c>
      <x:c r="G397" s="296" t="n">
        <x:v>3</x:v>
      </x:c>
      <x:c r="H397" s="296" t="n">
        <x:v>7</x:v>
      </x:c>
      <x:c r="I397" s="296" t="n">
        <x:f>SUM(B397:F397)</x:f>
        <x:v>139</x:v>
      </x:c>
      <x:c r="J397" s="296" t="n">
        <x:f>MOD(B397,2)+MOD(C397,2)+MOD(D397,2)+MOD(E397,2)+MOD(F397,2)</x:f>
        <x:v>3</x:v>
      </x:c>
      <x:c r="K397" s="296" t="n">
        <x:f>COUNTIF(B397:F397,"&gt;31")</x:f>
        <x:v>3</x:v>
      </x:c>
      <x:c r="L397" s="336" t="n">
        <x:f>1/'Executive Summary'!$B$24</x:f>
        <x:v>7.1511238420185165e-9</x:v>
      </x:c>
      <x:c r="M397" s="342" t="n">
        <x:f>2.5</x:f>
        <x:v>2.5</x:v>
      </x:c>
      <x:c r="N397" s="288" t="str">
        <x:v>Conditional coverage wheel</x:v>
      </x:c>
    </x:row>
    <x:row r="398">
      <x:c r="A398" s="295" t="n">
        <x:v>394</x:v>
      </x:c>
      <x:c r="B398" s="296" t="n">
        <x:v>4</x:v>
      </x:c>
      <x:c r="C398" s="296" t="n">
        <x:v>21</x:v>
      </x:c>
      <x:c r="D398" s="296" t="n">
        <x:v>35</x:v>
      </x:c>
      <x:c r="E398" s="296" t="n">
        <x:v>37</x:v>
      </x:c>
      <x:c r="F398" s="296" t="n">
        <x:v>42</x:v>
      </x:c>
      <x:c r="G398" s="296" t="n">
        <x:v>3</x:v>
      </x:c>
      <x:c r="H398" s="296" t="n">
        <x:v>8</x:v>
      </x:c>
      <x:c r="I398" s="296" t="n">
        <x:f>SUM(B398:F398)</x:f>
        <x:v>139</x:v>
      </x:c>
      <x:c r="J398" s="296" t="n">
        <x:f>MOD(B398,2)+MOD(C398,2)+MOD(D398,2)+MOD(E398,2)+MOD(F398,2)</x:f>
        <x:v>3</x:v>
      </x:c>
      <x:c r="K398" s="296" t="n">
        <x:f>COUNTIF(B398:F398,"&gt;31")</x:f>
        <x:v>3</x:v>
      </x:c>
      <x:c r="L398" s="336" t="n">
        <x:f>1/'Executive Summary'!$B$24</x:f>
        <x:v>7.1511238420185165e-9</x:v>
      </x:c>
      <x:c r="M398" s="342" t="n">
        <x:f>2.5</x:f>
        <x:v>2.5</x:v>
      </x:c>
      <x:c r="N398" s="288" t="str">
        <x:v>Conditional coverage wheel</x:v>
      </x:c>
    </x:row>
    <x:row r="399">
      <x:c r="A399" s="295" t="n">
        <x:v>395</x:v>
      </x:c>
      <x:c r="B399" s="296" t="n">
        <x:v>4</x:v>
      </x:c>
      <x:c r="C399" s="296" t="n">
        <x:v>21</x:v>
      </x:c>
      <x:c r="D399" s="296" t="n">
        <x:v>35</x:v>
      </x:c>
      <x:c r="E399" s="296" t="n">
        <x:v>37</x:v>
      </x:c>
      <x:c r="F399" s="296" t="n">
        <x:v>42</x:v>
      </x:c>
      <x:c r="G399" s="296" t="n">
        <x:v>3</x:v>
      </x:c>
      <x:c r="H399" s="296" t="n">
        <x:v>9</x:v>
      </x:c>
      <x:c r="I399" s="296" t="n">
        <x:f>SUM(B399:F399)</x:f>
        <x:v>139</x:v>
      </x:c>
      <x:c r="J399" s="296" t="n">
        <x:f>MOD(B399,2)+MOD(C399,2)+MOD(D399,2)+MOD(E399,2)+MOD(F399,2)</x:f>
        <x:v>3</x:v>
      </x:c>
      <x:c r="K399" s="296" t="n">
        <x:f>COUNTIF(B399:F399,"&gt;31")</x:f>
        <x:v>3</x:v>
      </x:c>
      <x:c r="L399" s="336" t="n">
        <x:f>1/'Executive Summary'!$B$24</x:f>
        <x:v>7.1511238420185165e-9</x:v>
      </x:c>
      <x:c r="M399" s="342" t="n">
        <x:f>2.5</x:f>
        <x:v>2.5</x:v>
      </x:c>
      <x:c r="N399" s="288" t="str">
        <x:v>Conditional coverage wheel</x:v>
      </x:c>
    </x:row>
    <x:row r="400">
      <x:c r="A400" s="295" t="n">
        <x:v>396</x:v>
      </x:c>
      <x:c r="B400" s="296" t="n">
        <x:v>4</x:v>
      </x:c>
      <x:c r="C400" s="296" t="n">
        <x:v>21</x:v>
      </x:c>
      <x:c r="D400" s="296" t="n">
        <x:v>35</x:v>
      </x:c>
      <x:c r="E400" s="296" t="n">
        <x:v>37</x:v>
      </x:c>
      <x:c r="F400" s="296" t="n">
        <x:v>42</x:v>
      </x:c>
      <x:c r="G400" s="296" t="n">
        <x:v>4</x:v>
      </x:c>
      <x:c r="H400" s="296" t="n">
        <x:v>5</x:v>
      </x:c>
      <x:c r="I400" s="296" t="n">
        <x:f>SUM(B400:F400)</x:f>
        <x:v>139</x:v>
      </x:c>
      <x:c r="J400" s="296" t="n">
        <x:f>MOD(B400,2)+MOD(C400,2)+MOD(D400,2)+MOD(E400,2)+MOD(F400,2)</x:f>
        <x:v>3</x:v>
      </x:c>
      <x:c r="K400" s="296" t="n">
        <x:f>COUNTIF(B400:F400,"&gt;31")</x:f>
        <x:v>3</x:v>
      </x:c>
      <x:c r="L400" s="336" t="n">
        <x:f>1/'Executive Summary'!$B$24</x:f>
        <x:v>7.1511238420185165e-9</x:v>
      </x:c>
      <x:c r="M400" s="342" t="n">
        <x:f>2.5</x:f>
        <x:v>2.5</x:v>
      </x:c>
      <x:c r="N400" s="288" t="str">
        <x:v>Conditional coverage wheel</x:v>
      </x:c>
    </x:row>
    <x:row r="401">
      <x:c r="A401" s="295" t="n">
        <x:v>397</x:v>
      </x:c>
      <x:c r="B401" s="296" t="n">
        <x:v>4</x:v>
      </x:c>
      <x:c r="C401" s="296" t="n">
        <x:v>21</x:v>
      </x:c>
      <x:c r="D401" s="296" t="n">
        <x:v>35</x:v>
      </x:c>
      <x:c r="E401" s="296" t="n">
        <x:v>37</x:v>
      </x:c>
      <x:c r="F401" s="296" t="n">
        <x:v>42</x:v>
      </x:c>
      <x:c r="G401" s="296" t="n">
        <x:v>4</x:v>
      </x:c>
      <x:c r="H401" s="296" t="n">
        <x:v>7</x:v>
      </x:c>
      <x:c r="I401" s="296" t="n">
        <x:f>SUM(B401:F401)</x:f>
        <x:v>139</x:v>
      </x:c>
      <x:c r="J401" s="296" t="n">
        <x:f>MOD(B401,2)+MOD(C401,2)+MOD(D401,2)+MOD(E401,2)+MOD(F401,2)</x:f>
        <x:v>3</x:v>
      </x:c>
      <x:c r="K401" s="296" t="n">
        <x:f>COUNTIF(B401:F401,"&gt;31")</x:f>
        <x:v>3</x:v>
      </x:c>
      <x:c r="L401" s="336" t="n">
        <x:f>1/'Executive Summary'!$B$24</x:f>
        <x:v>7.1511238420185165e-9</x:v>
      </x:c>
      <x:c r="M401" s="342" t="n">
        <x:f>2.5</x:f>
        <x:v>2.5</x:v>
      </x:c>
      <x:c r="N401" s="288" t="str">
        <x:v>Conditional coverage wheel</x:v>
      </x:c>
    </x:row>
    <x:row r="402">
      <x:c r="A402" s="295" t="n">
        <x:v>398</x:v>
      </x:c>
      <x:c r="B402" s="296" t="n">
        <x:v>4</x:v>
      </x:c>
      <x:c r="C402" s="296" t="n">
        <x:v>21</x:v>
      </x:c>
      <x:c r="D402" s="296" t="n">
        <x:v>35</x:v>
      </x:c>
      <x:c r="E402" s="296" t="n">
        <x:v>37</x:v>
      </x:c>
      <x:c r="F402" s="296" t="n">
        <x:v>42</x:v>
      </x:c>
      <x:c r="G402" s="296" t="n">
        <x:v>4</x:v>
      </x:c>
      <x:c r="H402" s="296" t="n">
        <x:v>8</x:v>
      </x:c>
      <x:c r="I402" s="296" t="n">
        <x:f>SUM(B402:F402)</x:f>
        <x:v>139</x:v>
      </x:c>
      <x:c r="J402" s="296" t="n">
        <x:f>MOD(B402,2)+MOD(C402,2)+MOD(D402,2)+MOD(E402,2)+MOD(F402,2)</x:f>
        <x:v>3</x:v>
      </x:c>
      <x:c r="K402" s="296" t="n">
        <x:f>COUNTIF(B402:F402,"&gt;31")</x:f>
        <x:v>3</x:v>
      </x:c>
      <x:c r="L402" s="336" t="n">
        <x:f>1/'Executive Summary'!$B$24</x:f>
        <x:v>7.1511238420185165e-9</x:v>
      </x:c>
      <x:c r="M402" s="342" t="n">
        <x:f>2.5</x:f>
        <x:v>2.5</x:v>
      </x:c>
      <x:c r="N402" s="288" t="str">
        <x:v>Conditional coverage wheel</x:v>
      </x:c>
    </x:row>
    <x:row r="403">
      <x:c r="A403" s="295" t="n">
        <x:v>399</x:v>
      </x:c>
      <x:c r="B403" s="296" t="n">
        <x:v>4</x:v>
      </x:c>
      <x:c r="C403" s="296" t="n">
        <x:v>21</x:v>
      </x:c>
      <x:c r="D403" s="296" t="n">
        <x:v>35</x:v>
      </x:c>
      <x:c r="E403" s="296" t="n">
        <x:v>37</x:v>
      </x:c>
      <x:c r="F403" s="296" t="n">
        <x:v>42</x:v>
      </x:c>
      <x:c r="G403" s="296" t="n">
        <x:v>4</x:v>
      </x:c>
      <x:c r="H403" s="296" t="n">
        <x:v>9</x:v>
      </x:c>
      <x:c r="I403" s="296" t="n">
        <x:f>SUM(B403:F403)</x:f>
        <x:v>139</x:v>
      </x:c>
      <x:c r="J403" s="296" t="n">
        <x:f>MOD(B403,2)+MOD(C403,2)+MOD(D403,2)+MOD(E403,2)+MOD(F403,2)</x:f>
        <x:v>3</x:v>
      </x:c>
      <x:c r="K403" s="296" t="n">
        <x:f>COUNTIF(B403:F403,"&gt;31")</x:f>
        <x:v>3</x:v>
      </x:c>
      <x:c r="L403" s="336" t="n">
        <x:f>1/'Executive Summary'!$B$24</x:f>
        <x:v>7.1511238420185165e-9</x:v>
      </x:c>
      <x:c r="M403" s="342" t="n">
        <x:f>2.5</x:f>
        <x:v>2.5</x:v>
      </x:c>
      <x:c r="N403" s="288" t="str">
        <x:v>Conditional coverage wheel</x:v>
      </x:c>
    </x:row>
    <x:row r="404">
      <x:c r="A404" s="295" t="n">
        <x:v>400</x:v>
      </x:c>
      <x:c r="B404" s="296" t="n">
        <x:v>4</x:v>
      </x:c>
      <x:c r="C404" s="296" t="n">
        <x:v>21</x:v>
      </x:c>
      <x:c r="D404" s="296" t="n">
        <x:v>35</x:v>
      </x:c>
      <x:c r="E404" s="296" t="n">
        <x:v>37</x:v>
      </x:c>
      <x:c r="F404" s="296" t="n">
        <x:v>42</x:v>
      </x:c>
      <x:c r="G404" s="296" t="n">
        <x:v>5</x:v>
      </x:c>
      <x:c r="H404" s="296" t="n">
        <x:v>7</x:v>
      </x:c>
      <x:c r="I404" s="296" t="n">
        <x:f>SUM(B404:F404)</x:f>
        <x:v>139</x:v>
      </x:c>
      <x:c r="J404" s="296" t="n">
        <x:f>MOD(B404,2)+MOD(C404,2)+MOD(D404,2)+MOD(E404,2)+MOD(F404,2)</x:f>
        <x:v>3</x:v>
      </x:c>
      <x:c r="K404" s="296" t="n">
        <x:f>COUNTIF(B404:F404,"&gt;31")</x:f>
        <x:v>3</x:v>
      </x:c>
      <x:c r="L404" s="336" t="n">
        <x:f>1/'Executive Summary'!$B$24</x:f>
        <x:v>7.1511238420185165e-9</x:v>
      </x:c>
      <x:c r="M404" s="342" t="n">
        <x:f>2.5</x:f>
        <x:v>2.5</x:v>
      </x:c>
      <x:c r="N404" s="288" t="str">
        <x:v>Conditional coverage wheel</x:v>
      </x:c>
    </x:row>
    <x:row r="405">
      <x:c r="A405" s="295" t="n">
        <x:v>401</x:v>
      </x:c>
      <x:c r="B405" s="296" t="n">
        <x:v>4</x:v>
      </x:c>
      <x:c r="C405" s="296" t="n">
        <x:v>21</x:v>
      </x:c>
      <x:c r="D405" s="296" t="n">
        <x:v>35</x:v>
      </x:c>
      <x:c r="E405" s="296" t="n">
        <x:v>37</x:v>
      </x:c>
      <x:c r="F405" s="296" t="n">
        <x:v>42</x:v>
      </x:c>
      <x:c r="G405" s="296" t="n">
        <x:v>5</x:v>
      </x:c>
      <x:c r="H405" s="296" t="n">
        <x:v>8</x:v>
      </x:c>
      <x:c r="I405" s="296" t="n">
        <x:f>SUM(B405:F405)</x:f>
        <x:v>139</x:v>
      </x:c>
      <x:c r="J405" s="296" t="n">
        <x:f>MOD(B405,2)+MOD(C405,2)+MOD(D405,2)+MOD(E405,2)+MOD(F405,2)</x:f>
        <x:v>3</x:v>
      </x:c>
      <x:c r="K405" s="296" t="n">
        <x:f>COUNTIF(B405:F405,"&gt;31")</x:f>
        <x:v>3</x:v>
      </x:c>
      <x:c r="L405" s="336" t="n">
        <x:f>1/'Executive Summary'!$B$24</x:f>
        <x:v>7.1511238420185165e-9</x:v>
      </x:c>
      <x:c r="M405" s="342" t="n">
        <x:f>2.5</x:f>
        <x:v>2.5</x:v>
      </x:c>
      <x:c r="N405" s="288" t="str">
        <x:v>Conditional coverage wheel</x:v>
      </x:c>
    </x:row>
    <x:row r="406">
      <x:c r="A406" s="295" t="n">
        <x:v>402</x:v>
      </x:c>
      <x:c r="B406" s="296" t="n">
        <x:v>4</x:v>
      </x:c>
      <x:c r="C406" s="296" t="n">
        <x:v>21</x:v>
      </x:c>
      <x:c r="D406" s="296" t="n">
        <x:v>35</x:v>
      </x:c>
      <x:c r="E406" s="296" t="n">
        <x:v>37</x:v>
      </x:c>
      <x:c r="F406" s="296" t="n">
        <x:v>42</x:v>
      </x:c>
      <x:c r="G406" s="296" t="n">
        <x:v>5</x:v>
      </x:c>
      <x:c r="H406" s="296" t="n">
        <x:v>9</x:v>
      </x:c>
      <x:c r="I406" s="296" t="n">
        <x:f>SUM(B406:F406)</x:f>
        <x:v>139</x:v>
      </x:c>
      <x:c r="J406" s="296" t="n">
        <x:f>MOD(B406,2)+MOD(C406,2)+MOD(D406,2)+MOD(E406,2)+MOD(F406,2)</x:f>
        <x:v>3</x:v>
      </x:c>
      <x:c r="K406" s="296" t="n">
        <x:f>COUNTIF(B406:F406,"&gt;31")</x:f>
        <x:v>3</x:v>
      </x:c>
      <x:c r="L406" s="336" t="n">
        <x:f>1/'Executive Summary'!$B$24</x:f>
        <x:v>7.1511238420185165e-9</x:v>
      </x:c>
      <x:c r="M406" s="342" t="n">
        <x:f>2.5</x:f>
        <x:v>2.5</x:v>
      </x:c>
      <x:c r="N406" s="288" t="str">
        <x:v>Conditional coverage wheel</x:v>
      </x:c>
    </x:row>
    <x:row r="407">
      <x:c r="A407" s="295" t="n">
        <x:v>403</x:v>
      </x:c>
      <x:c r="B407" s="296" t="n">
        <x:v>4</x:v>
      </x:c>
      <x:c r="C407" s="296" t="n">
        <x:v>21</x:v>
      </x:c>
      <x:c r="D407" s="296" t="n">
        <x:v>35</x:v>
      </x:c>
      <x:c r="E407" s="296" t="n">
        <x:v>37</x:v>
      </x:c>
      <x:c r="F407" s="296" t="n">
        <x:v>42</x:v>
      </x:c>
      <x:c r="G407" s="296" t="n">
        <x:v>7</x:v>
      </x:c>
      <x:c r="H407" s="296" t="n">
        <x:v>8</x:v>
      </x:c>
      <x:c r="I407" s="296" t="n">
        <x:f>SUM(B407:F407)</x:f>
        <x:v>139</x:v>
      </x:c>
      <x:c r="J407" s="296" t="n">
        <x:f>MOD(B407,2)+MOD(C407,2)+MOD(D407,2)+MOD(E407,2)+MOD(F407,2)</x:f>
        <x:v>3</x:v>
      </x:c>
      <x:c r="K407" s="296" t="n">
        <x:f>COUNTIF(B407:F407,"&gt;31")</x:f>
        <x:v>3</x:v>
      </x:c>
      <x:c r="L407" s="336" t="n">
        <x:f>1/'Executive Summary'!$B$24</x:f>
        <x:v>7.1511238420185165e-9</x:v>
      </x:c>
      <x:c r="M407" s="342" t="n">
        <x:f>2.5</x:f>
        <x:v>2.5</x:v>
      </x:c>
      <x:c r="N407" s="288" t="str">
        <x:v>Conditional coverage wheel</x:v>
      </x:c>
    </x:row>
    <x:row r="408">
      <x:c r="A408" s="295" t="n">
        <x:v>404</x:v>
      </x:c>
      <x:c r="B408" s="296" t="n">
        <x:v>4</x:v>
      </x:c>
      <x:c r="C408" s="296" t="n">
        <x:v>21</x:v>
      </x:c>
      <x:c r="D408" s="296" t="n">
        <x:v>35</x:v>
      </x:c>
      <x:c r="E408" s="296" t="n">
        <x:v>37</x:v>
      </x:c>
      <x:c r="F408" s="296" t="n">
        <x:v>42</x:v>
      </x:c>
      <x:c r="G408" s="296" t="n">
        <x:v>7</x:v>
      </x:c>
      <x:c r="H408" s="296" t="n">
        <x:v>9</x:v>
      </x:c>
      <x:c r="I408" s="296" t="n">
        <x:f>SUM(B408:F408)</x:f>
        <x:v>139</x:v>
      </x:c>
      <x:c r="J408" s="296" t="n">
        <x:f>MOD(B408,2)+MOD(C408,2)+MOD(D408,2)+MOD(E408,2)+MOD(F408,2)</x:f>
        <x:v>3</x:v>
      </x:c>
      <x:c r="K408" s="296" t="n">
        <x:f>COUNTIF(B408:F408,"&gt;31")</x:f>
        <x:v>3</x:v>
      </x:c>
      <x:c r="L408" s="336" t="n">
        <x:f>1/'Executive Summary'!$B$24</x:f>
        <x:v>7.1511238420185165e-9</x:v>
      </x:c>
      <x:c r="M408" s="342" t="n">
        <x:f>2.5</x:f>
        <x:v>2.5</x:v>
      </x:c>
      <x:c r="N408" s="288" t="str">
        <x:v>Conditional coverage wheel</x:v>
      </x:c>
    </x:row>
    <x:row r="409">
      <x:c r="A409" s="295" t="n">
        <x:v>405</x:v>
      </x:c>
      <x:c r="B409" s="296" t="n">
        <x:v>4</x:v>
      </x:c>
      <x:c r="C409" s="296" t="n">
        <x:v>21</x:v>
      </x:c>
      <x:c r="D409" s="296" t="n">
        <x:v>35</x:v>
      </x:c>
      <x:c r="E409" s="296" t="n">
        <x:v>37</x:v>
      </x:c>
      <x:c r="F409" s="296" t="n">
        <x:v>42</x:v>
      </x:c>
      <x:c r="G409" s="296" t="n">
        <x:v>8</x:v>
      </x:c>
      <x:c r="H409" s="296" t="n">
        <x:v>9</x:v>
      </x:c>
      <x:c r="I409" s="296" t="n">
        <x:f>SUM(B409:F409)</x:f>
        <x:v>139</x:v>
      </x:c>
      <x:c r="J409" s="296" t="n">
        <x:f>MOD(B409,2)+MOD(C409,2)+MOD(D409,2)+MOD(E409,2)+MOD(F409,2)</x:f>
        <x:v>3</x:v>
      </x:c>
      <x:c r="K409" s="296" t="n">
        <x:f>COUNTIF(B409:F409,"&gt;31")</x:f>
        <x:v>3</x:v>
      </x:c>
      <x:c r="L409" s="336" t="n">
        <x:f>1/'Executive Summary'!$B$24</x:f>
        <x:v>7.1511238420185165e-9</x:v>
      </x:c>
      <x:c r="M409" s="342" t="n">
        <x:f>2.5</x:f>
        <x:v>2.5</x:v>
      </x:c>
      <x:c r="N409" s="288" t="str">
        <x:v>Conditional coverage wheel</x:v>
      </x:c>
    </x:row>
    <x:row r="410">
      <x:c r="A410" s="295" t="n">
        <x:v>406</x:v>
      </x:c>
      <x:c r="B410" s="296" t="n">
        <x:v>4</x:v>
      </x:c>
      <x:c r="C410" s="296" t="n">
        <x:v>25</x:v>
      </x:c>
      <x:c r="D410" s="296" t="n">
        <x:v>27</x:v>
      </x:c>
      <x:c r="E410" s="296" t="n">
        <x:v>28</x:v>
      </x:c>
      <x:c r="F410" s="296" t="n">
        <x:v>50</x:v>
      </x:c>
      <x:c r="G410" s="296" t="n">
        <x:v>3</x:v>
      </x:c>
      <x:c r="H410" s="296" t="n">
        <x:v>4</x:v>
      </x:c>
      <x:c r="I410" s="296" t="n">
        <x:f>SUM(B410:F410)</x:f>
        <x:v>134</x:v>
      </x:c>
      <x:c r="J410" s="296" t="n">
        <x:f>MOD(B410,2)+MOD(C410,2)+MOD(D410,2)+MOD(E410,2)+MOD(F410,2)</x:f>
        <x:v>2</x:v>
      </x:c>
      <x:c r="K410" s="296" t="n">
        <x:f>COUNTIF(B410:F410,"&gt;31")</x:f>
        <x:v>1</x:v>
      </x:c>
      <x:c r="L410" s="336" t="n">
        <x:f>1/'Executive Summary'!$B$24</x:f>
        <x:v>7.1511238420185165e-9</x:v>
      </x:c>
      <x:c r="M410" s="342" t="n">
        <x:f>2.5</x:f>
        <x:v>2.5</x:v>
      </x:c>
      <x:c r="N410" s="288" t="str">
        <x:v>Conditional coverage wheel</x:v>
      </x:c>
    </x:row>
    <x:row r="411">
      <x:c r="A411" s="295" t="n">
        <x:v>407</x:v>
      </x:c>
      <x:c r="B411" s="296" t="n">
        <x:v>4</x:v>
      </x:c>
      <x:c r="C411" s="296" t="n">
        <x:v>25</x:v>
      </x:c>
      <x:c r="D411" s="296" t="n">
        <x:v>27</x:v>
      </x:c>
      <x:c r="E411" s="296" t="n">
        <x:v>28</x:v>
      </x:c>
      <x:c r="F411" s="296" t="n">
        <x:v>50</x:v>
      </x:c>
      <x:c r="G411" s="296" t="n">
        <x:v>3</x:v>
      </x:c>
      <x:c r="H411" s="296" t="n">
        <x:v>5</x:v>
      </x:c>
      <x:c r="I411" s="296" t="n">
        <x:f>SUM(B411:F411)</x:f>
        <x:v>134</x:v>
      </x:c>
      <x:c r="J411" s="296" t="n">
        <x:f>MOD(B411,2)+MOD(C411,2)+MOD(D411,2)+MOD(E411,2)+MOD(F411,2)</x:f>
        <x:v>2</x:v>
      </x:c>
      <x:c r="K411" s="296" t="n">
        <x:f>COUNTIF(B411:F411,"&gt;31")</x:f>
        <x:v>1</x:v>
      </x:c>
      <x:c r="L411" s="336" t="n">
        <x:f>1/'Executive Summary'!$B$24</x:f>
        <x:v>7.1511238420185165e-9</x:v>
      </x:c>
      <x:c r="M411" s="342" t="n">
        <x:f>2.5</x:f>
        <x:v>2.5</x:v>
      </x:c>
      <x:c r="N411" s="288" t="str">
        <x:v>Conditional coverage wheel</x:v>
      </x:c>
    </x:row>
    <x:row r="412">
      <x:c r="A412" s="295" t="n">
        <x:v>408</x:v>
      </x:c>
      <x:c r="B412" s="296" t="n">
        <x:v>4</x:v>
      </x:c>
      <x:c r="C412" s="296" t="n">
        <x:v>25</x:v>
      </x:c>
      <x:c r="D412" s="296" t="n">
        <x:v>27</x:v>
      </x:c>
      <x:c r="E412" s="296" t="n">
        <x:v>28</x:v>
      </x:c>
      <x:c r="F412" s="296" t="n">
        <x:v>50</x:v>
      </x:c>
      <x:c r="G412" s="296" t="n">
        <x:v>3</x:v>
      </x:c>
      <x:c r="H412" s="296" t="n">
        <x:v>7</x:v>
      </x:c>
      <x:c r="I412" s="296" t="n">
        <x:f>SUM(B412:F412)</x:f>
        <x:v>134</x:v>
      </x:c>
      <x:c r="J412" s="296" t="n">
        <x:f>MOD(B412,2)+MOD(C412,2)+MOD(D412,2)+MOD(E412,2)+MOD(F412,2)</x:f>
        <x:v>2</x:v>
      </x:c>
      <x:c r="K412" s="296" t="n">
        <x:f>COUNTIF(B412:F412,"&gt;31")</x:f>
        <x:v>1</x:v>
      </x:c>
      <x:c r="L412" s="336" t="n">
        <x:f>1/'Executive Summary'!$B$24</x:f>
        <x:v>7.1511238420185165e-9</x:v>
      </x:c>
      <x:c r="M412" s="342" t="n">
        <x:f>2.5</x:f>
        <x:v>2.5</x:v>
      </x:c>
      <x:c r="N412" s="288" t="str">
        <x:v>Conditional coverage wheel</x:v>
      </x:c>
    </x:row>
    <x:row r="413">
      <x:c r="A413" s="295" t="n">
        <x:v>409</x:v>
      </x:c>
      <x:c r="B413" s="296" t="n">
        <x:v>4</x:v>
      </x:c>
      <x:c r="C413" s="296" t="n">
        <x:v>25</x:v>
      </x:c>
      <x:c r="D413" s="296" t="n">
        <x:v>27</x:v>
      </x:c>
      <x:c r="E413" s="296" t="n">
        <x:v>28</x:v>
      </x:c>
      <x:c r="F413" s="296" t="n">
        <x:v>50</x:v>
      </x:c>
      <x:c r="G413" s="296" t="n">
        <x:v>3</x:v>
      </x:c>
      <x:c r="H413" s="296" t="n">
        <x:v>8</x:v>
      </x:c>
      <x:c r="I413" s="296" t="n">
        <x:f>SUM(B413:F413)</x:f>
        <x:v>134</x:v>
      </x:c>
      <x:c r="J413" s="296" t="n">
        <x:f>MOD(B413,2)+MOD(C413,2)+MOD(D413,2)+MOD(E413,2)+MOD(F413,2)</x:f>
        <x:v>2</x:v>
      </x:c>
      <x:c r="K413" s="296" t="n">
        <x:f>COUNTIF(B413:F413,"&gt;31")</x:f>
        <x:v>1</x:v>
      </x:c>
      <x:c r="L413" s="336" t="n">
        <x:f>1/'Executive Summary'!$B$24</x:f>
        <x:v>7.1511238420185165e-9</x:v>
      </x:c>
      <x:c r="M413" s="342" t="n">
        <x:f>2.5</x:f>
        <x:v>2.5</x:v>
      </x:c>
      <x:c r="N413" s="288" t="str">
        <x:v>Conditional coverage wheel</x:v>
      </x:c>
    </x:row>
    <x:row r="414">
      <x:c r="A414" s="295" t="n">
        <x:v>410</x:v>
      </x:c>
      <x:c r="B414" s="296" t="n">
        <x:v>4</x:v>
      </x:c>
      <x:c r="C414" s="296" t="n">
        <x:v>25</x:v>
      </x:c>
      <x:c r="D414" s="296" t="n">
        <x:v>27</x:v>
      </x:c>
      <x:c r="E414" s="296" t="n">
        <x:v>28</x:v>
      </x:c>
      <x:c r="F414" s="296" t="n">
        <x:v>50</x:v>
      </x:c>
      <x:c r="G414" s="296" t="n">
        <x:v>3</x:v>
      </x:c>
      <x:c r="H414" s="296" t="n">
        <x:v>9</x:v>
      </x:c>
      <x:c r="I414" s="296" t="n">
        <x:f>SUM(B414:F414)</x:f>
        <x:v>134</x:v>
      </x:c>
      <x:c r="J414" s="296" t="n">
        <x:f>MOD(B414,2)+MOD(C414,2)+MOD(D414,2)+MOD(E414,2)+MOD(F414,2)</x:f>
        <x:v>2</x:v>
      </x:c>
      <x:c r="K414" s="296" t="n">
        <x:f>COUNTIF(B414:F414,"&gt;31")</x:f>
        <x:v>1</x:v>
      </x:c>
      <x:c r="L414" s="336" t="n">
        <x:f>1/'Executive Summary'!$B$24</x:f>
        <x:v>7.1511238420185165e-9</x:v>
      </x:c>
      <x:c r="M414" s="342" t="n">
        <x:f>2.5</x:f>
        <x:v>2.5</x:v>
      </x:c>
      <x:c r="N414" s="288" t="str">
        <x:v>Conditional coverage wheel</x:v>
      </x:c>
    </x:row>
    <x:row r="415">
      <x:c r="A415" s="295" t="n">
        <x:v>411</x:v>
      </x:c>
      <x:c r="B415" s="296" t="n">
        <x:v>4</x:v>
      </x:c>
      <x:c r="C415" s="296" t="n">
        <x:v>25</x:v>
      </x:c>
      <x:c r="D415" s="296" t="n">
        <x:v>27</x:v>
      </x:c>
      <x:c r="E415" s="296" t="n">
        <x:v>28</x:v>
      </x:c>
      <x:c r="F415" s="296" t="n">
        <x:v>50</x:v>
      </x:c>
      <x:c r="G415" s="296" t="n">
        <x:v>4</x:v>
      </x:c>
      <x:c r="H415" s="296" t="n">
        <x:v>5</x:v>
      </x:c>
      <x:c r="I415" s="296" t="n">
        <x:f>SUM(B415:F415)</x:f>
        <x:v>134</x:v>
      </x:c>
      <x:c r="J415" s="296" t="n">
        <x:f>MOD(B415,2)+MOD(C415,2)+MOD(D415,2)+MOD(E415,2)+MOD(F415,2)</x:f>
        <x:v>2</x:v>
      </x:c>
      <x:c r="K415" s="296" t="n">
        <x:f>COUNTIF(B415:F415,"&gt;31")</x:f>
        <x:v>1</x:v>
      </x:c>
      <x:c r="L415" s="336" t="n">
        <x:f>1/'Executive Summary'!$B$24</x:f>
        <x:v>7.1511238420185165e-9</x:v>
      </x:c>
      <x:c r="M415" s="342" t="n">
        <x:f>2.5</x:f>
        <x:v>2.5</x:v>
      </x:c>
      <x:c r="N415" s="288" t="str">
        <x:v>Conditional coverage wheel</x:v>
      </x:c>
    </x:row>
    <x:row r="416">
      <x:c r="A416" s="295" t="n">
        <x:v>412</x:v>
      </x:c>
      <x:c r="B416" s="296" t="n">
        <x:v>4</x:v>
      </x:c>
      <x:c r="C416" s="296" t="n">
        <x:v>25</x:v>
      </x:c>
      <x:c r="D416" s="296" t="n">
        <x:v>27</x:v>
      </x:c>
      <x:c r="E416" s="296" t="n">
        <x:v>28</x:v>
      </x:c>
      <x:c r="F416" s="296" t="n">
        <x:v>50</x:v>
      </x:c>
      <x:c r="G416" s="296" t="n">
        <x:v>4</x:v>
      </x:c>
      <x:c r="H416" s="296" t="n">
        <x:v>7</x:v>
      </x:c>
      <x:c r="I416" s="296" t="n">
        <x:f>SUM(B416:F416)</x:f>
        <x:v>134</x:v>
      </x:c>
      <x:c r="J416" s="296" t="n">
        <x:f>MOD(B416,2)+MOD(C416,2)+MOD(D416,2)+MOD(E416,2)+MOD(F416,2)</x:f>
        <x:v>2</x:v>
      </x:c>
      <x:c r="K416" s="296" t="n">
        <x:f>COUNTIF(B416:F416,"&gt;31")</x:f>
        <x:v>1</x:v>
      </x:c>
      <x:c r="L416" s="336" t="n">
        <x:f>1/'Executive Summary'!$B$24</x:f>
        <x:v>7.1511238420185165e-9</x:v>
      </x:c>
      <x:c r="M416" s="342" t="n">
        <x:f>2.5</x:f>
        <x:v>2.5</x:v>
      </x:c>
      <x:c r="N416" s="288" t="str">
        <x:v>Conditional coverage wheel</x:v>
      </x:c>
    </x:row>
    <x:row r="417">
      <x:c r="A417" s="295" t="n">
        <x:v>413</x:v>
      </x:c>
      <x:c r="B417" s="296" t="n">
        <x:v>4</x:v>
      </x:c>
      <x:c r="C417" s="296" t="n">
        <x:v>25</x:v>
      </x:c>
      <x:c r="D417" s="296" t="n">
        <x:v>27</x:v>
      </x:c>
      <x:c r="E417" s="296" t="n">
        <x:v>28</x:v>
      </x:c>
      <x:c r="F417" s="296" t="n">
        <x:v>50</x:v>
      </x:c>
      <x:c r="G417" s="296" t="n">
        <x:v>4</x:v>
      </x:c>
      <x:c r="H417" s="296" t="n">
        <x:v>8</x:v>
      </x:c>
      <x:c r="I417" s="296" t="n">
        <x:f>SUM(B417:F417)</x:f>
        <x:v>134</x:v>
      </x:c>
      <x:c r="J417" s="296" t="n">
        <x:f>MOD(B417,2)+MOD(C417,2)+MOD(D417,2)+MOD(E417,2)+MOD(F417,2)</x:f>
        <x:v>2</x:v>
      </x:c>
      <x:c r="K417" s="296" t="n">
        <x:f>COUNTIF(B417:F417,"&gt;31")</x:f>
        <x:v>1</x:v>
      </x:c>
      <x:c r="L417" s="336" t="n">
        <x:f>1/'Executive Summary'!$B$24</x:f>
        <x:v>7.1511238420185165e-9</x:v>
      </x:c>
      <x:c r="M417" s="342" t="n">
        <x:f>2.5</x:f>
        <x:v>2.5</x:v>
      </x:c>
      <x:c r="N417" s="288" t="str">
        <x:v>Conditional coverage wheel</x:v>
      </x:c>
    </x:row>
    <x:row r="418">
      <x:c r="A418" s="295" t="n">
        <x:v>414</x:v>
      </x:c>
      <x:c r="B418" s="296" t="n">
        <x:v>4</x:v>
      </x:c>
      <x:c r="C418" s="296" t="n">
        <x:v>25</x:v>
      </x:c>
      <x:c r="D418" s="296" t="n">
        <x:v>27</x:v>
      </x:c>
      <x:c r="E418" s="296" t="n">
        <x:v>28</x:v>
      </x:c>
      <x:c r="F418" s="296" t="n">
        <x:v>50</x:v>
      </x:c>
      <x:c r="G418" s="296" t="n">
        <x:v>4</x:v>
      </x:c>
      <x:c r="H418" s="296" t="n">
        <x:v>9</x:v>
      </x:c>
      <x:c r="I418" s="296" t="n">
        <x:f>SUM(B418:F418)</x:f>
        <x:v>134</x:v>
      </x:c>
      <x:c r="J418" s="296" t="n">
        <x:f>MOD(B418,2)+MOD(C418,2)+MOD(D418,2)+MOD(E418,2)+MOD(F418,2)</x:f>
        <x:v>2</x:v>
      </x:c>
      <x:c r="K418" s="296" t="n">
        <x:f>COUNTIF(B418:F418,"&gt;31")</x:f>
        <x:v>1</x:v>
      </x:c>
      <x:c r="L418" s="336" t="n">
        <x:f>1/'Executive Summary'!$B$24</x:f>
        <x:v>7.1511238420185165e-9</x:v>
      </x:c>
      <x:c r="M418" s="342" t="n">
        <x:f>2.5</x:f>
        <x:v>2.5</x:v>
      </x:c>
      <x:c r="N418" s="288" t="str">
        <x:v>Conditional coverage wheel</x:v>
      </x:c>
    </x:row>
    <x:row r="419">
      <x:c r="A419" s="295" t="n">
        <x:v>415</x:v>
      </x:c>
      <x:c r="B419" s="296" t="n">
        <x:v>4</x:v>
      </x:c>
      <x:c r="C419" s="296" t="n">
        <x:v>25</x:v>
      </x:c>
      <x:c r="D419" s="296" t="n">
        <x:v>27</x:v>
      </x:c>
      <x:c r="E419" s="296" t="n">
        <x:v>28</x:v>
      </x:c>
      <x:c r="F419" s="296" t="n">
        <x:v>50</x:v>
      </x:c>
      <x:c r="G419" s="296" t="n">
        <x:v>5</x:v>
      </x:c>
      <x:c r="H419" s="296" t="n">
        <x:v>7</x:v>
      </x:c>
      <x:c r="I419" s="296" t="n">
        <x:f>SUM(B419:F419)</x:f>
        <x:v>134</x:v>
      </x:c>
      <x:c r="J419" s="296" t="n">
        <x:f>MOD(B419,2)+MOD(C419,2)+MOD(D419,2)+MOD(E419,2)+MOD(F419,2)</x:f>
        <x:v>2</x:v>
      </x:c>
      <x:c r="K419" s="296" t="n">
        <x:f>COUNTIF(B419:F419,"&gt;31")</x:f>
        <x:v>1</x:v>
      </x:c>
      <x:c r="L419" s="336" t="n">
        <x:f>1/'Executive Summary'!$B$24</x:f>
        <x:v>7.1511238420185165e-9</x:v>
      </x:c>
      <x:c r="M419" s="342" t="n">
        <x:f>2.5</x:f>
        <x:v>2.5</x:v>
      </x:c>
      <x:c r="N419" s="288" t="str">
        <x:v>Conditional coverage wheel</x:v>
      </x:c>
    </x:row>
    <x:row r="420">
      <x:c r="A420" s="295" t="n">
        <x:v>416</x:v>
      </x:c>
      <x:c r="B420" s="296" t="n">
        <x:v>4</x:v>
      </x:c>
      <x:c r="C420" s="296" t="n">
        <x:v>25</x:v>
      </x:c>
      <x:c r="D420" s="296" t="n">
        <x:v>27</x:v>
      </x:c>
      <x:c r="E420" s="296" t="n">
        <x:v>28</x:v>
      </x:c>
      <x:c r="F420" s="296" t="n">
        <x:v>50</x:v>
      </x:c>
      <x:c r="G420" s="296" t="n">
        <x:v>5</x:v>
      </x:c>
      <x:c r="H420" s="296" t="n">
        <x:v>8</x:v>
      </x:c>
      <x:c r="I420" s="296" t="n">
        <x:f>SUM(B420:F420)</x:f>
        <x:v>134</x:v>
      </x:c>
      <x:c r="J420" s="296" t="n">
        <x:f>MOD(B420,2)+MOD(C420,2)+MOD(D420,2)+MOD(E420,2)+MOD(F420,2)</x:f>
        <x:v>2</x:v>
      </x:c>
      <x:c r="K420" s="296" t="n">
        <x:f>COUNTIF(B420:F420,"&gt;31")</x:f>
        <x:v>1</x:v>
      </x:c>
      <x:c r="L420" s="336" t="n">
        <x:f>1/'Executive Summary'!$B$24</x:f>
        <x:v>7.1511238420185165e-9</x:v>
      </x:c>
      <x:c r="M420" s="342" t="n">
        <x:f>2.5</x:f>
        <x:v>2.5</x:v>
      </x:c>
      <x:c r="N420" s="288" t="str">
        <x:v>Conditional coverage wheel</x:v>
      </x:c>
    </x:row>
    <x:row r="421">
      <x:c r="A421" s="295" t="n">
        <x:v>417</x:v>
      </x:c>
      <x:c r="B421" s="296" t="n">
        <x:v>4</x:v>
      </x:c>
      <x:c r="C421" s="296" t="n">
        <x:v>25</x:v>
      </x:c>
      <x:c r="D421" s="296" t="n">
        <x:v>27</x:v>
      </x:c>
      <x:c r="E421" s="296" t="n">
        <x:v>28</x:v>
      </x:c>
      <x:c r="F421" s="296" t="n">
        <x:v>50</x:v>
      </x:c>
      <x:c r="G421" s="296" t="n">
        <x:v>5</x:v>
      </x:c>
      <x:c r="H421" s="296" t="n">
        <x:v>9</x:v>
      </x:c>
      <x:c r="I421" s="296" t="n">
        <x:f>SUM(B421:F421)</x:f>
        <x:v>134</x:v>
      </x:c>
      <x:c r="J421" s="296" t="n">
        <x:f>MOD(B421,2)+MOD(C421,2)+MOD(D421,2)+MOD(E421,2)+MOD(F421,2)</x:f>
        <x:v>2</x:v>
      </x:c>
      <x:c r="K421" s="296" t="n">
        <x:f>COUNTIF(B421:F421,"&gt;31")</x:f>
        <x:v>1</x:v>
      </x:c>
      <x:c r="L421" s="336" t="n">
        <x:f>1/'Executive Summary'!$B$24</x:f>
        <x:v>7.1511238420185165e-9</x:v>
      </x:c>
      <x:c r="M421" s="342" t="n">
        <x:f>2.5</x:f>
        <x:v>2.5</x:v>
      </x:c>
      <x:c r="N421" s="288" t="str">
        <x:v>Conditional coverage wheel</x:v>
      </x:c>
    </x:row>
    <x:row r="422">
      <x:c r="A422" s="295" t="n">
        <x:v>418</x:v>
      </x:c>
      <x:c r="B422" s="296" t="n">
        <x:v>4</x:v>
      </x:c>
      <x:c r="C422" s="296" t="n">
        <x:v>25</x:v>
      </x:c>
      <x:c r="D422" s="296" t="n">
        <x:v>27</x:v>
      </x:c>
      <x:c r="E422" s="296" t="n">
        <x:v>28</x:v>
      </x:c>
      <x:c r="F422" s="296" t="n">
        <x:v>50</x:v>
      </x:c>
      <x:c r="G422" s="296" t="n">
        <x:v>7</x:v>
      </x:c>
      <x:c r="H422" s="296" t="n">
        <x:v>8</x:v>
      </x:c>
      <x:c r="I422" s="296" t="n">
        <x:f>SUM(B422:F422)</x:f>
        <x:v>134</x:v>
      </x:c>
      <x:c r="J422" s="296" t="n">
        <x:f>MOD(B422,2)+MOD(C422,2)+MOD(D422,2)+MOD(E422,2)+MOD(F422,2)</x:f>
        <x:v>2</x:v>
      </x:c>
      <x:c r="K422" s="296" t="n">
        <x:f>COUNTIF(B422:F422,"&gt;31")</x:f>
        <x:v>1</x:v>
      </x:c>
      <x:c r="L422" s="336" t="n">
        <x:f>1/'Executive Summary'!$B$24</x:f>
        <x:v>7.1511238420185165e-9</x:v>
      </x:c>
      <x:c r="M422" s="342" t="n">
        <x:f>2.5</x:f>
        <x:v>2.5</x:v>
      </x:c>
      <x:c r="N422" s="288" t="str">
        <x:v>Conditional coverage wheel</x:v>
      </x:c>
    </x:row>
    <x:row r="423">
      <x:c r="A423" s="295" t="n">
        <x:v>419</x:v>
      </x:c>
      <x:c r="B423" s="296" t="n">
        <x:v>4</x:v>
      </x:c>
      <x:c r="C423" s="296" t="n">
        <x:v>25</x:v>
      </x:c>
      <x:c r="D423" s="296" t="n">
        <x:v>27</x:v>
      </x:c>
      <x:c r="E423" s="296" t="n">
        <x:v>28</x:v>
      </x:c>
      <x:c r="F423" s="296" t="n">
        <x:v>50</x:v>
      </x:c>
      <x:c r="G423" s="296" t="n">
        <x:v>7</x:v>
      </x:c>
      <x:c r="H423" s="296" t="n">
        <x:v>9</x:v>
      </x:c>
      <x:c r="I423" s="296" t="n">
        <x:f>SUM(B423:F423)</x:f>
        <x:v>134</x:v>
      </x:c>
      <x:c r="J423" s="296" t="n">
        <x:f>MOD(B423,2)+MOD(C423,2)+MOD(D423,2)+MOD(E423,2)+MOD(F423,2)</x:f>
        <x:v>2</x:v>
      </x:c>
      <x:c r="K423" s="296" t="n">
        <x:f>COUNTIF(B423:F423,"&gt;31")</x:f>
        <x:v>1</x:v>
      </x:c>
      <x:c r="L423" s="336" t="n">
        <x:f>1/'Executive Summary'!$B$24</x:f>
        <x:v>7.1511238420185165e-9</x:v>
      </x:c>
      <x:c r="M423" s="342" t="n">
        <x:f>2.5</x:f>
        <x:v>2.5</x:v>
      </x:c>
      <x:c r="N423" s="288" t="str">
        <x:v>Conditional coverage wheel</x:v>
      </x:c>
    </x:row>
    <x:row r="424">
      <x:c r="A424" s="295" t="n">
        <x:v>420</x:v>
      </x:c>
      <x:c r="B424" s="296" t="n">
        <x:v>4</x:v>
      </x:c>
      <x:c r="C424" s="296" t="n">
        <x:v>25</x:v>
      </x:c>
      <x:c r="D424" s="296" t="n">
        <x:v>27</x:v>
      </x:c>
      <x:c r="E424" s="296" t="n">
        <x:v>28</x:v>
      </x:c>
      <x:c r="F424" s="296" t="n">
        <x:v>50</x:v>
      </x:c>
      <x:c r="G424" s="296" t="n">
        <x:v>8</x:v>
      </x:c>
      <x:c r="H424" s="296" t="n">
        <x:v>9</x:v>
      </x:c>
      <x:c r="I424" s="296" t="n">
        <x:f>SUM(B424:F424)</x:f>
        <x:v>134</x:v>
      </x:c>
      <x:c r="J424" s="296" t="n">
        <x:f>MOD(B424,2)+MOD(C424,2)+MOD(D424,2)+MOD(E424,2)+MOD(F424,2)</x:f>
        <x:v>2</x:v>
      </x:c>
      <x:c r="K424" s="296" t="n">
        <x:f>COUNTIF(B424:F424,"&gt;31")</x:f>
        <x:v>1</x:v>
      </x:c>
      <x:c r="L424" s="336" t="n">
        <x:f>1/'Executive Summary'!$B$24</x:f>
        <x:v>7.1511238420185165e-9</x:v>
      </x:c>
      <x:c r="M424" s="342" t="n">
        <x:f>2.5</x:f>
        <x:v>2.5</x:v>
      </x:c>
      <x:c r="N424" s="288" t="str">
        <x:v>Conditional coverage wheel</x:v>
      </x:c>
    </x:row>
    <x:row r="425">
      <x:c r="A425" s="295" t="n">
        <x:v>421</x:v>
      </x:c>
      <x:c r="B425" s="296" t="n">
        <x:v>4</x:v>
      </x:c>
      <x:c r="C425" s="296" t="n">
        <x:v>42</x:v>
      </x:c>
      <x:c r="D425" s="296" t="n">
        <x:v>44</x:v>
      </x:c>
      <x:c r="E425" s="296" t="n">
        <x:v>48</x:v>
      </x:c>
      <x:c r="F425" s="296" t="n">
        <x:v>50</x:v>
      </x:c>
      <x:c r="G425" s="296" t="n">
        <x:v>3</x:v>
      </x:c>
      <x:c r="H425" s="296" t="n">
        <x:v>4</x:v>
      </x:c>
      <x:c r="I425" s="296" t="n">
        <x:f>SUM(B425:F425)</x:f>
        <x:v>188</x:v>
      </x:c>
      <x:c r="J425" s="296" t="n">
        <x:f>MOD(B425,2)+MOD(C425,2)+MOD(D425,2)+MOD(E425,2)+MOD(F425,2)</x:f>
        <x:v>0</x:v>
      </x:c>
      <x:c r="K425" s="296" t="n">
        <x:f>COUNTIF(B425:F425,"&gt;31")</x:f>
        <x:v>4</x:v>
      </x:c>
      <x:c r="L425" s="336" t="n">
        <x:f>1/'Executive Summary'!$B$24</x:f>
        <x:v>7.1511238420185165e-9</x:v>
      </x:c>
      <x:c r="M425" s="342" t="n">
        <x:f>2.5</x:f>
        <x:v>2.5</x:v>
      </x:c>
      <x:c r="N425" s="288" t="str">
        <x:v>Conditional coverage wheel</x:v>
      </x:c>
    </x:row>
    <x:row r="426">
      <x:c r="A426" s="295" t="n">
        <x:v>422</x:v>
      </x:c>
      <x:c r="B426" s="296" t="n">
        <x:v>4</x:v>
      </x:c>
      <x:c r="C426" s="296" t="n">
        <x:v>42</x:v>
      </x:c>
      <x:c r="D426" s="296" t="n">
        <x:v>44</x:v>
      </x:c>
      <x:c r="E426" s="296" t="n">
        <x:v>48</x:v>
      </x:c>
      <x:c r="F426" s="296" t="n">
        <x:v>50</x:v>
      </x:c>
      <x:c r="G426" s="296" t="n">
        <x:v>3</x:v>
      </x:c>
      <x:c r="H426" s="296" t="n">
        <x:v>5</x:v>
      </x:c>
      <x:c r="I426" s="296" t="n">
        <x:f>SUM(B426:F426)</x:f>
        <x:v>188</x:v>
      </x:c>
      <x:c r="J426" s="296" t="n">
        <x:f>MOD(B426,2)+MOD(C426,2)+MOD(D426,2)+MOD(E426,2)+MOD(F426,2)</x:f>
        <x:v>0</x:v>
      </x:c>
      <x:c r="K426" s="296" t="n">
        <x:f>COUNTIF(B426:F426,"&gt;31")</x:f>
        <x:v>4</x:v>
      </x:c>
      <x:c r="L426" s="336" t="n">
        <x:f>1/'Executive Summary'!$B$24</x:f>
        <x:v>7.1511238420185165e-9</x:v>
      </x:c>
      <x:c r="M426" s="342" t="n">
        <x:f>2.5</x:f>
        <x:v>2.5</x:v>
      </x:c>
      <x:c r="N426" s="288" t="str">
        <x:v>Conditional coverage wheel</x:v>
      </x:c>
    </x:row>
    <x:row r="427">
      <x:c r="A427" s="295" t="n">
        <x:v>423</x:v>
      </x:c>
      <x:c r="B427" s="296" t="n">
        <x:v>4</x:v>
      </x:c>
      <x:c r="C427" s="296" t="n">
        <x:v>42</x:v>
      </x:c>
      <x:c r="D427" s="296" t="n">
        <x:v>44</x:v>
      </x:c>
      <x:c r="E427" s="296" t="n">
        <x:v>48</x:v>
      </x:c>
      <x:c r="F427" s="296" t="n">
        <x:v>50</x:v>
      </x:c>
      <x:c r="G427" s="296" t="n">
        <x:v>3</x:v>
      </x:c>
      <x:c r="H427" s="296" t="n">
        <x:v>7</x:v>
      </x:c>
      <x:c r="I427" s="296" t="n">
        <x:f>SUM(B427:F427)</x:f>
        <x:v>188</x:v>
      </x:c>
      <x:c r="J427" s="296" t="n">
        <x:f>MOD(B427,2)+MOD(C427,2)+MOD(D427,2)+MOD(E427,2)+MOD(F427,2)</x:f>
        <x:v>0</x:v>
      </x:c>
      <x:c r="K427" s="296" t="n">
        <x:f>COUNTIF(B427:F427,"&gt;31")</x:f>
        <x:v>4</x:v>
      </x:c>
      <x:c r="L427" s="336" t="n">
        <x:f>1/'Executive Summary'!$B$24</x:f>
        <x:v>7.1511238420185165e-9</x:v>
      </x:c>
      <x:c r="M427" s="342" t="n">
        <x:f>2.5</x:f>
        <x:v>2.5</x:v>
      </x:c>
      <x:c r="N427" s="288" t="str">
        <x:v>Conditional coverage wheel</x:v>
      </x:c>
    </x:row>
    <x:row r="428">
      <x:c r="A428" s="295" t="n">
        <x:v>424</x:v>
      </x:c>
      <x:c r="B428" s="296" t="n">
        <x:v>4</x:v>
      </x:c>
      <x:c r="C428" s="296" t="n">
        <x:v>42</x:v>
      </x:c>
      <x:c r="D428" s="296" t="n">
        <x:v>44</x:v>
      </x:c>
      <x:c r="E428" s="296" t="n">
        <x:v>48</x:v>
      </x:c>
      <x:c r="F428" s="296" t="n">
        <x:v>50</x:v>
      </x:c>
      <x:c r="G428" s="296" t="n">
        <x:v>3</x:v>
      </x:c>
      <x:c r="H428" s="296" t="n">
        <x:v>8</x:v>
      </x:c>
      <x:c r="I428" s="296" t="n">
        <x:f>SUM(B428:F428)</x:f>
        <x:v>188</x:v>
      </x:c>
      <x:c r="J428" s="296" t="n">
        <x:f>MOD(B428,2)+MOD(C428,2)+MOD(D428,2)+MOD(E428,2)+MOD(F428,2)</x:f>
        <x:v>0</x:v>
      </x:c>
      <x:c r="K428" s="296" t="n">
        <x:f>COUNTIF(B428:F428,"&gt;31")</x:f>
        <x:v>4</x:v>
      </x:c>
      <x:c r="L428" s="336" t="n">
        <x:f>1/'Executive Summary'!$B$24</x:f>
        <x:v>7.1511238420185165e-9</x:v>
      </x:c>
      <x:c r="M428" s="342" t="n">
        <x:f>2.5</x:f>
        <x:v>2.5</x:v>
      </x:c>
      <x:c r="N428" s="288" t="str">
        <x:v>Conditional coverage wheel</x:v>
      </x:c>
    </x:row>
    <x:row r="429">
      <x:c r="A429" s="295" t="n">
        <x:v>425</x:v>
      </x:c>
      <x:c r="B429" s="296" t="n">
        <x:v>4</x:v>
      </x:c>
      <x:c r="C429" s="296" t="n">
        <x:v>42</x:v>
      </x:c>
      <x:c r="D429" s="296" t="n">
        <x:v>44</x:v>
      </x:c>
      <x:c r="E429" s="296" t="n">
        <x:v>48</x:v>
      </x:c>
      <x:c r="F429" s="296" t="n">
        <x:v>50</x:v>
      </x:c>
      <x:c r="G429" s="296" t="n">
        <x:v>3</x:v>
      </x:c>
      <x:c r="H429" s="296" t="n">
        <x:v>9</x:v>
      </x:c>
      <x:c r="I429" s="296" t="n">
        <x:f>SUM(B429:F429)</x:f>
        <x:v>188</x:v>
      </x:c>
      <x:c r="J429" s="296" t="n">
        <x:f>MOD(B429,2)+MOD(C429,2)+MOD(D429,2)+MOD(E429,2)+MOD(F429,2)</x:f>
        <x:v>0</x:v>
      </x:c>
      <x:c r="K429" s="296" t="n">
        <x:f>COUNTIF(B429:F429,"&gt;31")</x:f>
        <x:v>4</x:v>
      </x:c>
      <x:c r="L429" s="336" t="n">
        <x:f>1/'Executive Summary'!$B$24</x:f>
        <x:v>7.1511238420185165e-9</x:v>
      </x:c>
      <x:c r="M429" s="342" t="n">
        <x:f>2.5</x:f>
        <x:v>2.5</x:v>
      </x:c>
      <x:c r="N429" s="288" t="str">
        <x:v>Conditional coverage wheel</x:v>
      </x:c>
    </x:row>
    <x:row r="430">
      <x:c r="A430" s="295" t="n">
        <x:v>426</x:v>
      </x:c>
      <x:c r="B430" s="296" t="n">
        <x:v>4</x:v>
      </x:c>
      <x:c r="C430" s="296" t="n">
        <x:v>42</x:v>
      </x:c>
      <x:c r="D430" s="296" t="n">
        <x:v>44</x:v>
      </x:c>
      <x:c r="E430" s="296" t="n">
        <x:v>48</x:v>
      </x:c>
      <x:c r="F430" s="296" t="n">
        <x:v>50</x:v>
      </x:c>
      <x:c r="G430" s="296" t="n">
        <x:v>4</x:v>
      </x:c>
      <x:c r="H430" s="296" t="n">
        <x:v>5</x:v>
      </x:c>
      <x:c r="I430" s="296" t="n">
        <x:f>SUM(B430:F430)</x:f>
        <x:v>188</x:v>
      </x:c>
      <x:c r="J430" s="296" t="n">
        <x:f>MOD(B430,2)+MOD(C430,2)+MOD(D430,2)+MOD(E430,2)+MOD(F430,2)</x:f>
        <x:v>0</x:v>
      </x:c>
      <x:c r="K430" s="296" t="n">
        <x:f>COUNTIF(B430:F430,"&gt;31")</x:f>
        <x:v>4</x:v>
      </x:c>
      <x:c r="L430" s="336" t="n">
        <x:f>1/'Executive Summary'!$B$24</x:f>
        <x:v>7.1511238420185165e-9</x:v>
      </x:c>
      <x:c r="M430" s="342" t="n">
        <x:f>2.5</x:f>
        <x:v>2.5</x:v>
      </x:c>
      <x:c r="N430" s="288" t="str">
        <x:v>Conditional coverage wheel</x:v>
      </x:c>
    </x:row>
    <x:row r="431">
      <x:c r="A431" s="295" t="n">
        <x:v>427</x:v>
      </x:c>
      <x:c r="B431" s="296" t="n">
        <x:v>4</x:v>
      </x:c>
      <x:c r="C431" s="296" t="n">
        <x:v>42</x:v>
      </x:c>
      <x:c r="D431" s="296" t="n">
        <x:v>44</x:v>
      </x:c>
      <x:c r="E431" s="296" t="n">
        <x:v>48</x:v>
      </x:c>
      <x:c r="F431" s="296" t="n">
        <x:v>50</x:v>
      </x:c>
      <x:c r="G431" s="296" t="n">
        <x:v>4</x:v>
      </x:c>
      <x:c r="H431" s="296" t="n">
        <x:v>7</x:v>
      </x:c>
      <x:c r="I431" s="296" t="n">
        <x:f>SUM(B431:F431)</x:f>
        <x:v>188</x:v>
      </x:c>
      <x:c r="J431" s="296" t="n">
        <x:f>MOD(B431,2)+MOD(C431,2)+MOD(D431,2)+MOD(E431,2)+MOD(F431,2)</x:f>
        <x:v>0</x:v>
      </x:c>
      <x:c r="K431" s="296" t="n">
        <x:f>COUNTIF(B431:F431,"&gt;31")</x:f>
        <x:v>4</x:v>
      </x:c>
      <x:c r="L431" s="336" t="n">
        <x:f>1/'Executive Summary'!$B$24</x:f>
        <x:v>7.1511238420185165e-9</x:v>
      </x:c>
      <x:c r="M431" s="342" t="n">
        <x:f>2.5</x:f>
        <x:v>2.5</x:v>
      </x:c>
      <x:c r="N431" s="288" t="str">
        <x:v>Conditional coverage wheel</x:v>
      </x:c>
    </x:row>
    <x:row r="432">
      <x:c r="A432" s="295" t="n">
        <x:v>428</x:v>
      </x:c>
      <x:c r="B432" s="296" t="n">
        <x:v>4</x:v>
      </x:c>
      <x:c r="C432" s="296" t="n">
        <x:v>42</x:v>
      </x:c>
      <x:c r="D432" s="296" t="n">
        <x:v>44</x:v>
      </x:c>
      <x:c r="E432" s="296" t="n">
        <x:v>48</x:v>
      </x:c>
      <x:c r="F432" s="296" t="n">
        <x:v>50</x:v>
      </x:c>
      <x:c r="G432" s="296" t="n">
        <x:v>4</x:v>
      </x:c>
      <x:c r="H432" s="296" t="n">
        <x:v>8</x:v>
      </x:c>
      <x:c r="I432" s="296" t="n">
        <x:f>SUM(B432:F432)</x:f>
        <x:v>188</x:v>
      </x:c>
      <x:c r="J432" s="296" t="n">
        <x:f>MOD(B432,2)+MOD(C432,2)+MOD(D432,2)+MOD(E432,2)+MOD(F432,2)</x:f>
        <x:v>0</x:v>
      </x:c>
      <x:c r="K432" s="296" t="n">
        <x:f>COUNTIF(B432:F432,"&gt;31")</x:f>
        <x:v>4</x:v>
      </x:c>
      <x:c r="L432" s="336" t="n">
        <x:f>1/'Executive Summary'!$B$24</x:f>
        <x:v>7.1511238420185165e-9</x:v>
      </x:c>
      <x:c r="M432" s="342" t="n">
        <x:f>2.5</x:f>
        <x:v>2.5</x:v>
      </x:c>
      <x:c r="N432" s="288" t="str">
        <x:v>Conditional coverage wheel</x:v>
      </x:c>
    </x:row>
    <x:row r="433">
      <x:c r="A433" s="295" t="n">
        <x:v>429</x:v>
      </x:c>
      <x:c r="B433" s="296" t="n">
        <x:v>4</x:v>
      </x:c>
      <x:c r="C433" s="296" t="n">
        <x:v>42</x:v>
      </x:c>
      <x:c r="D433" s="296" t="n">
        <x:v>44</x:v>
      </x:c>
      <x:c r="E433" s="296" t="n">
        <x:v>48</x:v>
      </x:c>
      <x:c r="F433" s="296" t="n">
        <x:v>50</x:v>
      </x:c>
      <x:c r="G433" s="296" t="n">
        <x:v>4</x:v>
      </x:c>
      <x:c r="H433" s="296" t="n">
        <x:v>9</x:v>
      </x:c>
      <x:c r="I433" s="296" t="n">
        <x:f>SUM(B433:F433)</x:f>
        <x:v>188</x:v>
      </x:c>
      <x:c r="J433" s="296" t="n">
        <x:f>MOD(B433,2)+MOD(C433,2)+MOD(D433,2)+MOD(E433,2)+MOD(F433,2)</x:f>
        <x:v>0</x:v>
      </x:c>
      <x:c r="K433" s="296" t="n">
        <x:f>COUNTIF(B433:F433,"&gt;31")</x:f>
        <x:v>4</x:v>
      </x:c>
      <x:c r="L433" s="336" t="n">
        <x:f>1/'Executive Summary'!$B$24</x:f>
        <x:v>7.1511238420185165e-9</x:v>
      </x:c>
      <x:c r="M433" s="342" t="n">
        <x:f>2.5</x:f>
        <x:v>2.5</x:v>
      </x:c>
      <x:c r="N433" s="288" t="str">
        <x:v>Conditional coverage wheel</x:v>
      </x:c>
    </x:row>
    <x:row r="434">
      <x:c r="A434" s="295" t="n">
        <x:v>430</x:v>
      </x:c>
      <x:c r="B434" s="296" t="n">
        <x:v>4</x:v>
      </x:c>
      <x:c r="C434" s="296" t="n">
        <x:v>42</x:v>
      </x:c>
      <x:c r="D434" s="296" t="n">
        <x:v>44</x:v>
      </x:c>
      <x:c r="E434" s="296" t="n">
        <x:v>48</x:v>
      </x:c>
      <x:c r="F434" s="296" t="n">
        <x:v>50</x:v>
      </x:c>
      <x:c r="G434" s="296" t="n">
        <x:v>5</x:v>
      </x:c>
      <x:c r="H434" s="296" t="n">
        <x:v>7</x:v>
      </x:c>
      <x:c r="I434" s="296" t="n">
        <x:f>SUM(B434:F434)</x:f>
        <x:v>188</x:v>
      </x:c>
      <x:c r="J434" s="296" t="n">
        <x:f>MOD(B434,2)+MOD(C434,2)+MOD(D434,2)+MOD(E434,2)+MOD(F434,2)</x:f>
        <x:v>0</x:v>
      </x:c>
      <x:c r="K434" s="296" t="n">
        <x:f>COUNTIF(B434:F434,"&gt;31")</x:f>
        <x:v>4</x:v>
      </x:c>
      <x:c r="L434" s="336" t="n">
        <x:f>1/'Executive Summary'!$B$24</x:f>
        <x:v>7.1511238420185165e-9</x:v>
      </x:c>
      <x:c r="M434" s="342" t="n">
        <x:f>2.5</x:f>
        <x:v>2.5</x:v>
      </x:c>
      <x:c r="N434" s="288" t="str">
        <x:v>Conditional coverage wheel</x:v>
      </x:c>
    </x:row>
    <x:row r="435">
      <x:c r="A435" s="295" t="n">
        <x:v>431</x:v>
      </x:c>
      <x:c r="B435" s="296" t="n">
        <x:v>4</x:v>
      </x:c>
      <x:c r="C435" s="296" t="n">
        <x:v>42</x:v>
      </x:c>
      <x:c r="D435" s="296" t="n">
        <x:v>44</x:v>
      </x:c>
      <x:c r="E435" s="296" t="n">
        <x:v>48</x:v>
      </x:c>
      <x:c r="F435" s="296" t="n">
        <x:v>50</x:v>
      </x:c>
      <x:c r="G435" s="296" t="n">
        <x:v>5</x:v>
      </x:c>
      <x:c r="H435" s="296" t="n">
        <x:v>8</x:v>
      </x:c>
      <x:c r="I435" s="296" t="n">
        <x:f>SUM(B435:F435)</x:f>
        <x:v>188</x:v>
      </x:c>
      <x:c r="J435" s="296" t="n">
        <x:f>MOD(B435,2)+MOD(C435,2)+MOD(D435,2)+MOD(E435,2)+MOD(F435,2)</x:f>
        <x:v>0</x:v>
      </x:c>
      <x:c r="K435" s="296" t="n">
        <x:f>COUNTIF(B435:F435,"&gt;31")</x:f>
        <x:v>4</x:v>
      </x:c>
      <x:c r="L435" s="336" t="n">
        <x:f>1/'Executive Summary'!$B$24</x:f>
        <x:v>7.1511238420185165e-9</x:v>
      </x:c>
      <x:c r="M435" s="342" t="n">
        <x:f>2.5</x:f>
        <x:v>2.5</x:v>
      </x:c>
      <x:c r="N435" s="288" t="str">
        <x:v>Conditional coverage wheel</x:v>
      </x:c>
    </x:row>
    <x:row r="436">
      <x:c r="A436" s="295" t="n">
        <x:v>432</x:v>
      </x:c>
      <x:c r="B436" s="296" t="n">
        <x:v>4</x:v>
      </x:c>
      <x:c r="C436" s="296" t="n">
        <x:v>42</x:v>
      </x:c>
      <x:c r="D436" s="296" t="n">
        <x:v>44</x:v>
      </x:c>
      <x:c r="E436" s="296" t="n">
        <x:v>48</x:v>
      </x:c>
      <x:c r="F436" s="296" t="n">
        <x:v>50</x:v>
      </x:c>
      <x:c r="G436" s="296" t="n">
        <x:v>5</x:v>
      </x:c>
      <x:c r="H436" s="296" t="n">
        <x:v>9</x:v>
      </x:c>
      <x:c r="I436" s="296" t="n">
        <x:f>SUM(B436:F436)</x:f>
        <x:v>188</x:v>
      </x:c>
      <x:c r="J436" s="296" t="n">
        <x:f>MOD(B436,2)+MOD(C436,2)+MOD(D436,2)+MOD(E436,2)+MOD(F436,2)</x:f>
        <x:v>0</x:v>
      </x:c>
      <x:c r="K436" s="296" t="n">
        <x:f>COUNTIF(B436:F436,"&gt;31")</x:f>
        <x:v>4</x:v>
      </x:c>
      <x:c r="L436" s="336" t="n">
        <x:f>1/'Executive Summary'!$B$24</x:f>
        <x:v>7.1511238420185165e-9</x:v>
      </x:c>
      <x:c r="M436" s="342" t="n">
        <x:f>2.5</x:f>
        <x:v>2.5</x:v>
      </x:c>
      <x:c r="N436" s="288" t="str">
        <x:v>Conditional coverage wheel</x:v>
      </x:c>
    </x:row>
    <x:row r="437">
      <x:c r="A437" s="295" t="n">
        <x:v>433</x:v>
      </x:c>
      <x:c r="B437" s="296" t="n">
        <x:v>4</x:v>
      </x:c>
      <x:c r="C437" s="296" t="n">
        <x:v>42</x:v>
      </x:c>
      <x:c r="D437" s="296" t="n">
        <x:v>44</x:v>
      </x:c>
      <x:c r="E437" s="296" t="n">
        <x:v>48</x:v>
      </x:c>
      <x:c r="F437" s="296" t="n">
        <x:v>50</x:v>
      </x:c>
      <x:c r="G437" s="296" t="n">
        <x:v>7</x:v>
      </x:c>
      <x:c r="H437" s="296" t="n">
        <x:v>8</x:v>
      </x:c>
      <x:c r="I437" s="296" t="n">
        <x:f>SUM(B437:F437)</x:f>
        <x:v>188</x:v>
      </x:c>
      <x:c r="J437" s="296" t="n">
        <x:f>MOD(B437,2)+MOD(C437,2)+MOD(D437,2)+MOD(E437,2)+MOD(F437,2)</x:f>
        <x:v>0</x:v>
      </x:c>
      <x:c r="K437" s="296" t="n">
        <x:f>COUNTIF(B437:F437,"&gt;31")</x:f>
        <x:v>4</x:v>
      </x:c>
      <x:c r="L437" s="336" t="n">
        <x:f>1/'Executive Summary'!$B$24</x:f>
        <x:v>7.1511238420185165e-9</x:v>
      </x:c>
      <x:c r="M437" s="342" t="n">
        <x:f>2.5</x:f>
        <x:v>2.5</x:v>
      </x:c>
      <x:c r="N437" s="288" t="str">
        <x:v>Conditional coverage wheel</x:v>
      </x:c>
    </x:row>
    <x:row r="438">
      <x:c r="A438" s="295" t="n">
        <x:v>434</x:v>
      </x:c>
      <x:c r="B438" s="296" t="n">
        <x:v>4</x:v>
      </x:c>
      <x:c r="C438" s="296" t="n">
        <x:v>42</x:v>
      </x:c>
      <x:c r="D438" s="296" t="n">
        <x:v>44</x:v>
      </x:c>
      <x:c r="E438" s="296" t="n">
        <x:v>48</x:v>
      </x:c>
      <x:c r="F438" s="296" t="n">
        <x:v>50</x:v>
      </x:c>
      <x:c r="G438" s="296" t="n">
        <x:v>7</x:v>
      </x:c>
      <x:c r="H438" s="296" t="n">
        <x:v>9</x:v>
      </x:c>
      <x:c r="I438" s="296" t="n">
        <x:f>SUM(B438:F438)</x:f>
        <x:v>188</x:v>
      </x:c>
      <x:c r="J438" s="296" t="n">
        <x:f>MOD(B438,2)+MOD(C438,2)+MOD(D438,2)+MOD(E438,2)+MOD(F438,2)</x:f>
        <x:v>0</x:v>
      </x:c>
      <x:c r="K438" s="296" t="n">
        <x:f>COUNTIF(B438:F438,"&gt;31")</x:f>
        <x:v>4</x:v>
      </x:c>
      <x:c r="L438" s="336" t="n">
        <x:f>1/'Executive Summary'!$B$24</x:f>
        <x:v>7.1511238420185165e-9</x:v>
      </x:c>
      <x:c r="M438" s="342" t="n">
        <x:f>2.5</x:f>
        <x:v>2.5</x:v>
      </x:c>
      <x:c r="N438" s="288" t="str">
        <x:v>Conditional coverage wheel</x:v>
      </x:c>
    </x:row>
    <x:row r="439">
      <x:c r="A439" s="295" t="n">
        <x:v>435</x:v>
      </x:c>
      <x:c r="B439" s="296" t="n">
        <x:v>4</x:v>
      </x:c>
      <x:c r="C439" s="296" t="n">
        <x:v>42</x:v>
      </x:c>
      <x:c r="D439" s="296" t="n">
        <x:v>44</x:v>
      </x:c>
      <x:c r="E439" s="296" t="n">
        <x:v>48</x:v>
      </x:c>
      <x:c r="F439" s="296" t="n">
        <x:v>50</x:v>
      </x:c>
      <x:c r="G439" s="296" t="n">
        <x:v>8</x:v>
      </x:c>
      <x:c r="H439" s="296" t="n">
        <x:v>9</x:v>
      </x:c>
      <x:c r="I439" s="296" t="n">
        <x:f>SUM(B439:F439)</x:f>
        <x:v>188</x:v>
      </x:c>
      <x:c r="J439" s="296" t="n">
        <x:f>MOD(B439,2)+MOD(C439,2)+MOD(D439,2)+MOD(E439,2)+MOD(F439,2)</x:f>
        <x:v>0</x:v>
      </x:c>
      <x:c r="K439" s="296" t="n">
        <x:f>COUNTIF(B439:F439,"&gt;31")</x:f>
        <x:v>4</x:v>
      </x:c>
      <x:c r="L439" s="336" t="n">
        <x:f>1/'Executive Summary'!$B$24</x:f>
        <x:v>7.1511238420185165e-9</x:v>
      </x:c>
      <x:c r="M439" s="342" t="n">
        <x:f>2.5</x:f>
        <x:v>2.5</x:v>
      </x:c>
      <x:c r="N439" s="288" t="str">
        <x:v>Conditional coverage wheel</x:v>
      </x:c>
    </x:row>
    <x:row r="440">
      <x:c r="A440" s="295" t="n">
        <x:v>436</x:v>
      </x:c>
      <x:c r="B440" s="296" t="n">
        <x:v>4</x:v>
      </x:c>
      <x:c r="C440" s="296" t="n">
        <x:v>21</x:v>
      </x:c>
      <x:c r="D440" s="296" t="n">
        <x:v>25</x:v>
      </x:c>
      <x:c r="E440" s="296" t="n">
        <x:v>36</x:v>
      </x:c>
      <x:c r="F440" s="296" t="n">
        <x:v>42</x:v>
      </x:c>
      <x:c r="G440" s="296" t="n">
        <x:v>3</x:v>
      </x:c>
      <x:c r="H440" s="296" t="n">
        <x:v>4</x:v>
      </x:c>
      <x:c r="I440" s="296" t="n">
        <x:f>SUM(B440:F440)</x:f>
        <x:v>128</x:v>
      </x:c>
      <x:c r="J440" s="296" t="n">
        <x:f>MOD(B440,2)+MOD(C440,2)+MOD(D440,2)+MOD(E440,2)+MOD(F440,2)</x:f>
        <x:v>2</x:v>
      </x:c>
      <x:c r="K440" s="296" t="n">
        <x:f>COUNTIF(B440:F440,"&gt;31")</x:f>
        <x:v>2</x:v>
      </x:c>
      <x:c r="L440" s="336" t="n">
        <x:f>1/'Executive Summary'!$B$24</x:f>
        <x:v>7.1511238420185165e-9</x:v>
      </x:c>
      <x:c r="M440" s="342" t="n">
        <x:f>2.5</x:f>
        <x:v>2.5</x:v>
      </x:c>
      <x:c r="N440" s="288" t="str">
        <x:v>Conditional coverage wheel</x:v>
      </x:c>
    </x:row>
    <x:row r="441">
      <x:c r="A441" s="295" t="n">
        <x:v>437</x:v>
      </x:c>
      <x:c r="B441" s="296" t="n">
        <x:v>4</x:v>
      </x:c>
      <x:c r="C441" s="296" t="n">
        <x:v>21</x:v>
      </x:c>
      <x:c r="D441" s="296" t="n">
        <x:v>25</x:v>
      </x:c>
      <x:c r="E441" s="296" t="n">
        <x:v>36</x:v>
      </x:c>
      <x:c r="F441" s="296" t="n">
        <x:v>42</x:v>
      </x:c>
      <x:c r="G441" s="296" t="n">
        <x:v>3</x:v>
      </x:c>
      <x:c r="H441" s="296" t="n">
        <x:v>5</x:v>
      </x:c>
      <x:c r="I441" s="296" t="n">
        <x:f>SUM(B441:F441)</x:f>
        <x:v>128</x:v>
      </x:c>
      <x:c r="J441" s="296" t="n">
        <x:f>MOD(B441,2)+MOD(C441,2)+MOD(D441,2)+MOD(E441,2)+MOD(F441,2)</x:f>
        <x:v>2</x:v>
      </x:c>
      <x:c r="K441" s="296" t="n">
        <x:f>COUNTIF(B441:F441,"&gt;31")</x:f>
        <x:v>2</x:v>
      </x:c>
      <x:c r="L441" s="336" t="n">
        <x:f>1/'Executive Summary'!$B$24</x:f>
        <x:v>7.1511238420185165e-9</x:v>
      </x:c>
      <x:c r="M441" s="342" t="n">
        <x:f>2.5</x:f>
        <x:v>2.5</x:v>
      </x:c>
      <x:c r="N441" s="288" t="str">
        <x:v>Conditional coverage wheel</x:v>
      </x:c>
    </x:row>
    <x:row r="442">
      <x:c r="A442" s="295" t="n">
        <x:v>438</x:v>
      </x:c>
      <x:c r="B442" s="296" t="n">
        <x:v>4</x:v>
      </x:c>
      <x:c r="C442" s="296" t="n">
        <x:v>21</x:v>
      </x:c>
      <x:c r="D442" s="296" t="n">
        <x:v>25</x:v>
      </x:c>
      <x:c r="E442" s="296" t="n">
        <x:v>36</x:v>
      </x:c>
      <x:c r="F442" s="296" t="n">
        <x:v>42</x:v>
      </x:c>
      <x:c r="G442" s="296" t="n">
        <x:v>3</x:v>
      </x:c>
      <x:c r="H442" s="296" t="n">
        <x:v>7</x:v>
      </x:c>
      <x:c r="I442" s="296" t="n">
        <x:f>SUM(B442:F442)</x:f>
        <x:v>128</x:v>
      </x:c>
      <x:c r="J442" s="296" t="n">
        <x:f>MOD(B442,2)+MOD(C442,2)+MOD(D442,2)+MOD(E442,2)+MOD(F442,2)</x:f>
        <x:v>2</x:v>
      </x:c>
      <x:c r="K442" s="296" t="n">
        <x:f>COUNTIF(B442:F442,"&gt;31")</x:f>
        <x:v>2</x:v>
      </x:c>
      <x:c r="L442" s="336" t="n">
        <x:f>1/'Executive Summary'!$B$24</x:f>
        <x:v>7.1511238420185165e-9</x:v>
      </x:c>
      <x:c r="M442" s="342" t="n">
        <x:f>2.5</x:f>
        <x:v>2.5</x:v>
      </x:c>
      <x:c r="N442" s="288" t="str">
        <x:v>Conditional coverage wheel</x:v>
      </x:c>
    </x:row>
    <x:row r="443">
      <x:c r="A443" s="295" t="n">
        <x:v>439</x:v>
      </x:c>
      <x:c r="B443" s="296" t="n">
        <x:v>4</x:v>
      </x:c>
      <x:c r="C443" s="296" t="n">
        <x:v>21</x:v>
      </x:c>
      <x:c r="D443" s="296" t="n">
        <x:v>25</x:v>
      </x:c>
      <x:c r="E443" s="296" t="n">
        <x:v>36</x:v>
      </x:c>
      <x:c r="F443" s="296" t="n">
        <x:v>42</x:v>
      </x:c>
      <x:c r="G443" s="296" t="n">
        <x:v>3</x:v>
      </x:c>
      <x:c r="H443" s="296" t="n">
        <x:v>8</x:v>
      </x:c>
      <x:c r="I443" s="296" t="n">
        <x:f>SUM(B443:F443)</x:f>
        <x:v>128</x:v>
      </x:c>
      <x:c r="J443" s="296" t="n">
        <x:f>MOD(B443,2)+MOD(C443,2)+MOD(D443,2)+MOD(E443,2)+MOD(F443,2)</x:f>
        <x:v>2</x:v>
      </x:c>
      <x:c r="K443" s="296" t="n">
        <x:f>COUNTIF(B443:F443,"&gt;31")</x:f>
        <x:v>2</x:v>
      </x:c>
      <x:c r="L443" s="336" t="n">
        <x:f>1/'Executive Summary'!$B$24</x:f>
        <x:v>7.1511238420185165e-9</x:v>
      </x:c>
      <x:c r="M443" s="342" t="n">
        <x:f>2.5</x:f>
        <x:v>2.5</x:v>
      </x:c>
      <x:c r="N443" s="288" t="str">
        <x:v>Conditional coverage wheel</x:v>
      </x:c>
    </x:row>
    <x:row r="444">
      <x:c r="A444" s="295" t="n">
        <x:v>440</x:v>
      </x:c>
      <x:c r="B444" s="296" t="n">
        <x:v>4</x:v>
      </x:c>
      <x:c r="C444" s="296" t="n">
        <x:v>21</x:v>
      </x:c>
      <x:c r="D444" s="296" t="n">
        <x:v>25</x:v>
      </x:c>
      <x:c r="E444" s="296" t="n">
        <x:v>36</x:v>
      </x:c>
      <x:c r="F444" s="296" t="n">
        <x:v>42</x:v>
      </x:c>
      <x:c r="G444" s="296" t="n">
        <x:v>3</x:v>
      </x:c>
      <x:c r="H444" s="296" t="n">
        <x:v>9</x:v>
      </x:c>
      <x:c r="I444" s="296" t="n">
        <x:f>SUM(B444:F444)</x:f>
        <x:v>128</x:v>
      </x:c>
      <x:c r="J444" s="296" t="n">
        <x:f>MOD(B444,2)+MOD(C444,2)+MOD(D444,2)+MOD(E444,2)+MOD(F444,2)</x:f>
        <x:v>2</x:v>
      </x:c>
      <x:c r="K444" s="296" t="n">
        <x:f>COUNTIF(B444:F444,"&gt;31")</x:f>
        <x:v>2</x:v>
      </x:c>
      <x:c r="L444" s="336" t="n">
        <x:f>1/'Executive Summary'!$B$24</x:f>
        <x:v>7.1511238420185165e-9</x:v>
      </x:c>
      <x:c r="M444" s="342" t="n">
        <x:f>2.5</x:f>
        <x:v>2.5</x:v>
      </x:c>
      <x:c r="N444" s="288" t="str">
        <x:v>Conditional coverage wheel</x:v>
      </x:c>
    </x:row>
    <x:row r="445">
      <x:c r="A445" s="295" t="n">
        <x:v>441</x:v>
      </x:c>
      <x:c r="B445" s="296" t="n">
        <x:v>4</x:v>
      </x:c>
      <x:c r="C445" s="296" t="n">
        <x:v>21</x:v>
      </x:c>
      <x:c r="D445" s="296" t="n">
        <x:v>25</x:v>
      </x:c>
      <x:c r="E445" s="296" t="n">
        <x:v>36</x:v>
      </x:c>
      <x:c r="F445" s="296" t="n">
        <x:v>42</x:v>
      </x:c>
      <x:c r="G445" s="296" t="n">
        <x:v>4</x:v>
      </x:c>
      <x:c r="H445" s="296" t="n">
        <x:v>5</x:v>
      </x:c>
      <x:c r="I445" s="296" t="n">
        <x:f>SUM(B445:F445)</x:f>
        <x:v>128</x:v>
      </x:c>
      <x:c r="J445" s="296" t="n">
        <x:f>MOD(B445,2)+MOD(C445,2)+MOD(D445,2)+MOD(E445,2)+MOD(F445,2)</x:f>
        <x:v>2</x:v>
      </x:c>
      <x:c r="K445" s="296" t="n">
        <x:f>COUNTIF(B445:F445,"&gt;31")</x:f>
        <x:v>2</x:v>
      </x:c>
      <x:c r="L445" s="336" t="n">
        <x:f>1/'Executive Summary'!$B$24</x:f>
        <x:v>7.1511238420185165e-9</x:v>
      </x:c>
      <x:c r="M445" s="342" t="n">
        <x:f>2.5</x:f>
        <x:v>2.5</x:v>
      </x:c>
      <x:c r="N445" s="288" t="str">
        <x:v>Conditional coverage wheel</x:v>
      </x:c>
    </x:row>
    <x:row r="446">
      <x:c r="A446" s="295" t="n">
        <x:v>442</x:v>
      </x:c>
      <x:c r="B446" s="296" t="n">
        <x:v>4</x:v>
      </x:c>
      <x:c r="C446" s="296" t="n">
        <x:v>21</x:v>
      </x:c>
      <x:c r="D446" s="296" t="n">
        <x:v>25</x:v>
      </x:c>
      <x:c r="E446" s="296" t="n">
        <x:v>36</x:v>
      </x:c>
      <x:c r="F446" s="296" t="n">
        <x:v>42</x:v>
      </x:c>
      <x:c r="G446" s="296" t="n">
        <x:v>4</x:v>
      </x:c>
      <x:c r="H446" s="296" t="n">
        <x:v>7</x:v>
      </x:c>
      <x:c r="I446" s="296" t="n">
        <x:f>SUM(B446:F446)</x:f>
        <x:v>128</x:v>
      </x:c>
      <x:c r="J446" s="296" t="n">
        <x:f>MOD(B446,2)+MOD(C446,2)+MOD(D446,2)+MOD(E446,2)+MOD(F446,2)</x:f>
        <x:v>2</x:v>
      </x:c>
      <x:c r="K446" s="296" t="n">
        <x:f>COUNTIF(B446:F446,"&gt;31")</x:f>
        <x:v>2</x:v>
      </x:c>
      <x:c r="L446" s="336" t="n">
        <x:f>1/'Executive Summary'!$B$24</x:f>
        <x:v>7.1511238420185165e-9</x:v>
      </x:c>
      <x:c r="M446" s="342" t="n">
        <x:f>2.5</x:f>
        <x:v>2.5</x:v>
      </x:c>
      <x:c r="N446" s="288" t="str">
        <x:v>Conditional coverage wheel</x:v>
      </x:c>
    </x:row>
    <x:row r="447">
      <x:c r="A447" s="295" t="n">
        <x:v>443</x:v>
      </x:c>
      <x:c r="B447" s="296" t="n">
        <x:v>4</x:v>
      </x:c>
      <x:c r="C447" s="296" t="n">
        <x:v>21</x:v>
      </x:c>
      <x:c r="D447" s="296" t="n">
        <x:v>25</x:v>
      </x:c>
      <x:c r="E447" s="296" t="n">
        <x:v>36</x:v>
      </x:c>
      <x:c r="F447" s="296" t="n">
        <x:v>42</x:v>
      </x:c>
      <x:c r="G447" s="296" t="n">
        <x:v>4</x:v>
      </x:c>
      <x:c r="H447" s="296" t="n">
        <x:v>8</x:v>
      </x:c>
      <x:c r="I447" s="296" t="n">
        <x:f>SUM(B447:F447)</x:f>
        <x:v>128</x:v>
      </x:c>
      <x:c r="J447" s="296" t="n">
        <x:f>MOD(B447,2)+MOD(C447,2)+MOD(D447,2)+MOD(E447,2)+MOD(F447,2)</x:f>
        <x:v>2</x:v>
      </x:c>
      <x:c r="K447" s="296" t="n">
        <x:f>COUNTIF(B447:F447,"&gt;31")</x:f>
        <x:v>2</x:v>
      </x:c>
      <x:c r="L447" s="336" t="n">
        <x:f>1/'Executive Summary'!$B$24</x:f>
        <x:v>7.1511238420185165e-9</x:v>
      </x:c>
      <x:c r="M447" s="342" t="n">
        <x:f>2.5</x:f>
        <x:v>2.5</x:v>
      </x:c>
      <x:c r="N447" s="288" t="str">
        <x:v>Conditional coverage wheel</x:v>
      </x:c>
    </x:row>
    <x:row r="448">
      <x:c r="A448" s="295" t="n">
        <x:v>444</x:v>
      </x:c>
      <x:c r="B448" s="296" t="n">
        <x:v>4</x:v>
      </x:c>
      <x:c r="C448" s="296" t="n">
        <x:v>21</x:v>
      </x:c>
      <x:c r="D448" s="296" t="n">
        <x:v>25</x:v>
      </x:c>
      <x:c r="E448" s="296" t="n">
        <x:v>36</x:v>
      </x:c>
      <x:c r="F448" s="296" t="n">
        <x:v>42</x:v>
      </x:c>
      <x:c r="G448" s="296" t="n">
        <x:v>4</x:v>
      </x:c>
      <x:c r="H448" s="296" t="n">
        <x:v>9</x:v>
      </x:c>
      <x:c r="I448" s="296" t="n">
        <x:f>SUM(B448:F448)</x:f>
        <x:v>128</x:v>
      </x:c>
      <x:c r="J448" s="296" t="n">
        <x:f>MOD(B448,2)+MOD(C448,2)+MOD(D448,2)+MOD(E448,2)+MOD(F448,2)</x:f>
        <x:v>2</x:v>
      </x:c>
      <x:c r="K448" s="296" t="n">
        <x:f>COUNTIF(B448:F448,"&gt;31")</x:f>
        <x:v>2</x:v>
      </x:c>
      <x:c r="L448" s="336" t="n">
        <x:f>1/'Executive Summary'!$B$24</x:f>
        <x:v>7.1511238420185165e-9</x:v>
      </x:c>
      <x:c r="M448" s="342" t="n">
        <x:f>2.5</x:f>
        <x:v>2.5</x:v>
      </x:c>
      <x:c r="N448" s="288" t="str">
        <x:v>Conditional coverage wheel</x:v>
      </x:c>
    </x:row>
    <x:row r="449">
      <x:c r="A449" s="295" t="n">
        <x:v>445</x:v>
      </x:c>
      <x:c r="B449" s="296" t="n">
        <x:v>4</x:v>
      </x:c>
      <x:c r="C449" s="296" t="n">
        <x:v>21</x:v>
      </x:c>
      <x:c r="D449" s="296" t="n">
        <x:v>25</x:v>
      </x:c>
      <x:c r="E449" s="296" t="n">
        <x:v>36</x:v>
      </x:c>
      <x:c r="F449" s="296" t="n">
        <x:v>42</x:v>
      </x:c>
      <x:c r="G449" s="296" t="n">
        <x:v>5</x:v>
      </x:c>
      <x:c r="H449" s="296" t="n">
        <x:v>7</x:v>
      </x:c>
      <x:c r="I449" s="296" t="n">
        <x:f>SUM(B449:F449)</x:f>
        <x:v>128</x:v>
      </x:c>
      <x:c r="J449" s="296" t="n">
        <x:f>MOD(B449,2)+MOD(C449,2)+MOD(D449,2)+MOD(E449,2)+MOD(F449,2)</x:f>
        <x:v>2</x:v>
      </x:c>
      <x:c r="K449" s="296" t="n">
        <x:f>COUNTIF(B449:F449,"&gt;31")</x:f>
        <x:v>2</x:v>
      </x:c>
      <x:c r="L449" s="336" t="n">
        <x:f>1/'Executive Summary'!$B$24</x:f>
        <x:v>7.1511238420185165e-9</x:v>
      </x:c>
      <x:c r="M449" s="342" t="n">
        <x:f>2.5</x:f>
        <x:v>2.5</x:v>
      </x:c>
      <x:c r="N449" s="288" t="str">
        <x:v>Conditional coverage wheel</x:v>
      </x:c>
    </x:row>
    <x:row r="450">
      <x:c r="A450" s="295" t="n">
        <x:v>446</x:v>
      </x:c>
      <x:c r="B450" s="296" t="n">
        <x:v>4</x:v>
      </x:c>
      <x:c r="C450" s="296" t="n">
        <x:v>21</x:v>
      </x:c>
      <x:c r="D450" s="296" t="n">
        <x:v>25</x:v>
      </x:c>
      <x:c r="E450" s="296" t="n">
        <x:v>36</x:v>
      </x:c>
      <x:c r="F450" s="296" t="n">
        <x:v>42</x:v>
      </x:c>
      <x:c r="G450" s="296" t="n">
        <x:v>5</x:v>
      </x:c>
      <x:c r="H450" s="296" t="n">
        <x:v>8</x:v>
      </x:c>
      <x:c r="I450" s="296" t="n">
        <x:f>SUM(B450:F450)</x:f>
        <x:v>128</x:v>
      </x:c>
      <x:c r="J450" s="296" t="n">
        <x:f>MOD(B450,2)+MOD(C450,2)+MOD(D450,2)+MOD(E450,2)+MOD(F450,2)</x:f>
        <x:v>2</x:v>
      </x:c>
      <x:c r="K450" s="296" t="n">
        <x:f>COUNTIF(B450:F450,"&gt;31")</x:f>
        <x:v>2</x:v>
      </x:c>
      <x:c r="L450" s="336" t="n">
        <x:f>1/'Executive Summary'!$B$24</x:f>
        <x:v>7.1511238420185165e-9</x:v>
      </x:c>
      <x:c r="M450" s="342" t="n">
        <x:f>2.5</x:f>
        <x:v>2.5</x:v>
      </x:c>
      <x:c r="N450" s="288" t="str">
        <x:v>Conditional coverage wheel</x:v>
      </x:c>
    </x:row>
    <x:row r="451">
      <x:c r="A451" s="295" t="n">
        <x:v>447</x:v>
      </x:c>
      <x:c r="B451" s="296" t="n">
        <x:v>4</x:v>
      </x:c>
      <x:c r="C451" s="296" t="n">
        <x:v>21</x:v>
      </x:c>
      <x:c r="D451" s="296" t="n">
        <x:v>25</x:v>
      </x:c>
      <x:c r="E451" s="296" t="n">
        <x:v>36</x:v>
      </x:c>
      <x:c r="F451" s="296" t="n">
        <x:v>42</x:v>
      </x:c>
      <x:c r="G451" s="296" t="n">
        <x:v>5</x:v>
      </x:c>
      <x:c r="H451" s="296" t="n">
        <x:v>9</x:v>
      </x:c>
      <x:c r="I451" s="296" t="n">
        <x:f>SUM(B451:F451)</x:f>
        <x:v>128</x:v>
      </x:c>
      <x:c r="J451" s="296" t="n">
        <x:f>MOD(B451,2)+MOD(C451,2)+MOD(D451,2)+MOD(E451,2)+MOD(F451,2)</x:f>
        <x:v>2</x:v>
      </x:c>
      <x:c r="K451" s="296" t="n">
        <x:f>COUNTIF(B451:F451,"&gt;31")</x:f>
        <x:v>2</x:v>
      </x:c>
      <x:c r="L451" s="336" t="n">
        <x:f>1/'Executive Summary'!$B$24</x:f>
        <x:v>7.1511238420185165e-9</x:v>
      </x:c>
      <x:c r="M451" s="342" t="n">
        <x:f>2.5</x:f>
        <x:v>2.5</x:v>
      </x:c>
      <x:c r="N451" s="288" t="str">
        <x:v>Conditional coverage wheel</x:v>
      </x:c>
    </x:row>
    <x:row r="452">
      <x:c r="A452" s="295" t="n">
        <x:v>448</x:v>
      </x:c>
      <x:c r="B452" s="296" t="n">
        <x:v>4</x:v>
      </x:c>
      <x:c r="C452" s="296" t="n">
        <x:v>21</x:v>
      </x:c>
      <x:c r="D452" s="296" t="n">
        <x:v>25</x:v>
      </x:c>
      <x:c r="E452" s="296" t="n">
        <x:v>36</x:v>
      </x:c>
      <x:c r="F452" s="296" t="n">
        <x:v>42</x:v>
      </x:c>
      <x:c r="G452" s="296" t="n">
        <x:v>7</x:v>
      </x:c>
      <x:c r="H452" s="296" t="n">
        <x:v>8</x:v>
      </x:c>
      <x:c r="I452" s="296" t="n">
        <x:f>SUM(B452:F452)</x:f>
        <x:v>128</x:v>
      </x:c>
      <x:c r="J452" s="296" t="n">
        <x:f>MOD(B452,2)+MOD(C452,2)+MOD(D452,2)+MOD(E452,2)+MOD(F452,2)</x:f>
        <x:v>2</x:v>
      </x:c>
      <x:c r="K452" s="296" t="n">
        <x:f>COUNTIF(B452:F452,"&gt;31")</x:f>
        <x:v>2</x:v>
      </x:c>
      <x:c r="L452" s="336" t="n">
        <x:f>1/'Executive Summary'!$B$24</x:f>
        <x:v>7.1511238420185165e-9</x:v>
      </x:c>
      <x:c r="M452" s="342" t="n">
        <x:f>2.5</x:f>
        <x:v>2.5</x:v>
      </x:c>
      <x:c r="N452" s="288" t="str">
        <x:v>Conditional coverage wheel</x:v>
      </x:c>
    </x:row>
    <x:row r="453">
      <x:c r="A453" s="295" t="n">
        <x:v>449</x:v>
      </x:c>
      <x:c r="B453" s="296" t="n">
        <x:v>4</x:v>
      </x:c>
      <x:c r="C453" s="296" t="n">
        <x:v>21</x:v>
      </x:c>
      <x:c r="D453" s="296" t="n">
        <x:v>25</x:v>
      </x:c>
      <x:c r="E453" s="296" t="n">
        <x:v>36</x:v>
      </x:c>
      <x:c r="F453" s="296" t="n">
        <x:v>42</x:v>
      </x:c>
      <x:c r="G453" s="296" t="n">
        <x:v>7</x:v>
      </x:c>
      <x:c r="H453" s="296" t="n">
        <x:v>9</x:v>
      </x:c>
      <x:c r="I453" s="296" t="n">
        <x:f>SUM(B453:F453)</x:f>
        <x:v>128</x:v>
      </x:c>
      <x:c r="J453" s="296" t="n">
        <x:f>MOD(B453,2)+MOD(C453,2)+MOD(D453,2)+MOD(E453,2)+MOD(F453,2)</x:f>
        <x:v>2</x:v>
      </x:c>
      <x:c r="K453" s="296" t="n">
        <x:f>COUNTIF(B453:F453,"&gt;31")</x:f>
        <x:v>2</x:v>
      </x:c>
      <x:c r="L453" s="336" t="n">
        <x:f>1/'Executive Summary'!$B$24</x:f>
        <x:v>7.1511238420185165e-9</x:v>
      </x:c>
      <x:c r="M453" s="342" t="n">
        <x:f>2.5</x:f>
        <x:v>2.5</x:v>
      </x:c>
      <x:c r="N453" s="288" t="str">
        <x:v>Conditional coverage wheel</x:v>
      </x:c>
    </x:row>
    <x:row r="454">
      <x:c r="A454" s="295" t="n">
        <x:v>450</x:v>
      </x:c>
      <x:c r="B454" s="296" t="n">
        <x:v>4</x:v>
      </x:c>
      <x:c r="C454" s="296" t="n">
        <x:v>21</x:v>
      </x:c>
      <x:c r="D454" s="296" t="n">
        <x:v>25</x:v>
      </x:c>
      <x:c r="E454" s="296" t="n">
        <x:v>36</x:v>
      </x:c>
      <x:c r="F454" s="296" t="n">
        <x:v>42</x:v>
      </x:c>
      <x:c r="G454" s="296" t="n">
        <x:v>8</x:v>
      </x:c>
      <x:c r="H454" s="296" t="n">
        <x:v>9</x:v>
      </x:c>
      <x:c r="I454" s="296" t="n">
        <x:f>SUM(B454:F454)</x:f>
        <x:v>128</x:v>
      </x:c>
      <x:c r="J454" s="296" t="n">
        <x:f>MOD(B454,2)+MOD(C454,2)+MOD(D454,2)+MOD(E454,2)+MOD(F454,2)</x:f>
        <x:v>2</x:v>
      </x:c>
      <x:c r="K454" s="296" t="n">
        <x:f>COUNTIF(B454:F454,"&gt;31")</x:f>
        <x:v>2</x:v>
      </x:c>
      <x:c r="L454" s="336" t="n">
        <x:f>1/'Executive Summary'!$B$24</x:f>
        <x:v>7.1511238420185165e-9</x:v>
      </x:c>
      <x:c r="M454" s="342" t="n">
        <x:f>2.5</x:f>
        <x:v>2.5</x:v>
      </x:c>
      <x:c r="N454" s="288" t="str">
        <x:v>Conditional coverage wheel</x:v>
      </x:c>
    </x:row>
    <x:row r="455">
      <x:c r="A455" s="295" t="n">
        <x:v>451</x:v>
      </x:c>
      <x:c r="B455" s="296" t="n">
        <x:v>4</x:v>
      </x:c>
      <x:c r="C455" s="296" t="n">
        <x:v>21</x:v>
      </x:c>
      <x:c r="D455" s="296" t="n">
        <x:v>28</x:v>
      </x:c>
      <x:c r="E455" s="296" t="n">
        <x:v>48</x:v>
      </x:c>
      <x:c r="F455" s="296" t="n">
        <x:v>50</x:v>
      </x:c>
      <x:c r="G455" s="296" t="n">
        <x:v>3</x:v>
      </x:c>
      <x:c r="H455" s="296" t="n">
        <x:v>4</x:v>
      </x:c>
      <x:c r="I455" s="296" t="n">
        <x:f>SUM(B455:F455)</x:f>
        <x:v>151</x:v>
      </x:c>
      <x:c r="J455" s="296" t="n">
        <x:f>MOD(B455,2)+MOD(C455,2)+MOD(D455,2)+MOD(E455,2)+MOD(F455,2)</x:f>
        <x:v>1</x:v>
      </x:c>
      <x:c r="K455" s="296" t="n">
        <x:f>COUNTIF(B455:F455,"&gt;31")</x:f>
        <x:v>2</x:v>
      </x:c>
      <x:c r="L455" s="336" t="n">
        <x:f>1/'Executive Summary'!$B$24</x:f>
        <x:v>7.1511238420185165e-9</x:v>
      </x:c>
      <x:c r="M455" s="342" t="n">
        <x:f>2.5</x:f>
        <x:v>2.5</x:v>
      </x:c>
      <x:c r="N455" s="288" t="str">
        <x:v>Conditional coverage wheel</x:v>
      </x:c>
    </x:row>
    <x:row r="456">
      <x:c r="A456" s="295" t="n">
        <x:v>452</x:v>
      </x:c>
      <x:c r="B456" s="296" t="n">
        <x:v>4</x:v>
      </x:c>
      <x:c r="C456" s="296" t="n">
        <x:v>21</x:v>
      </x:c>
      <x:c r="D456" s="296" t="n">
        <x:v>28</x:v>
      </x:c>
      <x:c r="E456" s="296" t="n">
        <x:v>48</x:v>
      </x:c>
      <x:c r="F456" s="296" t="n">
        <x:v>50</x:v>
      </x:c>
      <x:c r="G456" s="296" t="n">
        <x:v>3</x:v>
      </x:c>
      <x:c r="H456" s="296" t="n">
        <x:v>5</x:v>
      </x:c>
      <x:c r="I456" s="296" t="n">
        <x:f>SUM(B456:F456)</x:f>
        <x:v>151</x:v>
      </x:c>
      <x:c r="J456" s="296" t="n">
        <x:f>MOD(B456,2)+MOD(C456,2)+MOD(D456,2)+MOD(E456,2)+MOD(F456,2)</x:f>
        <x:v>1</x:v>
      </x:c>
      <x:c r="K456" s="296" t="n">
        <x:f>COUNTIF(B456:F456,"&gt;31")</x:f>
        <x:v>2</x:v>
      </x:c>
      <x:c r="L456" s="336" t="n">
        <x:f>1/'Executive Summary'!$B$24</x:f>
        <x:v>7.1511238420185165e-9</x:v>
      </x:c>
      <x:c r="M456" s="342" t="n">
        <x:f>2.5</x:f>
        <x:v>2.5</x:v>
      </x:c>
      <x:c r="N456" s="288" t="str">
        <x:v>Conditional coverage wheel</x:v>
      </x:c>
    </x:row>
    <x:row r="457">
      <x:c r="A457" s="295" t="n">
        <x:v>453</x:v>
      </x:c>
      <x:c r="B457" s="296" t="n">
        <x:v>4</x:v>
      </x:c>
      <x:c r="C457" s="296" t="n">
        <x:v>21</x:v>
      </x:c>
      <x:c r="D457" s="296" t="n">
        <x:v>28</x:v>
      </x:c>
      <x:c r="E457" s="296" t="n">
        <x:v>48</x:v>
      </x:c>
      <x:c r="F457" s="296" t="n">
        <x:v>50</x:v>
      </x:c>
      <x:c r="G457" s="296" t="n">
        <x:v>3</x:v>
      </x:c>
      <x:c r="H457" s="296" t="n">
        <x:v>7</x:v>
      </x:c>
      <x:c r="I457" s="296" t="n">
        <x:f>SUM(B457:F457)</x:f>
        <x:v>151</x:v>
      </x:c>
      <x:c r="J457" s="296" t="n">
        <x:f>MOD(B457,2)+MOD(C457,2)+MOD(D457,2)+MOD(E457,2)+MOD(F457,2)</x:f>
        <x:v>1</x:v>
      </x:c>
      <x:c r="K457" s="296" t="n">
        <x:f>COUNTIF(B457:F457,"&gt;31")</x:f>
        <x:v>2</x:v>
      </x:c>
      <x:c r="L457" s="336" t="n">
        <x:f>1/'Executive Summary'!$B$24</x:f>
        <x:v>7.1511238420185165e-9</x:v>
      </x:c>
      <x:c r="M457" s="342" t="n">
        <x:f>2.5</x:f>
        <x:v>2.5</x:v>
      </x:c>
      <x:c r="N457" s="288" t="str">
        <x:v>Conditional coverage wheel</x:v>
      </x:c>
    </x:row>
    <x:row r="458">
      <x:c r="A458" s="295" t="n">
        <x:v>454</x:v>
      </x:c>
      <x:c r="B458" s="296" t="n">
        <x:v>4</x:v>
      </x:c>
      <x:c r="C458" s="296" t="n">
        <x:v>21</x:v>
      </x:c>
      <x:c r="D458" s="296" t="n">
        <x:v>28</x:v>
      </x:c>
      <x:c r="E458" s="296" t="n">
        <x:v>48</x:v>
      </x:c>
      <x:c r="F458" s="296" t="n">
        <x:v>50</x:v>
      </x:c>
      <x:c r="G458" s="296" t="n">
        <x:v>3</x:v>
      </x:c>
      <x:c r="H458" s="296" t="n">
        <x:v>8</x:v>
      </x:c>
      <x:c r="I458" s="296" t="n">
        <x:f>SUM(B458:F458)</x:f>
        <x:v>151</x:v>
      </x:c>
      <x:c r="J458" s="296" t="n">
        <x:f>MOD(B458,2)+MOD(C458,2)+MOD(D458,2)+MOD(E458,2)+MOD(F458,2)</x:f>
        <x:v>1</x:v>
      </x:c>
      <x:c r="K458" s="296" t="n">
        <x:f>COUNTIF(B458:F458,"&gt;31")</x:f>
        <x:v>2</x:v>
      </x:c>
      <x:c r="L458" s="336" t="n">
        <x:f>1/'Executive Summary'!$B$24</x:f>
        <x:v>7.1511238420185165e-9</x:v>
      </x:c>
      <x:c r="M458" s="342" t="n">
        <x:f>2.5</x:f>
        <x:v>2.5</x:v>
      </x:c>
      <x:c r="N458" s="288" t="str">
        <x:v>Conditional coverage wheel</x:v>
      </x:c>
    </x:row>
    <x:row r="459">
      <x:c r="A459" s="295" t="n">
        <x:v>455</x:v>
      </x:c>
      <x:c r="B459" s="296" t="n">
        <x:v>4</x:v>
      </x:c>
      <x:c r="C459" s="296" t="n">
        <x:v>21</x:v>
      </x:c>
      <x:c r="D459" s="296" t="n">
        <x:v>28</x:v>
      </x:c>
      <x:c r="E459" s="296" t="n">
        <x:v>48</x:v>
      </x:c>
      <x:c r="F459" s="296" t="n">
        <x:v>50</x:v>
      </x:c>
      <x:c r="G459" s="296" t="n">
        <x:v>3</x:v>
      </x:c>
      <x:c r="H459" s="296" t="n">
        <x:v>9</x:v>
      </x:c>
      <x:c r="I459" s="296" t="n">
        <x:f>SUM(B459:F459)</x:f>
        <x:v>151</x:v>
      </x:c>
      <x:c r="J459" s="296" t="n">
        <x:f>MOD(B459,2)+MOD(C459,2)+MOD(D459,2)+MOD(E459,2)+MOD(F459,2)</x:f>
        <x:v>1</x:v>
      </x:c>
      <x:c r="K459" s="296" t="n">
        <x:f>COUNTIF(B459:F459,"&gt;31")</x:f>
        <x:v>2</x:v>
      </x:c>
      <x:c r="L459" s="336" t="n">
        <x:f>1/'Executive Summary'!$B$24</x:f>
        <x:v>7.1511238420185165e-9</x:v>
      </x:c>
      <x:c r="M459" s="342" t="n">
        <x:f>2.5</x:f>
        <x:v>2.5</x:v>
      </x:c>
      <x:c r="N459" s="288" t="str">
        <x:v>Conditional coverage wheel</x:v>
      </x:c>
    </x:row>
    <x:row r="460">
      <x:c r="A460" s="295" t="n">
        <x:v>456</x:v>
      </x:c>
      <x:c r="B460" s="296" t="n">
        <x:v>4</x:v>
      </x:c>
      <x:c r="C460" s="296" t="n">
        <x:v>21</x:v>
      </x:c>
      <x:c r="D460" s="296" t="n">
        <x:v>28</x:v>
      </x:c>
      <x:c r="E460" s="296" t="n">
        <x:v>48</x:v>
      </x:c>
      <x:c r="F460" s="296" t="n">
        <x:v>50</x:v>
      </x:c>
      <x:c r="G460" s="296" t="n">
        <x:v>4</x:v>
      </x:c>
      <x:c r="H460" s="296" t="n">
        <x:v>5</x:v>
      </x:c>
      <x:c r="I460" s="296" t="n">
        <x:f>SUM(B460:F460)</x:f>
        <x:v>151</x:v>
      </x:c>
      <x:c r="J460" s="296" t="n">
        <x:f>MOD(B460,2)+MOD(C460,2)+MOD(D460,2)+MOD(E460,2)+MOD(F460,2)</x:f>
        <x:v>1</x:v>
      </x:c>
      <x:c r="K460" s="296" t="n">
        <x:f>COUNTIF(B460:F460,"&gt;31")</x:f>
        <x:v>2</x:v>
      </x:c>
      <x:c r="L460" s="336" t="n">
        <x:f>1/'Executive Summary'!$B$24</x:f>
        <x:v>7.1511238420185165e-9</x:v>
      </x:c>
      <x:c r="M460" s="342" t="n">
        <x:f>2.5</x:f>
        <x:v>2.5</x:v>
      </x:c>
      <x:c r="N460" s="288" t="str">
        <x:v>Conditional coverage wheel</x:v>
      </x:c>
    </x:row>
    <x:row r="461">
      <x:c r="A461" s="295" t="n">
        <x:v>457</x:v>
      </x:c>
      <x:c r="B461" s="296" t="n">
        <x:v>4</x:v>
      </x:c>
      <x:c r="C461" s="296" t="n">
        <x:v>21</x:v>
      </x:c>
      <x:c r="D461" s="296" t="n">
        <x:v>28</x:v>
      </x:c>
      <x:c r="E461" s="296" t="n">
        <x:v>48</x:v>
      </x:c>
      <x:c r="F461" s="296" t="n">
        <x:v>50</x:v>
      </x:c>
      <x:c r="G461" s="296" t="n">
        <x:v>4</x:v>
      </x:c>
      <x:c r="H461" s="296" t="n">
        <x:v>7</x:v>
      </x:c>
      <x:c r="I461" s="296" t="n">
        <x:f>SUM(B461:F461)</x:f>
        <x:v>151</x:v>
      </x:c>
      <x:c r="J461" s="296" t="n">
        <x:f>MOD(B461,2)+MOD(C461,2)+MOD(D461,2)+MOD(E461,2)+MOD(F461,2)</x:f>
        <x:v>1</x:v>
      </x:c>
      <x:c r="K461" s="296" t="n">
        <x:f>COUNTIF(B461:F461,"&gt;31")</x:f>
        <x:v>2</x:v>
      </x:c>
      <x:c r="L461" s="336" t="n">
        <x:f>1/'Executive Summary'!$B$24</x:f>
        <x:v>7.1511238420185165e-9</x:v>
      </x:c>
      <x:c r="M461" s="342" t="n">
        <x:f>2.5</x:f>
        <x:v>2.5</x:v>
      </x:c>
      <x:c r="N461" s="288" t="str">
        <x:v>Conditional coverage wheel</x:v>
      </x:c>
    </x:row>
    <x:row r="462">
      <x:c r="A462" s="295" t="n">
        <x:v>458</x:v>
      </x:c>
      <x:c r="B462" s="296" t="n">
        <x:v>4</x:v>
      </x:c>
      <x:c r="C462" s="296" t="n">
        <x:v>21</x:v>
      </x:c>
      <x:c r="D462" s="296" t="n">
        <x:v>28</x:v>
      </x:c>
      <x:c r="E462" s="296" t="n">
        <x:v>48</x:v>
      </x:c>
      <x:c r="F462" s="296" t="n">
        <x:v>50</x:v>
      </x:c>
      <x:c r="G462" s="296" t="n">
        <x:v>4</x:v>
      </x:c>
      <x:c r="H462" s="296" t="n">
        <x:v>8</x:v>
      </x:c>
      <x:c r="I462" s="296" t="n">
        <x:f>SUM(B462:F462)</x:f>
        <x:v>151</x:v>
      </x:c>
      <x:c r="J462" s="296" t="n">
        <x:f>MOD(B462,2)+MOD(C462,2)+MOD(D462,2)+MOD(E462,2)+MOD(F462,2)</x:f>
        <x:v>1</x:v>
      </x:c>
      <x:c r="K462" s="296" t="n">
        <x:f>COUNTIF(B462:F462,"&gt;31")</x:f>
        <x:v>2</x:v>
      </x:c>
      <x:c r="L462" s="336" t="n">
        <x:f>1/'Executive Summary'!$B$24</x:f>
        <x:v>7.1511238420185165e-9</x:v>
      </x:c>
      <x:c r="M462" s="342" t="n">
        <x:f>2.5</x:f>
        <x:v>2.5</x:v>
      </x:c>
      <x:c r="N462" s="288" t="str">
        <x:v>Conditional coverage wheel</x:v>
      </x:c>
    </x:row>
    <x:row r="463">
      <x:c r="A463" s="295" t="n">
        <x:v>459</x:v>
      </x:c>
      <x:c r="B463" s="296" t="n">
        <x:v>4</x:v>
      </x:c>
      <x:c r="C463" s="296" t="n">
        <x:v>21</x:v>
      </x:c>
      <x:c r="D463" s="296" t="n">
        <x:v>28</x:v>
      </x:c>
      <x:c r="E463" s="296" t="n">
        <x:v>48</x:v>
      </x:c>
      <x:c r="F463" s="296" t="n">
        <x:v>50</x:v>
      </x:c>
      <x:c r="G463" s="296" t="n">
        <x:v>4</x:v>
      </x:c>
      <x:c r="H463" s="296" t="n">
        <x:v>9</x:v>
      </x:c>
      <x:c r="I463" s="296" t="n">
        <x:f>SUM(B463:F463)</x:f>
        <x:v>151</x:v>
      </x:c>
      <x:c r="J463" s="296" t="n">
        <x:f>MOD(B463,2)+MOD(C463,2)+MOD(D463,2)+MOD(E463,2)+MOD(F463,2)</x:f>
        <x:v>1</x:v>
      </x:c>
      <x:c r="K463" s="296" t="n">
        <x:f>COUNTIF(B463:F463,"&gt;31")</x:f>
        <x:v>2</x:v>
      </x:c>
      <x:c r="L463" s="336" t="n">
        <x:f>1/'Executive Summary'!$B$24</x:f>
        <x:v>7.1511238420185165e-9</x:v>
      </x:c>
      <x:c r="M463" s="342" t="n">
        <x:f>2.5</x:f>
        <x:v>2.5</x:v>
      </x:c>
      <x:c r="N463" s="288" t="str">
        <x:v>Conditional coverage wheel</x:v>
      </x:c>
    </x:row>
    <x:row r="464">
      <x:c r="A464" s="295" t="n">
        <x:v>460</x:v>
      </x:c>
      <x:c r="B464" s="296" t="n">
        <x:v>4</x:v>
      </x:c>
      <x:c r="C464" s="296" t="n">
        <x:v>21</x:v>
      </x:c>
      <x:c r="D464" s="296" t="n">
        <x:v>28</x:v>
      </x:c>
      <x:c r="E464" s="296" t="n">
        <x:v>48</x:v>
      </x:c>
      <x:c r="F464" s="296" t="n">
        <x:v>50</x:v>
      </x:c>
      <x:c r="G464" s="296" t="n">
        <x:v>5</x:v>
      </x:c>
      <x:c r="H464" s="296" t="n">
        <x:v>7</x:v>
      </x:c>
      <x:c r="I464" s="296" t="n">
        <x:f>SUM(B464:F464)</x:f>
        <x:v>151</x:v>
      </x:c>
      <x:c r="J464" s="296" t="n">
        <x:f>MOD(B464,2)+MOD(C464,2)+MOD(D464,2)+MOD(E464,2)+MOD(F464,2)</x:f>
        <x:v>1</x:v>
      </x:c>
      <x:c r="K464" s="296" t="n">
        <x:f>COUNTIF(B464:F464,"&gt;31")</x:f>
        <x:v>2</x:v>
      </x:c>
      <x:c r="L464" s="336" t="n">
        <x:f>1/'Executive Summary'!$B$24</x:f>
        <x:v>7.1511238420185165e-9</x:v>
      </x:c>
      <x:c r="M464" s="342" t="n">
        <x:f>2.5</x:f>
        <x:v>2.5</x:v>
      </x:c>
      <x:c r="N464" s="288" t="str">
        <x:v>Conditional coverage wheel</x:v>
      </x:c>
    </x:row>
    <x:row r="465">
      <x:c r="A465" s="295" t="n">
        <x:v>461</x:v>
      </x:c>
      <x:c r="B465" s="296" t="n">
        <x:v>4</x:v>
      </x:c>
      <x:c r="C465" s="296" t="n">
        <x:v>21</x:v>
      </x:c>
      <x:c r="D465" s="296" t="n">
        <x:v>28</x:v>
      </x:c>
      <x:c r="E465" s="296" t="n">
        <x:v>48</x:v>
      </x:c>
      <x:c r="F465" s="296" t="n">
        <x:v>50</x:v>
      </x:c>
      <x:c r="G465" s="296" t="n">
        <x:v>5</x:v>
      </x:c>
      <x:c r="H465" s="296" t="n">
        <x:v>8</x:v>
      </x:c>
      <x:c r="I465" s="296" t="n">
        <x:f>SUM(B465:F465)</x:f>
        <x:v>151</x:v>
      </x:c>
      <x:c r="J465" s="296" t="n">
        <x:f>MOD(B465,2)+MOD(C465,2)+MOD(D465,2)+MOD(E465,2)+MOD(F465,2)</x:f>
        <x:v>1</x:v>
      </x:c>
      <x:c r="K465" s="296" t="n">
        <x:f>COUNTIF(B465:F465,"&gt;31")</x:f>
        <x:v>2</x:v>
      </x:c>
      <x:c r="L465" s="336" t="n">
        <x:f>1/'Executive Summary'!$B$24</x:f>
        <x:v>7.1511238420185165e-9</x:v>
      </x:c>
      <x:c r="M465" s="342" t="n">
        <x:f>2.5</x:f>
        <x:v>2.5</x:v>
      </x:c>
      <x:c r="N465" s="288" t="str">
        <x:v>Conditional coverage wheel</x:v>
      </x:c>
    </x:row>
    <x:row r="466">
      <x:c r="A466" s="295" t="n">
        <x:v>462</x:v>
      </x:c>
      <x:c r="B466" s="296" t="n">
        <x:v>4</x:v>
      </x:c>
      <x:c r="C466" s="296" t="n">
        <x:v>21</x:v>
      </x:c>
      <x:c r="D466" s="296" t="n">
        <x:v>28</x:v>
      </x:c>
      <x:c r="E466" s="296" t="n">
        <x:v>48</x:v>
      </x:c>
      <x:c r="F466" s="296" t="n">
        <x:v>50</x:v>
      </x:c>
      <x:c r="G466" s="296" t="n">
        <x:v>5</x:v>
      </x:c>
      <x:c r="H466" s="296" t="n">
        <x:v>9</x:v>
      </x:c>
      <x:c r="I466" s="296" t="n">
        <x:f>SUM(B466:F466)</x:f>
        <x:v>151</x:v>
      </x:c>
      <x:c r="J466" s="296" t="n">
        <x:f>MOD(B466,2)+MOD(C466,2)+MOD(D466,2)+MOD(E466,2)+MOD(F466,2)</x:f>
        <x:v>1</x:v>
      </x:c>
      <x:c r="K466" s="296" t="n">
        <x:f>COUNTIF(B466:F466,"&gt;31")</x:f>
        <x:v>2</x:v>
      </x:c>
      <x:c r="L466" s="336" t="n">
        <x:f>1/'Executive Summary'!$B$24</x:f>
        <x:v>7.1511238420185165e-9</x:v>
      </x:c>
      <x:c r="M466" s="342" t="n">
        <x:f>2.5</x:f>
        <x:v>2.5</x:v>
      </x:c>
      <x:c r="N466" s="288" t="str">
        <x:v>Conditional coverage wheel</x:v>
      </x:c>
    </x:row>
    <x:row r="467">
      <x:c r="A467" s="295" t="n">
        <x:v>463</x:v>
      </x:c>
      <x:c r="B467" s="296" t="n">
        <x:v>4</x:v>
      </x:c>
      <x:c r="C467" s="296" t="n">
        <x:v>21</x:v>
      </x:c>
      <x:c r="D467" s="296" t="n">
        <x:v>28</x:v>
      </x:c>
      <x:c r="E467" s="296" t="n">
        <x:v>48</x:v>
      </x:c>
      <x:c r="F467" s="296" t="n">
        <x:v>50</x:v>
      </x:c>
      <x:c r="G467" s="296" t="n">
        <x:v>7</x:v>
      </x:c>
      <x:c r="H467" s="296" t="n">
        <x:v>8</x:v>
      </x:c>
      <x:c r="I467" s="296" t="n">
        <x:f>SUM(B467:F467)</x:f>
        <x:v>151</x:v>
      </x:c>
      <x:c r="J467" s="296" t="n">
        <x:f>MOD(B467,2)+MOD(C467,2)+MOD(D467,2)+MOD(E467,2)+MOD(F467,2)</x:f>
        <x:v>1</x:v>
      </x:c>
      <x:c r="K467" s="296" t="n">
        <x:f>COUNTIF(B467:F467,"&gt;31")</x:f>
        <x:v>2</x:v>
      </x:c>
      <x:c r="L467" s="336" t="n">
        <x:f>1/'Executive Summary'!$B$24</x:f>
        <x:v>7.1511238420185165e-9</x:v>
      </x:c>
      <x:c r="M467" s="342" t="n">
        <x:f>2.5</x:f>
        <x:v>2.5</x:v>
      </x:c>
      <x:c r="N467" s="288" t="str">
        <x:v>Conditional coverage wheel</x:v>
      </x:c>
    </x:row>
    <x:row r="468">
      <x:c r="A468" s="295" t="n">
        <x:v>464</x:v>
      </x:c>
      <x:c r="B468" s="296" t="n">
        <x:v>4</x:v>
      </x:c>
      <x:c r="C468" s="296" t="n">
        <x:v>21</x:v>
      </x:c>
      <x:c r="D468" s="296" t="n">
        <x:v>28</x:v>
      </x:c>
      <x:c r="E468" s="296" t="n">
        <x:v>48</x:v>
      </x:c>
      <x:c r="F468" s="296" t="n">
        <x:v>50</x:v>
      </x:c>
      <x:c r="G468" s="296" t="n">
        <x:v>7</x:v>
      </x:c>
      <x:c r="H468" s="296" t="n">
        <x:v>9</x:v>
      </x:c>
      <x:c r="I468" s="296" t="n">
        <x:f>SUM(B468:F468)</x:f>
        <x:v>151</x:v>
      </x:c>
      <x:c r="J468" s="296" t="n">
        <x:f>MOD(B468,2)+MOD(C468,2)+MOD(D468,2)+MOD(E468,2)+MOD(F468,2)</x:f>
        <x:v>1</x:v>
      </x:c>
      <x:c r="K468" s="296" t="n">
        <x:f>COUNTIF(B468:F468,"&gt;31")</x:f>
        <x:v>2</x:v>
      </x:c>
      <x:c r="L468" s="336" t="n">
        <x:f>1/'Executive Summary'!$B$24</x:f>
        <x:v>7.1511238420185165e-9</x:v>
      </x:c>
      <x:c r="M468" s="342" t="n">
        <x:f>2.5</x:f>
        <x:v>2.5</x:v>
      </x:c>
      <x:c r="N468" s="288" t="str">
        <x:v>Conditional coverage wheel</x:v>
      </x:c>
    </x:row>
    <x:row r="469">
      <x:c r="A469" s="295" t="n">
        <x:v>465</x:v>
      </x:c>
      <x:c r="B469" s="296" t="n">
        <x:v>4</x:v>
      </x:c>
      <x:c r="C469" s="296" t="n">
        <x:v>21</x:v>
      </x:c>
      <x:c r="D469" s="296" t="n">
        <x:v>28</x:v>
      </x:c>
      <x:c r="E469" s="296" t="n">
        <x:v>48</x:v>
      </x:c>
      <x:c r="F469" s="296" t="n">
        <x:v>50</x:v>
      </x:c>
      <x:c r="G469" s="296" t="n">
        <x:v>8</x:v>
      </x:c>
      <x:c r="H469" s="296" t="n">
        <x:v>9</x:v>
      </x:c>
      <x:c r="I469" s="296" t="n">
        <x:f>SUM(B469:F469)</x:f>
        <x:v>151</x:v>
      </x:c>
      <x:c r="J469" s="296" t="n">
        <x:f>MOD(B469,2)+MOD(C469,2)+MOD(D469,2)+MOD(E469,2)+MOD(F469,2)</x:f>
        <x:v>1</x:v>
      </x:c>
      <x:c r="K469" s="296" t="n">
        <x:f>COUNTIF(B469:F469,"&gt;31")</x:f>
        <x:v>2</x:v>
      </x:c>
      <x:c r="L469" s="336" t="n">
        <x:f>1/'Executive Summary'!$B$24</x:f>
        <x:v>7.1511238420185165e-9</x:v>
      </x:c>
      <x:c r="M469" s="342" t="n">
        <x:f>2.5</x:f>
        <x:v>2.5</x:v>
      </x:c>
      <x:c r="N469" s="288" t="str">
        <x:v>Conditional coverage wheel</x:v>
      </x:c>
    </x:row>
    <x:row r="470">
      <x:c r="A470" s="295" t="n">
        <x:v>466</x:v>
      </x:c>
      <x:c r="B470" s="296" t="n">
        <x:v>4</x:v>
      </x:c>
      <x:c r="C470" s="296" t="n">
        <x:v>28</x:v>
      </x:c>
      <x:c r="D470" s="296" t="n">
        <x:v>35</x:v>
      </x:c>
      <x:c r="E470" s="296" t="n">
        <x:v>37</x:v>
      </x:c>
      <x:c r="F470" s="296" t="n">
        <x:v>44</x:v>
      </x:c>
      <x:c r="G470" s="296" t="n">
        <x:v>3</x:v>
      </x:c>
      <x:c r="H470" s="296" t="n">
        <x:v>4</x:v>
      </x:c>
      <x:c r="I470" s="296" t="n">
        <x:f>SUM(B470:F470)</x:f>
        <x:v>148</x:v>
      </x:c>
      <x:c r="J470" s="296" t="n">
        <x:f>MOD(B470,2)+MOD(C470,2)+MOD(D470,2)+MOD(E470,2)+MOD(F470,2)</x:f>
        <x:v>2</x:v>
      </x:c>
      <x:c r="K470" s="296" t="n">
        <x:f>COUNTIF(B470:F470,"&gt;31")</x:f>
        <x:v>3</x:v>
      </x:c>
      <x:c r="L470" s="336" t="n">
        <x:f>1/'Executive Summary'!$B$24</x:f>
        <x:v>7.1511238420185165e-9</x:v>
      </x:c>
      <x:c r="M470" s="342" t="n">
        <x:f>2.5</x:f>
        <x:v>2.5</x:v>
      </x:c>
      <x:c r="N470" s="288" t="str">
        <x:v>Conditional coverage wheel</x:v>
      </x:c>
    </x:row>
    <x:row r="471">
      <x:c r="A471" s="295" t="n">
        <x:v>467</x:v>
      </x:c>
      <x:c r="B471" s="296" t="n">
        <x:v>4</x:v>
      </x:c>
      <x:c r="C471" s="296" t="n">
        <x:v>28</x:v>
      </x:c>
      <x:c r="D471" s="296" t="n">
        <x:v>35</x:v>
      </x:c>
      <x:c r="E471" s="296" t="n">
        <x:v>37</x:v>
      </x:c>
      <x:c r="F471" s="296" t="n">
        <x:v>44</x:v>
      </x:c>
      <x:c r="G471" s="296" t="n">
        <x:v>3</x:v>
      </x:c>
      <x:c r="H471" s="296" t="n">
        <x:v>5</x:v>
      </x:c>
      <x:c r="I471" s="296" t="n">
        <x:f>SUM(B471:F471)</x:f>
        <x:v>148</x:v>
      </x:c>
      <x:c r="J471" s="296" t="n">
        <x:f>MOD(B471,2)+MOD(C471,2)+MOD(D471,2)+MOD(E471,2)+MOD(F471,2)</x:f>
        <x:v>2</x:v>
      </x:c>
      <x:c r="K471" s="296" t="n">
        <x:f>COUNTIF(B471:F471,"&gt;31")</x:f>
        <x:v>3</x:v>
      </x:c>
      <x:c r="L471" s="336" t="n">
        <x:f>1/'Executive Summary'!$B$24</x:f>
        <x:v>7.1511238420185165e-9</x:v>
      </x:c>
      <x:c r="M471" s="342" t="n">
        <x:f>2.5</x:f>
        <x:v>2.5</x:v>
      </x:c>
      <x:c r="N471" s="288" t="str">
        <x:v>Conditional coverage wheel</x:v>
      </x:c>
    </x:row>
    <x:row r="472">
      <x:c r="A472" s="295" t="n">
        <x:v>468</x:v>
      </x:c>
      <x:c r="B472" s="296" t="n">
        <x:v>4</x:v>
      </x:c>
      <x:c r="C472" s="296" t="n">
        <x:v>28</x:v>
      </x:c>
      <x:c r="D472" s="296" t="n">
        <x:v>35</x:v>
      </x:c>
      <x:c r="E472" s="296" t="n">
        <x:v>37</x:v>
      </x:c>
      <x:c r="F472" s="296" t="n">
        <x:v>44</x:v>
      </x:c>
      <x:c r="G472" s="296" t="n">
        <x:v>3</x:v>
      </x:c>
      <x:c r="H472" s="296" t="n">
        <x:v>7</x:v>
      </x:c>
      <x:c r="I472" s="296" t="n">
        <x:f>SUM(B472:F472)</x:f>
        <x:v>148</x:v>
      </x:c>
      <x:c r="J472" s="296" t="n">
        <x:f>MOD(B472,2)+MOD(C472,2)+MOD(D472,2)+MOD(E472,2)+MOD(F472,2)</x:f>
        <x:v>2</x:v>
      </x:c>
      <x:c r="K472" s="296" t="n">
        <x:f>COUNTIF(B472:F472,"&gt;31")</x:f>
        <x:v>3</x:v>
      </x:c>
      <x:c r="L472" s="336" t="n">
        <x:f>1/'Executive Summary'!$B$24</x:f>
        <x:v>7.1511238420185165e-9</x:v>
      </x:c>
      <x:c r="M472" s="342" t="n">
        <x:f>2.5</x:f>
        <x:v>2.5</x:v>
      </x:c>
      <x:c r="N472" s="288" t="str">
        <x:v>Conditional coverage wheel</x:v>
      </x:c>
    </x:row>
    <x:row r="473">
      <x:c r="A473" s="295" t="n">
        <x:v>469</x:v>
      </x:c>
      <x:c r="B473" s="296" t="n">
        <x:v>4</x:v>
      </x:c>
      <x:c r="C473" s="296" t="n">
        <x:v>28</x:v>
      </x:c>
      <x:c r="D473" s="296" t="n">
        <x:v>35</x:v>
      </x:c>
      <x:c r="E473" s="296" t="n">
        <x:v>37</x:v>
      </x:c>
      <x:c r="F473" s="296" t="n">
        <x:v>44</x:v>
      </x:c>
      <x:c r="G473" s="296" t="n">
        <x:v>3</x:v>
      </x:c>
      <x:c r="H473" s="296" t="n">
        <x:v>8</x:v>
      </x:c>
      <x:c r="I473" s="296" t="n">
        <x:f>SUM(B473:F473)</x:f>
        <x:v>148</x:v>
      </x:c>
      <x:c r="J473" s="296" t="n">
        <x:f>MOD(B473,2)+MOD(C473,2)+MOD(D473,2)+MOD(E473,2)+MOD(F473,2)</x:f>
        <x:v>2</x:v>
      </x:c>
      <x:c r="K473" s="296" t="n">
        <x:f>COUNTIF(B473:F473,"&gt;31")</x:f>
        <x:v>3</x:v>
      </x:c>
      <x:c r="L473" s="336" t="n">
        <x:f>1/'Executive Summary'!$B$24</x:f>
        <x:v>7.1511238420185165e-9</x:v>
      </x:c>
      <x:c r="M473" s="342" t="n">
        <x:f>2.5</x:f>
        <x:v>2.5</x:v>
      </x:c>
      <x:c r="N473" s="288" t="str">
        <x:v>Conditional coverage wheel</x:v>
      </x:c>
    </x:row>
    <x:row r="474">
      <x:c r="A474" s="295" t="n">
        <x:v>470</x:v>
      </x:c>
      <x:c r="B474" s="296" t="n">
        <x:v>4</x:v>
      </x:c>
      <x:c r="C474" s="296" t="n">
        <x:v>28</x:v>
      </x:c>
      <x:c r="D474" s="296" t="n">
        <x:v>35</x:v>
      </x:c>
      <x:c r="E474" s="296" t="n">
        <x:v>37</x:v>
      </x:c>
      <x:c r="F474" s="296" t="n">
        <x:v>44</x:v>
      </x:c>
      <x:c r="G474" s="296" t="n">
        <x:v>3</x:v>
      </x:c>
      <x:c r="H474" s="296" t="n">
        <x:v>9</x:v>
      </x:c>
      <x:c r="I474" s="296" t="n">
        <x:f>SUM(B474:F474)</x:f>
        <x:v>148</x:v>
      </x:c>
      <x:c r="J474" s="296" t="n">
        <x:f>MOD(B474,2)+MOD(C474,2)+MOD(D474,2)+MOD(E474,2)+MOD(F474,2)</x:f>
        <x:v>2</x:v>
      </x:c>
      <x:c r="K474" s="296" t="n">
        <x:f>COUNTIF(B474:F474,"&gt;31")</x:f>
        <x:v>3</x:v>
      </x:c>
      <x:c r="L474" s="336" t="n">
        <x:f>1/'Executive Summary'!$B$24</x:f>
        <x:v>7.1511238420185165e-9</x:v>
      </x:c>
      <x:c r="M474" s="342" t="n">
        <x:f>2.5</x:f>
        <x:v>2.5</x:v>
      </x:c>
      <x:c r="N474" s="288" t="str">
        <x:v>Conditional coverage wheel</x:v>
      </x:c>
    </x:row>
    <x:row r="475">
      <x:c r="A475" s="295" t="n">
        <x:v>471</x:v>
      </x:c>
      <x:c r="B475" s="296" t="n">
        <x:v>4</x:v>
      </x:c>
      <x:c r="C475" s="296" t="n">
        <x:v>28</x:v>
      </x:c>
      <x:c r="D475" s="296" t="n">
        <x:v>35</x:v>
      </x:c>
      <x:c r="E475" s="296" t="n">
        <x:v>37</x:v>
      </x:c>
      <x:c r="F475" s="296" t="n">
        <x:v>44</x:v>
      </x:c>
      <x:c r="G475" s="296" t="n">
        <x:v>4</x:v>
      </x:c>
      <x:c r="H475" s="296" t="n">
        <x:v>5</x:v>
      </x:c>
      <x:c r="I475" s="296" t="n">
        <x:f>SUM(B475:F475)</x:f>
        <x:v>148</x:v>
      </x:c>
      <x:c r="J475" s="296" t="n">
        <x:f>MOD(B475,2)+MOD(C475,2)+MOD(D475,2)+MOD(E475,2)+MOD(F475,2)</x:f>
        <x:v>2</x:v>
      </x:c>
      <x:c r="K475" s="296" t="n">
        <x:f>COUNTIF(B475:F475,"&gt;31")</x:f>
        <x:v>3</x:v>
      </x:c>
      <x:c r="L475" s="336" t="n">
        <x:f>1/'Executive Summary'!$B$24</x:f>
        <x:v>7.1511238420185165e-9</x:v>
      </x:c>
      <x:c r="M475" s="342" t="n">
        <x:f>2.5</x:f>
        <x:v>2.5</x:v>
      </x:c>
      <x:c r="N475" s="288" t="str">
        <x:v>Conditional coverage wheel</x:v>
      </x:c>
    </x:row>
    <x:row r="476">
      <x:c r="A476" s="295" t="n">
        <x:v>472</x:v>
      </x:c>
      <x:c r="B476" s="296" t="n">
        <x:v>4</x:v>
      </x:c>
      <x:c r="C476" s="296" t="n">
        <x:v>28</x:v>
      </x:c>
      <x:c r="D476" s="296" t="n">
        <x:v>35</x:v>
      </x:c>
      <x:c r="E476" s="296" t="n">
        <x:v>37</x:v>
      </x:c>
      <x:c r="F476" s="296" t="n">
        <x:v>44</x:v>
      </x:c>
      <x:c r="G476" s="296" t="n">
        <x:v>4</x:v>
      </x:c>
      <x:c r="H476" s="296" t="n">
        <x:v>7</x:v>
      </x:c>
      <x:c r="I476" s="296" t="n">
        <x:f>SUM(B476:F476)</x:f>
        <x:v>148</x:v>
      </x:c>
      <x:c r="J476" s="296" t="n">
        <x:f>MOD(B476,2)+MOD(C476,2)+MOD(D476,2)+MOD(E476,2)+MOD(F476,2)</x:f>
        <x:v>2</x:v>
      </x:c>
      <x:c r="K476" s="296" t="n">
        <x:f>COUNTIF(B476:F476,"&gt;31")</x:f>
        <x:v>3</x:v>
      </x:c>
      <x:c r="L476" s="336" t="n">
        <x:f>1/'Executive Summary'!$B$24</x:f>
        <x:v>7.1511238420185165e-9</x:v>
      </x:c>
      <x:c r="M476" s="342" t="n">
        <x:f>2.5</x:f>
        <x:v>2.5</x:v>
      </x:c>
      <x:c r="N476" s="288" t="str">
        <x:v>Conditional coverage wheel</x:v>
      </x:c>
    </x:row>
    <x:row r="477">
      <x:c r="A477" s="295" t="n">
        <x:v>473</x:v>
      </x:c>
      <x:c r="B477" s="296" t="n">
        <x:v>4</x:v>
      </x:c>
      <x:c r="C477" s="296" t="n">
        <x:v>28</x:v>
      </x:c>
      <x:c r="D477" s="296" t="n">
        <x:v>35</x:v>
      </x:c>
      <x:c r="E477" s="296" t="n">
        <x:v>37</x:v>
      </x:c>
      <x:c r="F477" s="296" t="n">
        <x:v>44</x:v>
      </x:c>
      <x:c r="G477" s="296" t="n">
        <x:v>4</x:v>
      </x:c>
      <x:c r="H477" s="296" t="n">
        <x:v>8</x:v>
      </x:c>
      <x:c r="I477" s="296" t="n">
        <x:f>SUM(B477:F477)</x:f>
        <x:v>148</x:v>
      </x:c>
      <x:c r="J477" s="296" t="n">
        <x:f>MOD(B477,2)+MOD(C477,2)+MOD(D477,2)+MOD(E477,2)+MOD(F477,2)</x:f>
        <x:v>2</x:v>
      </x:c>
      <x:c r="K477" s="296" t="n">
        <x:f>COUNTIF(B477:F477,"&gt;31")</x:f>
        <x:v>3</x:v>
      </x:c>
      <x:c r="L477" s="336" t="n">
        <x:f>1/'Executive Summary'!$B$24</x:f>
        <x:v>7.1511238420185165e-9</x:v>
      </x:c>
      <x:c r="M477" s="342" t="n">
        <x:f>2.5</x:f>
        <x:v>2.5</x:v>
      </x:c>
      <x:c r="N477" s="288" t="str">
        <x:v>Conditional coverage wheel</x:v>
      </x:c>
    </x:row>
    <x:row r="478">
      <x:c r="A478" s="295" t="n">
        <x:v>474</x:v>
      </x:c>
      <x:c r="B478" s="296" t="n">
        <x:v>4</x:v>
      </x:c>
      <x:c r="C478" s="296" t="n">
        <x:v>28</x:v>
      </x:c>
      <x:c r="D478" s="296" t="n">
        <x:v>35</x:v>
      </x:c>
      <x:c r="E478" s="296" t="n">
        <x:v>37</x:v>
      </x:c>
      <x:c r="F478" s="296" t="n">
        <x:v>44</x:v>
      </x:c>
      <x:c r="G478" s="296" t="n">
        <x:v>4</x:v>
      </x:c>
      <x:c r="H478" s="296" t="n">
        <x:v>9</x:v>
      </x:c>
      <x:c r="I478" s="296" t="n">
        <x:f>SUM(B478:F478)</x:f>
        <x:v>148</x:v>
      </x:c>
      <x:c r="J478" s="296" t="n">
        <x:f>MOD(B478,2)+MOD(C478,2)+MOD(D478,2)+MOD(E478,2)+MOD(F478,2)</x:f>
        <x:v>2</x:v>
      </x:c>
      <x:c r="K478" s="296" t="n">
        <x:f>COUNTIF(B478:F478,"&gt;31")</x:f>
        <x:v>3</x:v>
      </x:c>
      <x:c r="L478" s="336" t="n">
        <x:f>1/'Executive Summary'!$B$24</x:f>
        <x:v>7.1511238420185165e-9</x:v>
      </x:c>
      <x:c r="M478" s="342" t="n">
        <x:f>2.5</x:f>
        <x:v>2.5</x:v>
      </x:c>
      <x:c r="N478" s="288" t="str">
        <x:v>Conditional coverage wheel</x:v>
      </x:c>
    </x:row>
    <x:row r="479">
      <x:c r="A479" s="295" t="n">
        <x:v>475</x:v>
      </x:c>
      <x:c r="B479" s="296" t="n">
        <x:v>4</x:v>
      </x:c>
      <x:c r="C479" s="296" t="n">
        <x:v>28</x:v>
      </x:c>
      <x:c r="D479" s="296" t="n">
        <x:v>35</x:v>
      </x:c>
      <x:c r="E479" s="296" t="n">
        <x:v>37</x:v>
      </x:c>
      <x:c r="F479" s="296" t="n">
        <x:v>44</x:v>
      </x:c>
      <x:c r="G479" s="296" t="n">
        <x:v>5</x:v>
      </x:c>
      <x:c r="H479" s="296" t="n">
        <x:v>7</x:v>
      </x:c>
      <x:c r="I479" s="296" t="n">
        <x:f>SUM(B479:F479)</x:f>
        <x:v>148</x:v>
      </x:c>
      <x:c r="J479" s="296" t="n">
        <x:f>MOD(B479,2)+MOD(C479,2)+MOD(D479,2)+MOD(E479,2)+MOD(F479,2)</x:f>
        <x:v>2</x:v>
      </x:c>
      <x:c r="K479" s="296" t="n">
        <x:f>COUNTIF(B479:F479,"&gt;31")</x:f>
        <x:v>3</x:v>
      </x:c>
      <x:c r="L479" s="336" t="n">
        <x:f>1/'Executive Summary'!$B$24</x:f>
        <x:v>7.1511238420185165e-9</x:v>
      </x:c>
      <x:c r="M479" s="342" t="n">
        <x:f>2.5</x:f>
        <x:v>2.5</x:v>
      </x:c>
      <x:c r="N479" s="288" t="str">
        <x:v>Conditional coverage wheel</x:v>
      </x:c>
    </x:row>
    <x:row r="480">
      <x:c r="A480" s="295" t="n">
        <x:v>476</x:v>
      </x:c>
      <x:c r="B480" s="296" t="n">
        <x:v>4</x:v>
      </x:c>
      <x:c r="C480" s="296" t="n">
        <x:v>28</x:v>
      </x:c>
      <x:c r="D480" s="296" t="n">
        <x:v>35</x:v>
      </x:c>
      <x:c r="E480" s="296" t="n">
        <x:v>37</x:v>
      </x:c>
      <x:c r="F480" s="296" t="n">
        <x:v>44</x:v>
      </x:c>
      <x:c r="G480" s="296" t="n">
        <x:v>5</x:v>
      </x:c>
      <x:c r="H480" s="296" t="n">
        <x:v>8</x:v>
      </x:c>
      <x:c r="I480" s="296" t="n">
        <x:f>SUM(B480:F480)</x:f>
        <x:v>148</x:v>
      </x:c>
      <x:c r="J480" s="296" t="n">
        <x:f>MOD(B480,2)+MOD(C480,2)+MOD(D480,2)+MOD(E480,2)+MOD(F480,2)</x:f>
        <x:v>2</x:v>
      </x:c>
      <x:c r="K480" s="296" t="n">
        <x:f>COUNTIF(B480:F480,"&gt;31")</x:f>
        <x:v>3</x:v>
      </x:c>
      <x:c r="L480" s="336" t="n">
        <x:f>1/'Executive Summary'!$B$24</x:f>
        <x:v>7.1511238420185165e-9</x:v>
      </x:c>
      <x:c r="M480" s="342" t="n">
        <x:f>2.5</x:f>
        <x:v>2.5</x:v>
      </x:c>
      <x:c r="N480" s="288" t="str">
        <x:v>Conditional coverage wheel</x:v>
      </x:c>
    </x:row>
    <x:row r="481">
      <x:c r="A481" s="295" t="n">
        <x:v>477</x:v>
      </x:c>
      <x:c r="B481" s="296" t="n">
        <x:v>4</x:v>
      </x:c>
      <x:c r="C481" s="296" t="n">
        <x:v>28</x:v>
      </x:c>
      <x:c r="D481" s="296" t="n">
        <x:v>35</x:v>
      </x:c>
      <x:c r="E481" s="296" t="n">
        <x:v>37</x:v>
      </x:c>
      <x:c r="F481" s="296" t="n">
        <x:v>44</x:v>
      </x:c>
      <x:c r="G481" s="296" t="n">
        <x:v>5</x:v>
      </x:c>
      <x:c r="H481" s="296" t="n">
        <x:v>9</x:v>
      </x:c>
      <x:c r="I481" s="296" t="n">
        <x:f>SUM(B481:F481)</x:f>
        <x:v>148</x:v>
      </x:c>
      <x:c r="J481" s="296" t="n">
        <x:f>MOD(B481,2)+MOD(C481,2)+MOD(D481,2)+MOD(E481,2)+MOD(F481,2)</x:f>
        <x:v>2</x:v>
      </x:c>
      <x:c r="K481" s="296" t="n">
        <x:f>COUNTIF(B481:F481,"&gt;31")</x:f>
        <x:v>3</x:v>
      </x:c>
      <x:c r="L481" s="336" t="n">
        <x:f>1/'Executive Summary'!$B$24</x:f>
        <x:v>7.1511238420185165e-9</x:v>
      </x:c>
      <x:c r="M481" s="342" t="n">
        <x:f>2.5</x:f>
        <x:v>2.5</x:v>
      </x:c>
      <x:c r="N481" s="288" t="str">
        <x:v>Conditional coverage wheel</x:v>
      </x:c>
    </x:row>
    <x:row r="482">
      <x:c r="A482" s="295" t="n">
        <x:v>478</x:v>
      </x:c>
      <x:c r="B482" s="296" t="n">
        <x:v>4</x:v>
      </x:c>
      <x:c r="C482" s="296" t="n">
        <x:v>28</x:v>
      </x:c>
      <x:c r="D482" s="296" t="n">
        <x:v>35</x:v>
      </x:c>
      <x:c r="E482" s="296" t="n">
        <x:v>37</x:v>
      </x:c>
      <x:c r="F482" s="296" t="n">
        <x:v>44</x:v>
      </x:c>
      <x:c r="G482" s="296" t="n">
        <x:v>7</x:v>
      </x:c>
      <x:c r="H482" s="296" t="n">
        <x:v>8</x:v>
      </x:c>
      <x:c r="I482" s="296" t="n">
        <x:f>SUM(B482:F482)</x:f>
        <x:v>148</x:v>
      </x:c>
      <x:c r="J482" s="296" t="n">
        <x:f>MOD(B482,2)+MOD(C482,2)+MOD(D482,2)+MOD(E482,2)+MOD(F482,2)</x:f>
        <x:v>2</x:v>
      </x:c>
      <x:c r="K482" s="296" t="n">
        <x:f>COUNTIF(B482:F482,"&gt;31")</x:f>
        <x:v>3</x:v>
      </x:c>
      <x:c r="L482" s="336" t="n">
        <x:f>1/'Executive Summary'!$B$24</x:f>
        <x:v>7.1511238420185165e-9</x:v>
      </x:c>
      <x:c r="M482" s="342" t="n">
        <x:f>2.5</x:f>
        <x:v>2.5</x:v>
      </x:c>
      <x:c r="N482" s="288" t="str">
        <x:v>Conditional coverage wheel</x:v>
      </x:c>
    </x:row>
    <x:row r="483">
      <x:c r="A483" s="295" t="n">
        <x:v>479</x:v>
      </x:c>
      <x:c r="B483" s="296" t="n">
        <x:v>4</x:v>
      </x:c>
      <x:c r="C483" s="296" t="n">
        <x:v>28</x:v>
      </x:c>
      <x:c r="D483" s="296" t="n">
        <x:v>35</x:v>
      </x:c>
      <x:c r="E483" s="296" t="n">
        <x:v>37</x:v>
      </x:c>
      <x:c r="F483" s="296" t="n">
        <x:v>44</x:v>
      </x:c>
      <x:c r="G483" s="296" t="n">
        <x:v>7</x:v>
      </x:c>
      <x:c r="H483" s="296" t="n">
        <x:v>9</x:v>
      </x:c>
      <x:c r="I483" s="296" t="n">
        <x:f>SUM(B483:F483)</x:f>
        <x:v>148</x:v>
      </x:c>
      <x:c r="J483" s="296" t="n">
        <x:f>MOD(B483,2)+MOD(C483,2)+MOD(D483,2)+MOD(E483,2)+MOD(F483,2)</x:f>
        <x:v>2</x:v>
      </x:c>
      <x:c r="K483" s="296" t="n">
        <x:f>COUNTIF(B483:F483,"&gt;31")</x:f>
        <x:v>3</x:v>
      </x:c>
      <x:c r="L483" s="336" t="n">
        <x:f>1/'Executive Summary'!$B$24</x:f>
        <x:v>7.1511238420185165e-9</x:v>
      </x:c>
      <x:c r="M483" s="342" t="n">
        <x:f>2.5</x:f>
        <x:v>2.5</x:v>
      </x:c>
      <x:c r="N483" s="288" t="str">
        <x:v>Conditional coverage wheel</x:v>
      </x:c>
    </x:row>
    <x:row r="484">
      <x:c r="A484" s="295" t="n">
        <x:v>480</x:v>
      </x:c>
      <x:c r="B484" s="296" t="n">
        <x:v>4</x:v>
      </x:c>
      <x:c r="C484" s="296" t="n">
        <x:v>28</x:v>
      </x:c>
      <x:c r="D484" s="296" t="n">
        <x:v>35</x:v>
      </x:c>
      <x:c r="E484" s="296" t="n">
        <x:v>37</x:v>
      </x:c>
      <x:c r="F484" s="296" t="n">
        <x:v>44</x:v>
      </x:c>
      <x:c r="G484" s="296" t="n">
        <x:v>8</x:v>
      </x:c>
      <x:c r="H484" s="296" t="n">
        <x:v>9</x:v>
      </x:c>
      <x:c r="I484" s="296" t="n">
        <x:f>SUM(B484:F484)</x:f>
        <x:v>148</x:v>
      </x:c>
      <x:c r="J484" s="296" t="n">
        <x:f>MOD(B484,2)+MOD(C484,2)+MOD(D484,2)+MOD(E484,2)+MOD(F484,2)</x:f>
        <x:v>2</x:v>
      </x:c>
      <x:c r="K484" s="296" t="n">
        <x:f>COUNTIF(B484:F484,"&gt;31")</x:f>
        <x:v>3</x:v>
      </x:c>
      <x:c r="L484" s="336" t="n">
        <x:f>1/'Executive Summary'!$B$24</x:f>
        <x:v>7.1511238420185165e-9</x:v>
      </x:c>
      <x:c r="M484" s="342" t="n">
        <x:f>2.5</x:f>
        <x:v>2.5</x:v>
      </x:c>
      <x:c r="N484" s="288" t="str">
        <x:v>Conditional coverage wheel</x:v>
      </x:c>
    </x:row>
    <x:row r="485">
      <x:c r="A485" s="295" t="n">
        <x:v>481</x:v>
      </x:c>
      <x:c r="B485" s="296" t="n">
        <x:v>27</x:v>
      </x:c>
      <x:c r="C485" s="296" t="n">
        <x:v>36</x:v>
      </x:c>
      <x:c r="D485" s="296" t="n">
        <x:v>37</x:v>
      </x:c>
      <x:c r="E485" s="296" t="n">
        <x:v>42</x:v>
      </x:c>
      <x:c r="F485" s="296" t="n">
        <x:v>44</x:v>
      </x:c>
      <x:c r="G485" s="296" t="n">
        <x:v>3</x:v>
      </x:c>
      <x:c r="H485" s="296" t="n">
        <x:v>4</x:v>
      </x:c>
      <x:c r="I485" s="296" t="n">
        <x:f>SUM(B485:F485)</x:f>
        <x:v>186</x:v>
      </x:c>
      <x:c r="J485" s="296" t="n">
        <x:f>MOD(B485,2)+MOD(C485,2)+MOD(D485,2)+MOD(E485,2)+MOD(F485,2)</x:f>
        <x:v>2</x:v>
      </x:c>
      <x:c r="K485" s="296" t="n">
        <x:f>COUNTIF(B485:F485,"&gt;31")</x:f>
        <x:v>4</x:v>
      </x:c>
      <x:c r="L485" s="336" t="n">
        <x:f>1/'Executive Summary'!$B$24</x:f>
        <x:v>7.1511238420185165e-9</x:v>
      </x:c>
      <x:c r="M485" s="342" t="n">
        <x:f>2.5</x:f>
        <x:v>2.5</x:v>
      </x:c>
      <x:c r="N485" s="288" t="str">
        <x:v>Conditional coverage wheel</x:v>
      </x:c>
    </x:row>
    <x:row r="486">
      <x:c r="A486" s="295" t="n">
        <x:v>482</x:v>
      </x:c>
      <x:c r="B486" s="296" t="n">
        <x:v>27</x:v>
      </x:c>
      <x:c r="C486" s="296" t="n">
        <x:v>36</x:v>
      </x:c>
      <x:c r="D486" s="296" t="n">
        <x:v>37</x:v>
      </x:c>
      <x:c r="E486" s="296" t="n">
        <x:v>42</x:v>
      </x:c>
      <x:c r="F486" s="296" t="n">
        <x:v>44</x:v>
      </x:c>
      <x:c r="G486" s="296" t="n">
        <x:v>3</x:v>
      </x:c>
      <x:c r="H486" s="296" t="n">
        <x:v>5</x:v>
      </x:c>
      <x:c r="I486" s="296" t="n">
        <x:f>SUM(B486:F486)</x:f>
        <x:v>186</x:v>
      </x:c>
      <x:c r="J486" s="296" t="n">
        <x:f>MOD(B486,2)+MOD(C486,2)+MOD(D486,2)+MOD(E486,2)+MOD(F486,2)</x:f>
        <x:v>2</x:v>
      </x:c>
      <x:c r="K486" s="296" t="n">
        <x:f>COUNTIF(B486:F486,"&gt;31")</x:f>
        <x:v>4</x:v>
      </x:c>
      <x:c r="L486" s="336" t="n">
        <x:f>1/'Executive Summary'!$B$24</x:f>
        <x:v>7.1511238420185165e-9</x:v>
      </x:c>
      <x:c r="M486" s="342" t="n">
        <x:f>2.5</x:f>
        <x:v>2.5</x:v>
      </x:c>
      <x:c r="N486" s="288" t="str">
        <x:v>Conditional coverage wheel</x:v>
      </x:c>
    </x:row>
    <x:row r="487">
      <x:c r="A487" s="295" t="n">
        <x:v>483</x:v>
      </x:c>
      <x:c r="B487" s="296" t="n">
        <x:v>27</x:v>
      </x:c>
      <x:c r="C487" s="296" t="n">
        <x:v>36</x:v>
      </x:c>
      <x:c r="D487" s="296" t="n">
        <x:v>37</x:v>
      </x:c>
      <x:c r="E487" s="296" t="n">
        <x:v>42</x:v>
      </x:c>
      <x:c r="F487" s="296" t="n">
        <x:v>44</x:v>
      </x:c>
      <x:c r="G487" s="296" t="n">
        <x:v>3</x:v>
      </x:c>
      <x:c r="H487" s="296" t="n">
        <x:v>7</x:v>
      </x:c>
      <x:c r="I487" s="296" t="n">
        <x:f>SUM(B487:F487)</x:f>
        <x:v>186</x:v>
      </x:c>
      <x:c r="J487" s="296" t="n">
        <x:f>MOD(B487,2)+MOD(C487,2)+MOD(D487,2)+MOD(E487,2)+MOD(F487,2)</x:f>
        <x:v>2</x:v>
      </x:c>
      <x:c r="K487" s="296" t="n">
        <x:f>COUNTIF(B487:F487,"&gt;31")</x:f>
        <x:v>4</x:v>
      </x:c>
      <x:c r="L487" s="336" t="n">
        <x:f>1/'Executive Summary'!$B$24</x:f>
        <x:v>7.1511238420185165e-9</x:v>
      </x:c>
      <x:c r="M487" s="342" t="n">
        <x:f>2.5</x:f>
        <x:v>2.5</x:v>
      </x:c>
      <x:c r="N487" s="288" t="str">
        <x:v>Conditional coverage wheel</x:v>
      </x:c>
    </x:row>
    <x:row r="488">
      <x:c r="A488" s="295" t="n">
        <x:v>484</x:v>
      </x:c>
      <x:c r="B488" s="296" t="n">
        <x:v>27</x:v>
      </x:c>
      <x:c r="C488" s="296" t="n">
        <x:v>36</x:v>
      </x:c>
      <x:c r="D488" s="296" t="n">
        <x:v>37</x:v>
      </x:c>
      <x:c r="E488" s="296" t="n">
        <x:v>42</x:v>
      </x:c>
      <x:c r="F488" s="296" t="n">
        <x:v>44</x:v>
      </x:c>
      <x:c r="G488" s="296" t="n">
        <x:v>3</x:v>
      </x:c>
      <x:c r="H488" s="296" t="n">
        <x:v>8</x:v>
      </x:c>
      <x:c r="I488" s="296" t="n">
        <x:f>SUM(B488:F488)</x:f>
        <x:v>186</x:v>
      </x:c>
      <x:c r="J488" s="296" t="n">
        <x:f>MOD(B488,2)+MOD(C488,2)+MOD(D488,2)+MOD(E488,2)+MOD(F488,2)</x:f>
        <x:v>2</x:v>
      </x:c>
      <x:c r="K488" s="296" t="n">
        <x:f>COUNTIF(B488:F488,"&gt;31")</x:f>
        <x:v>4</x:v>
      </x:c>
      <x:c r="L488" s="336" t="n">
        <x:f>1/'Executive Summary'!$B$24</x:f>
        <x:v>7.1511238420185165e-9</x:v>
      </x:c>
      <x:c r="M488" s="342" t="n">
        <x:f>2.5</x:f>
        <x:v>2.5</x:v>
      </x:c>
      <x:c r="N488" s="288" t="str">
        <x:v>Conditional coverage wheel</x:v>
      </x:c>
    </x:row>
    <x:row r="489">
      <x:c r="A489" s="295" t="n">
        <x:v>485</x:v>
      </x:c>
      <x:c r="B489" s="296" t="n">
        <x:v>27</x:v>
      </x:c>
      <x:c r="C489" s="296" t="n">
        <x:v>36</x:v>
      </x:c>
      <x:c r="D489" s="296" t="n">
        <x:v>37</x:v>
      </x:c>
      <x:c r="E489" s="296" t="n">
        <x:v>42</x:v>
      </x:c>
      <x:c r="F489" s="296" t="n">
        <x:v>44</x:v>
      </x:c>
      <x:c r="G489" s="296" t="n">
        <x:v>3</x:v>
      </x:c>
      <x:c r="H489" s="296" t="n">
        <x:v>9</x:v>
      </x:c>
      <x:c r="I489" s="296" t="n">
        <x:f>SUM(B489:F489)</x:f>
        <x:v>186</x:v>
      </x:c>
      <x:c r="J489" s="296" t="n">
        <x:f>MOD(B489,2)+MOD(C489,2)+MOD(D489,2)+MOD(E489,2)+MOD(F489,2)</x:f>
        <x:v>2</x:v>
      </x:c>
      <x:c r="K489" s="296" t="n">
        <x:f>COUNTIF(B489:F489,"&gt;31")</x:f>
        <x:v>4</x:v>
      </x:c>
      <x:c r="L489" s="336" t="n">
        <x:f>1/'Executive Summary'!$B$24</x:f>
        <x:v>7.1511238420185165e-9</x:v>
      </x:c>
      <x:c r="M489" s="342" t="n">
        <x:f>2.5</x:f>
        <x:v>2.5</x:v>
      </x:c>
      <x:c r="N489" s="288" t="str">
        <x:v>Conditional coverage wheel</x:v>
      </x:c>
    </x:row>
    <x:row r="490">
      <x:c r="A490" s="295" t="n">
        <x:v>486</x:v>
      </x:c>
      <x:c r="B490" s="296" t="n">
        <x:v>27</x:v>
      </x:c>
      <x:c r="C490" s="296" t="n">
        <x:v>36</x:v>
      </x:c>
      <x:c r="D490" s="296" t="n">
        <x:v>37</x:v>
      </x:c>
      <x:c r="E490" s="296" t="n">
        <x:v>42</x:v>
      </x:c>
      <x:c r="F490" s="296" t="n">
        <x:v>44</x:v>
      </x:c>
      <x:c r="G490" s="296" t="n">
        <x:v>4</x:v>
      </x:c>
      <x:c r="H490" s="296" t="n">
        <x:v>5</x:v>
      </x:c>
      <x:c r="I490" s="296" t="n">
        <x:f>SUM(B490:F490)</x:f>
        <x:v>186</x:v>
      </x:c>
      <x:c r="J490" s="296" t="n">
        <x:f>MOD(B490,2)+MOD(C490,2)+MOD(D490,2)+MOD(E490,2)+MOD(F490,2)</x:f>
        <x:v>2</x:v>
      </x:c>
      <x:c r="K490" s="296" t="n">
        <x:f>COUNTIF(B490:F490,"&gt;31")</x:f>
        <x:v>4</x:v>
      </x:c>
      <x:c r="L490" s="336" t="n">
        <x:f>1/'Executive Summary'!$B$24</x:f>
        <x:v>7.1511238420185165e-9</x:v>
      </x:c>
      <x:c r="M490" s="342" t="n">
        <x:f>2.5</x:f>
        <x:v>2.5</x:v>
      </x:c>
      <x:c r="N490" s="288" t="str">
        <x:v>Conditional coverage wheel</x:v>
      </x:c>
    </x:row>
    <x:row r="491">
      <x:c r="A491" s="295" t="n">
        <x:v>487</x:v>
      </x:c>
      <x:c r="B491" s="296" t="n">
        <x:v>27</x:v>
      </x:c>
      <x:c r="C491" s="296" t="n">
        <x:v>36</x:v>
      </x:c>
      <x:c r="D491" s="296" t="n">
        <x:v>37</x:v>
      </x:c>
      <x:c r="E491" s="296" t="n">
        <x:v>42</x:v>
      </x:c>
      <x:c r="F491" s="296" t="n">
        <x:v>44</x:v>
      </x:c>
      <x:c r="G491" s="296" t="n">
        <x:v>4</x:v>
      </x:c>
      <x:c r="H491" s="296" t="n">
        <x:v>7</x:v>
      </x:c>
      <x:c r="I491" s="296" t="n">
        <x:f>SUM(B491:F491)</x:f>
        <x:v>186</x:v>
      </x:c>
      <x:c r="J491" s="296" t="n">
        <x:f>MOD(B491,2)+MOD(C491,2)+MOD(D491,2)+MOD(E491,2)+MOD(F491,2)</x:f>
        <x:v>2</x:v>
      </x:c>
      <x:c r="K491" s="296" t="n">
        <x:f>COUNTIF(B491:F491,"&gt;31")</x:f>
        <x:v>4</x:v>
      </x:c>
      <x:c r="L491" s="336" t="n">
        <x:f>1/'Executive Summary'!$B$24</x:f>
        <x:v>7.1511238420185165e-9</x:v>
      </x:c>
      <x:c r="M491" s="342" t="n">
        <x:f>2.5</x:f>
        <x:v>2.5</x:v>
      </x:c>
      <x:c r="N491" s="288" t="str">
        <x:v>Conditional coverage wheel</x:v>
      </x:c>
    </x:row>
    <x:row r="492">
      <x:c r="A492" s="295" t="n">
        <x:v>488</x:v>
      </x:c>
      <x:c r="B492" s="296" t="n">
        <x:v>27</x:v>
      </x:c>
      <x:c r="C492" s="296" t="n">
        <x:v>36</x:v>
      </x:c>
      <x:c r="D492" s="296" t="n">
        <x:v>37</x:v>
      </x:c>
      <x:c r="E492" s="296" t="n">
        <x:v>42</x:v>
      </x:c>
      <x:c r="F492" s="296" t="n">
        <x:v>44</x:v>
      </x:c>
      <x:c r="G492" s="296" t="n">
        <x:v>4</x:v>
      </x:c>
      <x:c r="H492" s="296" t="n">
        <x:v>8</x:v>
      </x:c>
      <x:c r="I492" s="296" t="n">
        <x:f>SUM(B492:F492)</x:f>
        <x:v>186</x:v>
      </x:c>
      <x:c r="J492" s="296" t="n">
        <x:f>MOD(B492,2)+MOD(C492,2)+MOD(D492,2)+MOD(E492,2)+MOD(F492,2)</x:f>
        <x:v>2</x:v>
      </x:c>
      <x:c r="K492" s="296" t="n">
        <x:f>COUNTIF(B492:F492,"&gt;31")</x:f>
        <x:v>4</x:v>
      </x:c>
      <x:c r="L492" s="336" t="n">
        <x:f>1/'Executive Summary'!$B$24</x:f>
        <x:v>7.1511238420185165e-9</x:v>
      </x:c>
      <x:c r="M492" s="342" t="n">
        <x:f>2.5</x:f>
        <x:v>2.5</x:v>
      </x:c>
      <x:c r="N492" s="288" t="str">
        <x:v>Conditional coverage wheel</x:v>
      </x:c>
    </x:row>
    <x:row r="493">
      <x:c r="A493" s="295" t="n">
        <x:v>489</x:v>
      </x:c>
      <x:c r="B493" s="296" t="n">
        <x:v>27</x:v>
      </x:c>
      <x:c r="C493" s="296" t="n">
        <x:v>36</x:v>
      </x:c>
      <x:c r="D493" s="296" t="n">
        <x:v>37</x:v>
      </x:c>
      <x:c r="E493" s="296" t="n">
        <x:v>42</x:v>
      </x:c>
      <x:c r="F493" s="296" t="n">
        <x:v>44</x:v>
      </x:c>
      <x:c r="G493" s="296" t="n">
        <x:v>4</x:v>
      </x:c>
      <x:c r="H493" s="296" t="n">
        <x:v>9</x:v>
      </x:c>
      <x:c r="I493" s="296" t="n">
        <x:f>SUM(B493:F493)</x:f>
        <x:v>186</x:v>
      </x:c>
      <x:c r="J493" s="296" t="n">
        <x:f>MOD(B493,2)+MOD(C493,2)+MOD(D493,2)+MOD(E493,2)+MOD(F493,2)</x:f>
        <x:v>2</x:v>
      </x:c>
      <x:c r="K493" s="296" t="n">
        <x:f>COUNTIF(B493:F493,"&gt;31")</x:f>
        <x:v>4</x:v>
      </x:c>
      <x:c r="L493" s="336" t="n">
        <x:f>1/'Executive Summary'!$B$24</x:f>
        <x:v>7.1511238420185165e-9</x:v>
      </x:c>
      <x:c r="M493" s="342" t="n">
        <x:f>2.5</x:f>
        <x:v>2.5</x:v>
      </x:c>
      <x:c r="N493" s="288" t="str">
        <x:v>Conditional coverage wheel</x:v>
      </x:c>
    </x:row>
    <x:row r="494">
      <x:c r="A494" s="295" t="n">
        <x:v>490</x:v>
      </x:c>
      <x:c r="B494" s="296" t="n">
        <x:v>27</x:v>
      </x:c>
      <x:c r="C494" s="296" t="n">
        <x:v>36</x:v>
      </x:c>
      <x:c r="D494" s="296" t="n">
        <x:v>37</x:v>
      </x:c>
      <x:c r="E494" s="296" t="n">
        <x:v>42</x:v>
      </x:c>
      <x:c r="F494" s="296" t="n">
        <x:v>44</x:v>
      </x:c>
      <x:c r="G494" s="296" t="n">
        <x:v>5</x:v>
      </x:c>
      <x:c r="H494" s="296" t="n">
        <x:v>7</x:v>
      </x:c>
      <x:c r="I494" s="296" t="n">
        <x:f>SUM(B494:F494)</x:f>
        <x:v>186</x:v>
      </x:c>
      <x:c r="J494" s="296" t="n">
        <x:f>MOD(B494,2)+MOD(C494,2)+MOD(D494,2)+MOD(E494,2)+MOD(F494,2)</x:f>
        <x:v>2</x:v>
      </x:c>
      <x:c r="K494" s="296" t="n">
        <x:f>COUNTIF(B494:F494,"&gt;31")</x:f>
        <x:v>4</x:v>
      </x:c>
      <x:c r="L494" s="336" t="n">
        <x:f>1/'Executive Summary'!$B$24</x:f>
        <x:v>7.1511238420185165e-9</x:v>
      </x:c>
      <x:c r="M494" s="342" t="n">
        <x:f>2.5</x:f>
        <x:v>2.5</x:v>
      </x:c>
      <x:c r="N494" s="288" t="str">
        <x:v>Conditional coverage wheel</x:v>
      </x:c>
    </x:row>
    <x:row r="495">
      <x:c r="A495" s="295" t="n">
        <x:v>491</x:v>
      </x:c>
      <x:c r="B495" s="296" t="n">
        <x:v>27</x:v>
      </x:c>
      <x:c r="C495" s="296" t="n">
        <x:v>36</x:v>
      </x:c>
      <x:c r="D495" s="296" t="n">
        <x:v>37</x:v>
      </x:c>
      <x:c r="E495" s="296" t="n">
        <x:v>42</x:v>
      </x:c>
      <x:c r="F495" s="296" t="n">
        <x:v>44</x:v>
      </x:c>
      <x:c r="G495" s="296" t="n">
        <x:v>5</x:v>
      </x:c>
      <x:c r="H495" s="296" t="n">
        <x:v>8</x:v>
      </x:c>
      <x:c r="I495" s="296" t="n">
        <x:f>SUM(B495:F495)</x:f>
        <x:v>186</x:v>
      </x:c>
      <x:c r="J495" s="296" t="n">
        <x:f>MOD(B495,2)+MOD(C495,2)+MOD(D495,2)+MOD(E495,2)+MOD(F495,2)</x:f>
        <x:v>2</x:v>
      </x:c>
      <x:c r="K495" s="296" t="n">
        <x:f>COUNTIF(B495:F495,"&gt;31")</x:f>
        <x:v>4</x:v>
      </x:c>
      <x:c r="L495" s="336" t="n">
        <x:f>1/'Executive Summary'!$B$24</x:f>
        <x:v>7.1511238420185165e-9</x:v>
      </x:c>
      <x:c r="M495" s="342" t="n">
        <x:f>2.5</x:f>
        <x:v>2.5</x:v>
      </x:c>
      <x:c r="N495" s="288" t="str">
        <x:v>Conditional coverage wheel</x:v>
      </x:c>
    </x:row>
    <x:row r="496">
      <x:c r="A496" s="295" t="n">
        <x:v>492</x:v>
      </x:c>
      <x:c r="B496" s="296" t="n">
        <x:v>27</x:v>
      </x:c>
      <x:c r="C496" s="296" t="n">
        <x:v>36</x:v>
      </x:c>
      <x:c r="D496" s="296" t="n">
        <x:v>37</x:v>
      </x:c>
      <x:c r="E496" s="296" t="n">
        <x:v>42</x:v>
      </x:c>
      <x:c r="F496" s="296" t="n">
        <x:v>44</x:v>
      </x:c>
      <x:c r="G496" s="296" t="n">
        <x:v>5</x:v>
      </x:c>
      <x:c r="H496" s="296" t="n">
        <x:v>9</x:v>
      </x:c>
      <x:c r="I496" s="296" t="n">
        <x:f>SUM(B496:F496)</x:f>
        <x:v>186</x:v>
      </x:c>
      <x:c r="J496" s="296" t="n">
        <x:f>MOD(B496,2)+MOD(C496,2)+MOD(D496,2)+MOD(E496,2)+MOD(F496,2)</x:f>
        <x:v>2</x:v>
      </x:c>
      <x:c r="K496" s="296" t="n">
        <x:f>COUNTIF(B496:F496,"&gt;31")</x:f>
        <x:v>4</x:v>
      </x:c>
      <x:c r="L496" s="336" t="n">
        <x:f>1/'Executive Summary'!$B$24</x:f>
        <x:v>7.1511238420185165e-9</x:v>
      </x:c>
      <x:c r="M496" s="342" t="n">
        <x:f>2.5</x:f>
        <x:v>2.5</x:v>
      </x:c>
      <x:c r="N496" s="288" t="str">
        <x:v>Conditional coverage wheel</x:v>
      </x:c>
    </x:row>
    <x:row r="497">
      <x:c r="A497" s="295" t="n">
        <x:v>493</x:v>
      </x:c>
      <x:c r="B497" s="296" t="n">
        <x:v>27</x:v>
      </x:c>
      <x:c r="C497" s="296" t="n">
        <x:v>36</x:v>
      </x:c>
      <x:c r="D497" s="296" t="n">
        <x:v>37</x:v>
      </x:c>
      <x:c r="E497" s="296" t="n">
        <x:v>42</x:v>
      </x:c>
      <x:c r="F497" s="296" t="n">
        <x:v>44</x:v>
      </x:c>
      <x:c r="G497" s="296" t="n">
        <x:v>7</x:v>
      </x:c>
      <x:c r="H497" s="296" t="n">
        <x:v>8</x:v>
      </x:c>
      <x:c r="I497" s="296" t="n">
        <x:f>SUM(B497:F497)</x:f>
        <x:v>186</x:v>
      </x:c>
      <x:c r="J497" s="296" t="n">
        <x:f>MOD(B497,2)+MOD(C497,2)+MOD(D497,2)+MOD(E497,2)+MOD(F497,2)</x:f>
        <x:v>2</x:v>
      </x:c>
      <x:c r="K497" s="296" t="n">
        <x:f>COUNTIF(B497:F497,"&gt;31")</x:f>
        <x:v>4</x:v>
      </x:c>
      <x:c r="L497" s="336" t="n">
        <x:f>1/'Executive Summary'!$B$24</x:f>
        <x:v>7.1511238420185165e-9</x:v>
      </x:c>
      <x:c r="M497" s="342" t="n">
        <x:f>2.5</x:f>
        <x:v>2.5</x:v>
      </x:c>
      <x:c r="N497" s="288" t="str">
        <x:v>Conditional coverage wheel</x:v>
      </x:c>
    </x:row>
    <x:row r="498">
      <x:c r="A498" s="295" t="n">
        <x:v>494</x:v>
      </x:c>
      <x:c r="B498" s="296" t="n">
        <x:v>27</x:v>
      </x:c>
      <x:c r="C498" s="296" t="n">
        <x:v>36</x:v>
      </x:c>
      <x:c r="D498" s="296" t="n">
        <x:v>37</x:v>
      </x:c>
      <x:c r="E498" s="296" t="n">
        <x:v>42</x:v>
      </x:c>
      <x:c r="F498" s="296" t="n">
        <x:v>44</x:v>
      </x:c>
      <x:c r="G498" s="296" t="n">
        <x:v>7</x:v>
      </x:c>
      <x:c r="H498" s="296" t="n">
        <x:v>9</x:v>
      </x:c>
      <x:c r="I498" s="296" t="n">
        <x:f>SUM(B498:F498)</x:f>
        <x:v>186</x:v>
      </x:c>
      <x:c r="J498" s="296" t="n">
        <x:f>MOD(B498,2)+MOD(C498,2)+MOD(D498,2)+MOD(E498,2)+MOD(F498,2)</x:f>
        <x:v>2</x:v>
      </x:c>
      <x:c r="K498" s="296" t="n">
        <x:f>COUNTIF(B498:F498,"&gt;31")</x:f>
        <x:v>4</x:v>
      </x:c>
      <x:c r="L498" s="336" t="n">
        <x:f>1/'Executive Summary'!$B$24</x:f>
        <x:v>7.1511238420185165e-9</x:v>
      </x:c>
      <x:c r="M498" s="342" t="n">
        <x:f>2.5</x:f>
        <x:v>2.5</x:v>
      </x:c>
      <x:c r="N498" s="288" t="str">
        <x:v>Conditional coverage wheel</x:v>
      </x:c>
    </x:row>
    <x:row r="499">
      <x:c r="A499" s="297" t="n">
        <x:v>495</x:v>
      </x:c>
      <x:c r="B499" s="298" t="n">
        <x:v>27</x:v>
      </x:c>
      <x:c r="C499" s="298" t="n">
        <x:v>36</x:v>
      </x:c>
      <x:c r="D499" s="298" t="n">
        <x:v>37</x:v>
      </x:c>
      <x:c r="E499" s="298" t="n">
        <x:v>42</x:v>
      </x:c>
      <x:c r="F499" s="298" t="n">
        <x:v>44</x:v>
      </x:c>
      <x:c r="G499" s="298" t="n">
        <x:v>8</x:v>
      </x:c>
      <x:c r="H499" s="298" t="n">
        <x:v>9</x:v>
      </x:c>
      <x:c r="I499" s="298" t="n">
        <x:f>SUM(B499:F499)</x:f>
        <x:v>186</x:v>
      </x:c>
      <x:c r="J499" s="298" t="n">
        <x:f>MOD(B499,2)+MOD(C499,2)+MOD(D499,2)+MOD(E499,2)+MOD(F499,2)</x:f>
        <x:v>2</x:v>
      </x:c>
      <x:c r="K499" s="298" t="n">
        <x:f>COUNTIF(B499:F499,"&gt;31")</x:f>
        <x:v>4</x:v>
      </x:c>
      <x:c r="L499" s="337" t="n">
        <x:f>1/'Executive Summary'!$B$24</x:f>
        <x:v>7.1511238420185165e-9</x:v>
      </x:c>
      <x:c r="M499" s="343" t="n">
        <x:f>2.5</x:f>
        <x:v>2.5</x:v>
      </x:c>
      <x:c r="N499" s="290" t="str">
        <x:v>Conditional coverage wheel</x:v>
      </x:c>
    </x:row>
  </x:sheetData>
  <x:mergeCells>
    <x:mergeCell ref="A1:N1"/>
    <x:mergeCell ref="A2:N2"/>
  </x:mergeCells>
  <x:pageMargins left="0.7" right="0.7" top="0.75" bottom="0.75" header="0.3" footer="0.3"/>
</x:worksheet>
</file>

<file path=xl/worksheets/sheet24.xml><?xml version="1.0" encoding="utf-8"?>
<x:worksheet xmlns:x="http://schemas.openxmlformats.org/spreadsheetml/2006/main">
  <x:sheetFormatPr defaultRowHeight="15"/>
  <x:sheetData>
    <x:row r="1">
      <x:c r="A1" s="382" t="str">
        <x:v>Exhaustive Mathematical Coverage Certificate</x:v>
      </x:c>
      <x:c r="B1" s="382"/>
      <x:c r="C1" s="382"/>
      <x:c r="D1" s="382"/>
      <x:c r="E1" s="382"/>
      <x:c r="F1" s="382"/>
      <x:c r="G1" s="382"/>
      <x:c r="H1" s="382"/>
      <x:c r="I1" s="382"/>
      <x:c r="J1" s="382"/>
      <x:c r="K1" s="382"/>
      <x:c r="L1" s="260"/>
      <x:c r="M1" s="260"/>
      <x:c r="N1" s="260"/>
      <x:c r="O1" s="260"/>
      <x:c r="P1" s="260"/>
      <x:c r="Q1" s="260"/>
      <x:c r="R1" s="260"/>
      <x:c r="S1" s="260"/>
      <x:c r="T1" s="260"/>
      <x:c r="U1" s="260"/>
      <x:c r="V1" s="260"/>
      <x:c r="W1" s="260"/>
      <x:c r="X1" s="260"/>
      <x:c r="Y1" s="260"/>
      <x:c r="Z1" s="260"/>
    </x:row>
    <x:row r="3">
      <x:c r="A3" s="311" t="str">
        <x:v>Test</x:v>
      </x:c>
      <x:c r="B3" s="312" t="str">
        <x:v>Required</x:v>
      </x:c>
      <x:c r="C3" s="312" t="str">
        <x:v>Covered</x:v>
      </x:c>
      <x:c r="D3" s="312" t="str">
        <x:v>Missing</x:v>
      </x:c>
      <x:c r="E3" s="312" t="str">
        <x:v>Result</x:v>
      </x:c>
      <x:c r="F3" s="313" t="str">
        <x:v>Method</x:v>
      </x:c>
    </x:row>
    <x:row r="4">
      <x:c r="A4" s="295" t="str">
        <x:v>Main pairs</x:v>
      </x:c>
      <x:c r="B4" s="296" t="n">
        <x:v>66</x:v>
      </x:c>
      <x:c r="C4" s="296" t="n">
        <x:v>66</x:v>
      </x:c>
      <x:c r="D4" s="296" t="n">
        <x:v>0</x:v>
      </x:c>
      <x:c r="E4" s="340" t="str">
        <x:v>PASS</x:v>
      </x:c>
      <x:c r="F4" s="288" t="str">
        <x:v>Exhaustive C(12,2) enumeration</x:v>
      </x:c>
    </x:row>
    <x:row r="5">
      <x:c r="A5" s="295" t="str">
        <x:v>Main triples</x:v>
      </x:c>
      <x:c r="B5" s="296" t="n">
        <x:v>220</x:v>
      </x:c>
      <x:c r="C5" s="296" t="n">
        <x:v>220</x:v>
      </x:c>
      <x:c r="D5" s="296" t="n">
        <x:v>0</x:v>
      </x:c>
      <x:c r="E5" s="340" t="str">
        <x:v>PASS</x:v>
      </x:c>
      <x:c r="F5" s="288" t="str">
        <x:v>Exhaustive C(12,3) enumeration</x:v>
      </x:c>
    </x:row>
    <x:row r="6">
      <x:c r="A6" s="295" t="str">
        <x:v>Compact Euro pairs</x:v>
      </x:c>
      <x:c r="B6" s="296" t="n">
        <x:v>6</x:v>
      </x:c>
      <x:c r="C6" s="296" t="n">
        <x:v>6</x:v>
      </x:c>
      <x:c r="D6" s="296" t="n">
        <x:v>0</x:v>
      </x:c>
      <x:c r="E6" s="340" t="str">
        <x:v>PASS</x:v>
      </x:c>
      <x:c r="F6" s="288" t="str">
        <x:v>All C(4,2) pairs</x:v>
      </x:c>
    </x:row>
    <x:row r="7">
      <x:c r="A7" s="295" t="str">
        <x:v>Extended Euro pairs</x:v>
      </x:c>
      <x:c r="B7" s="296" t="n">
        <x:v>15</x:v>
      </x:c>
      <x:c r="C7" s="296" t="n">
        <x:v>15</x:v>
      </x:c>
      <x:c r="D7" s="296" t="n">
        <x:v>0</x:v>
      </x:c>
      <x:c r="E7" s="340" t="str">
        <x:v>PASS</x:v>
      </x:c>
      <x:c r="F7" s="288" t="str">
        <x:v>All C(6,2) pairs</x:v>
      </x:c>
    </x:row>
    <x:row r="8">
      <x:c r="A8" s="295" t="str">
        <x:v>54-line uniqueness</x:v>
      </x:c>
      <x:c r="B8" s="296" t="n">
        <x:v>54</x:v>
      </x:c>
      <x:c r="C8" s="296" t="n">
        <x:v>54</x:v>
      </x:c>
      <x:c r="D8" s="296" t="n">
        <x:v>0</x:v>
      </x:c>
      <x:c r="E8" s="340" t="str">
        <x:v>PASS</x:v>
      </x:c>
      <x:c r="F8" s="288" t="str">
        <x:v>Exact signatures</x:v>
      </x:c>
    </x:row>
    <x:row r="9">
      <x:c r="A9" s="295" t="str">
        <x:v>135-line uniqueness</x:v>
      </x:c>
      <x:c r="B9" s="296" t="n">
        <x:v>135</x:v>
      </x:c>
      <x:c r="C9" s="296" t="n">
        <x:v>135</x:v>
      </x:c>
      <x:c r="D9" s="296" t="n">
        <x:v>0</x:v>
      </x:c>
      <x:c r="E9" s="340" t="str">
        <x:v>PASS</x:v>
      </x:c>
      <x:c r="F9" s="288" t="str">
        <x:v>Exact signatures</x:v>
      </x:c>
    </x:row>
    <x:row r="10">
      <x:c r="A10" s="295" t="str">
        <x:v>198-line uniqueness</x:v>
      </x:c>
      <x:c r="B10" s="296" t="n">
        <x:v>198</x:v>
      </x:c>
      <x:c r="C10" s="296" t="n">
        <x:v>198</x:v>
      </x:c>
      <x:c r="D10" s="296" t="n">
        <x:v>0</x:v>
      </x:c>
      <x:c r="E10" s="340" t="str">
        <x:v>PASS</x:v>
      </x:c>
      <x:c r="F10" s="288" t="str">
        <x:v>Exact signatures</x:v>
      </x:c>
    </x:row>
    <x:row r="11">
      <x:c r="A11" s="297" t="str">
        <x:v>495-line uniqueness</x:v>
      </x:c>
      <x:c r="B11" s="298" t="n">
        <x:v>495</x:v>
      </x:c>
      <x:c r="C11" s="298" t="n">
        <x:v>495</x:v>
      </x:c>
      <x:c r="D11" s="298" t="n">
        <x:v>0</x:v>
      </x:c>
      <x:c r="E11" s="341" t="str">
        <x:v>PASS</x:v>
      </x:c>
      <x:c r="F11" s="290" t="str">
        <x:v>Exact signatures</x:v>
      </x:c>
    </x:row>
    <x:row r="13">
      <x:c r="A13" s="326" t="str">
        <x:v>PASS certifies combinatorial coverage and uniqueness only. It does not guarantee that the winning numbers fall inside the selected pools.</x:v>
      </x:c>
      <x:c r="B13" s="326"/>
      <x:c r="C13" s="326"/>
      <x:c r="D13" s="326"/>
      <x:c r="E13" s="326"/>
      <x:c r="F13" s="326"/>
      <x:c r="G13" s="326"/>
      <x:c r="H13" s="326"/>
      <x:c r="I13" s="326"/>
      <x:c r="J13" s="326"/>
      <x:c r="K13" s="326"/>
    </x:row>
    <x:row r="14">
      <x:c r="A14" s="326"/>
      <x:c r="B14" s="326"/>
      <x:c r="C14" s="326"/>
      <x:c r="D14" s="326"/>
      <x:c r="E14" s="326"/>
      <x:c r="F14" s="326"/>
      <x:c r="G14" s="326"/>
      <x:c r="H14" s="326"/>
      <x:c r="I14" s="326"/>
      <x:c r="J14" s="326"/>
      <x:c r="K14" s="326"/>
    </x:row>
    <x:row r="15">
      <x:c r="A15" s="326"/>
      <x:c r="B15" s="326"/>
      <x:c r="C15" s="326"/>
      <x:c r="D15" s="326"/>
      <x:c r="E15" s="326"/>
      <x:c r="F15" s="326"/>
      <x:c r="G15" s="326"/>
      <x:c r="H15" s="326"/>
      <x:c r="I15" s="326"/>
      <x:c r="J15" s="326"/>
      <x:c r="K15" s="326"/>
    </x:row>
    <x:row r="16">
      <x:c r="A16" s="326"/>
      <x:c r="B16" s="326"/>
      <x:c r="C16" s="326"/>
      <x:c r="D16" s="326"/>
      <x:c r="E16" s="326"/>
      <x:c r="F16" s="326"/>
      <x:c r="G16" s="326"/>
      <x:c r="H16" s="326"/>
      <x:c r="I16" s="326"/>
      <x:c r="J16" s="326"/>
      <x:c r="K16" s="326"/>
    </x:row>
    <x:row r="17">
      <x:c r="A17" s="326"/>
      <x:c r="B17" s="326"/>
      <x:c r="C17" s="326"/>
      <x:c r="D17" s="326"/>
      <x:c r="E17" s="326"/>
      <x:c r="F17" s="326"/>
      <x:c r="G17" s="326"/>
      <x:c r="H17" s="326"/>
      <x:c r="I17" s="326"/>
      <x:c r="J17" s="326"/>
      <x:c r="K17" s="326"/>
    </x:row>
  </x:sheetData>
  <x:mergeCells>
    <x:mergeCell ref="A1:K1"/>
    <x:mergeCell ref="A13:K17"/>
  </x:mergeCells>
  <x:pageMargins left="0.7" right="0.7" top="0.75" bottom="0.75" header="0.3" footer="0.3"/>
</x:worksheet>
</file>

<file path=xl/worksheets/sheet25.xml><?xml version="1.0" encoding="utf-8"?>
<x:worksheet xmlns:x="http://schemas.openxmlformats.org/spreadsheetml/2006/main">
  <x:sheetFormatPr defaultRowHeight="15"/>
  <x:cols>
    <x:col min="1" max="1" width="38" hidden="0" customWidth="1"/>
    <x:col min="2" max="2" width="25" hidden="0" customWidth="1"/>
    <x:col min="3" max="3" width="55" hidden="0" customWidth="1"/>
    <x:col min="4" max="4" width="23" hidden="0" customWidth="1"/>
    <x:col min="5" max="5" width="29" hidden="0" customWidth="1"/>
    <x:col min="6" max="6" width="57" hidden="0" customWidth="1"/>
  </x:cols>
  <x:sheetData>
    <x:row r="1" ht="30" customHeight="1">
      <x:c r="A1" s="499" t="str">
        <x:v>Advanced Methods Register v3.3</x:v>
      </x:c>
      <x:c r="B1" s="499"/>
      <x:c r="C1" s="499"/>
      <x:c r="D1" s="499"/>
      <x:c r="E1" s="499"/>
      <x:c r="F1" s="499"/>
      <x:c r="G1" s="499"/>
      <x:c r="H1" s="499"/>
      <x:c r="I1" s="260"/>
      <x:c r="J1" s="260"/>
      <x:c r="K1" s="260"/>
      <x:c r="L1" s="260"/>
      <x:c r="M1" s="260"/>
      <x:c r="N1" s="260"/>
      <x:c r="O1" s="260"/>
      <x:c r="P1" s="260"/>
      <x:c r="Q1" s="260"/>
      <x:c r="R1" s="260"/>
      <x:c r="S1" s="260"/>
      <x:c r="T1" s="260"/>
      <x:c r="U1" s="260"/>
      <x:c r="V1" s="260"/>
      <x:c r="W1" s="260"/>
      <x:c r="X1" s="260"/>
      <x:c r="Y1" s="260"/>
      <x:c r="Z1" s="260"/>
    </x:row>
    <x:row r="3">
      <x:c r="A3" s="432" t="str">
        <x:v>Method</x:v>
      </x:c>
      <x:c r="B3" s="433" t="str">
        <x:v>Family</x:v>
      </x:c>
      <x:c r="C3" s="433" t="str">
        <x:v>Purpose</x:v>
      </x:c>
      <x:c r="D3" s="433" t="str">
        <x:v>Implementation</x:v>
      </x:c>
      <x:c r="E3" s="433" t="str">
        <x:v>Current Use</x:v>
      </x:c>
      <x:c r="F3" s="434" t="str">
        <x:v>Promotion Gate</x:v>
      </x:c>
    </x:row>
    <x:row r="4">
      <x:c r="A4" s="417" t="str">
        <x:v>Sequential e-values / test martingales</x:v>
      </x:c>
      <x:c r="B4" s="296" t="str">
        <x:v>Sequential inference</x:v>
      </x:c>
      <x:c r="C4" s="330" t="str">
        <x:v>Continuous fair-draw monitoring without optional-stopping bias</x:v>
      </x:c>
      <x:c r="D4" s="330" t="str">
        <x:v>IMPLEMENTED</x:v>
      </x:c>
      <x:c r="E4" s="330" t="str">
        <x:v>Historical audit + prospective update</x:v>
      </x:c>
      <x:c r="F4" s="412" t="str">
        <x:v>E-value ≥20 and sustained prospective growth</x:v>
      </x:c>
    </x:row>
    <x:row r="5">
      <x:c r="A5" s="417" t="str">
        <x:v>Bayesian online change-point detection</x:v>
      </x:c>
      <x:c r="B5" s="296" t="str">
        <x:v>Structural-break detection</x:v>
      </x:c>
      <x:c r="C5" s="330" t="str">
        <x:v>Unknown machinery/procedure/regime breakpoints</x:v>
      </x:c>
      <x:c r="D5" s="330" t="str">
        <x:v>IMPLEMENTED</x:v>
      </x:c>
      <x:c r="E5" s="330" t="str">
        <x:v>Research only</x:v>
      </x:c>
      <x:c r="F5" s="412" t="str">
        <x:v>Replicated break with future validation</x:v>
      </x:c>
    </x:row>
    <x:row r="6">
      <x:c r="A6" s="417" t="str">
        <x:v>CUSUM / Page-Hinkley drift</x:v>
      </x:c>
      <x:c r="B6" s="296" t="str">
        <x:v>Structural-break detection</x:v>
      </x:c>
      <x:c r="C6" s="330" t="str">
        <x:v>Fast drift alarms</x:v>
      </x:c>
      <x:c r="D6" s="330" t="str">
        <x:v>IMPLEMENTED</x:v>
      </x:c>
      <x:c r="E6" s="330" t="str">
        <x:v>Research only</x:v>
      </x:c>
      <x:c r="F6" s="412" t="str">
        <x:v>Predeclared threshold + post-alarm holdout</x:v>
      </x:c>
    </x:row>
    <x:row r="7">
      <x:c r="A7" s="417" t="str">
        <x:v>Hidden Markov regime model</x:v>
      </x:c>
      <x:c r="B7" s="296" t="str">
        <x:v>Latent-regime model</x:v>
      </x:c>
      <x:c r="C7" s="330" t="str">
        <x:v>Tests hidden operating states</x:v>
      </x:c>
      <x:c r="D7" s="330" t="str">
        <x:v>IMPLEMENTED</x:v>
      </x:c>
      <x:c r="E7" s="330" t="str">
        <x:v>Research only</x:v>
      </x:c>
      <x:c r="F7" s="412" t="str">
        <x:v>Lower BIC and prospective score improvement</x:v>
      </x:c>
    </x:row>
    <x:row r="8">
      <x:c r="A8" s="417" t="str">
        <x:v>Logistic-normal dynamic Bayesian model</x:v>
      </x:c>
      <x:c r="B8" s="296" t="str">
        <x:v>Dynamic Bayesian</x:v>
      </x:c>
      <x:c r="C8" s="330" t="str">
        <x:v>Joint probability drift with shrinkage</x:v>
      </x:c>
      <x:c r="D8" s="330" t="str">
        <x:v>IMPLEMENTED</x:v>
      </x:c>
      <x:c r="E8" s="330" t="str">
        <x:v>Research only</x:v>
      </x:c>
      <x:c r="F8" s="412" t="str">
        <x:v>Calibrated OOS improvement after multiplicity correction</x:v>
      </x:c>
    </x:row>
    <x:row r="9">
      <x:c r="A9" s="417" t="str">
        <x:v>Dirichlet-process regime mixture</x:v>
      </x:c>
      <x:c r="B9" s="296" t="str">
        <x:v>Bayesian non-parametric</x:v>
      </x:c>
      <x:c r="C9" s="330" t="str">
        <x:v>Data-driven historical regime clustering</x:v>
      </x:c>
      <x:c r="D9" s="330" t="str">
        <x:v>IMPLEMENTED</x:v>
      </x:c>
      <x:c r="E9" s="330" t="str">
        <x:v>Descriptive research</x:v>
      </x:c>
      <x:c r="F9" s="412" t="str">
        <x:v>Stable clusters with future predictive value</x:v>
      </x:c>
    </x:row>
    <x:row r="10">
      <x:c r="A10" s="417" t="str">
        <x:v>Ising maximum-entropy model</x:v>
      </x:c>
      <x:c r="B10" s="296" t="str">
        <x:v>Interaction model</x:v>
      </x:c>
      <x:c r="C10" s="330" t="str">
        <x:v>Regularised pair dependence</x:v>
      </x:c>
      <x:c r="D10" s="330" t="str">
        <x:v>IMPLEMENTED</x:v>
      </x:c>
      <x:c r="E10" s="330" t="str">
        <x:v>Research only</x:v>
      </x:c>
      <x:c r="F10" s="412" t="str">
        <x:v>Nonzero validated interactions and OOS score gain</x:v>
      </x:c>
    </x:row>
    <x:row r="11">
      <x:c r="A11" s="417" t="str">
        <x:v>Hypergraph spectral model</x:v>
      </x:c>
      <x:c r="B11" s="296" t="str">
        <x:v>Graph / hypergraph</x:v>
      </x:c>
      <x:c r="C11" s="330" t="str">
        <x:v>Pair/triple co-occurrence embeddings</x:v>
      </x:c>
      <x:c r="D11" s="330" t="str">
        <x:v>IMPLEMENTED</x:v>
      </x:c>
      <x:c r="E11" s="330" t="str">
        <x:v>Research only</x:v>
      </x:c>
      <x:c r="F11" s="412" t="str">
        <x:v>Synthetic-null-adjusted predictive gain</x:v>
      </x:c>
    </x:row>
    <x:row r="12">
      <x:c r="A12" s="417" t="str">
        <x:v>Discrete survival / hazard model</x:v>
      </x:c>
      <x:c r="B12" s="296" t="str">
        <x:v>Gap model</x:v>
      </x:c>
      <x:c r="C12" s="330" t="str">
        <x:v>Formal test of overdue-number effects</x:v>
      </x:c>
      <x:c r="D12" s="330" t="str">
        <x:v>IMPLEMENTED</x:v>
      </x:c>
      <x:c r="E12" s="330" t="str">
        <x:v>Research only</x:v>
      </x:c>
      <x:c r="F12" s="412" t="str">
        <x:v>Deviation from geometric hazard and OOS gain</x:v>
      </x:c>
    </x:row>
    <x:row r="13">
      <x:c r="A13" s="417" t="str">
        <x:v>Gaussian-process drift</x:v>
      </x:c>
      <x:c r="B13" s="296" t="str">
        <x:v>Nonlinear time series</x:v>
      </x:c>
      <x:c r="C13" s="330" t="str">
        <x:v>Slow mechanical/procedural probability drift</x:v>
      </x:c>
      <x:c r="D13" s="330" t="str">
        <x:v>IMPLEMENTED</x:v>
      </x:c>
      <x:c r="E13" s="330" t="str">
        <x:v>Research only</x:v>
      </x:c>
      <x:c r="F13" s="412" t="str">
        <x:v>Prospective drift with calibrated improvement</x:v>
      </x:c>
    </x:row>
    <x:row r="14">
      <x:c r="A14" s="417" t="str">
        <x:v>Joint conformal prediction sets</x:v>
      </x:c>
      <x:c r="B14" s="296" t="str">
        <x:v>Uncertainty quantification</x:v>
      </x:c>
      <x:c r="C14" s="330" t="str">
        <x:v>Coverage-calibrated candidate-number sets</x:v>
      </x:c>
      <x:c r="D14" s="330" t="str">
        <x:v>IMPLEMENTED</x:v>
      </x:c>
      <x:c r="E14" s="330" t="str">
        <x:v>Communication / research</x:v>
      </x:c>
      <x:c r="F14" s="412" t="str">
        <x:v>Target coverage with materially smaller sets</x:v>
      </x:c>
    </x:row>
    <x:row r="15">
      <x:c r="A15" s="417" t="str">
        <x:v>Cross-fitted Super Learner</x:v>
      </x:c>
      <x:c r="B15" s="296" t="str">
        <x:v>Ensemble</x:v>
      </x:c>
      <x:c r="C15" s="330" t="str">
        <x:v>Nonnegative out-of-fold stacking</x:v>
      </x:c>
      <x:c r="D15" s="330" t="str">
        <x:v>IMPLEMENTED</x:v>
      </x:c>
      <x:c r="E15" s="330" t="str">
        <x:v>Candidate research ensemble</x:v>
      </x:c>
      <x:c r="F15" s="412" t="str">
        <x:v>Uniform excluded by MCS and all gates pass</x:v>
      </x:c>
    </x:row>
    <x:row r="16">
      <x:c r="A16" s="417" t="str">
        <x:v>Distributionally robust stacking</x:v>
      </x:c>
      <x:c r="B16" s="296" t="str">
        <x:v>Robust ensemble</x:v>
      </x:c>
      <x:c r="C16" s="330" t="str">
        <x:v>Worst-period / minimax weighting</x:v>
      </x:c>
      <x:c r="D16" s="330" t="str">
        <x:v>IMPLEMENTED</x:v>
      </x:c>
      <x:c r="E16" s="330" t="str">
        <x:v>Candidate research ensemble</x:v>
      </x:c>
      <x:c r="F16" s="412" t="str">
        <x:v>Positive improvement in every predefined block</x:v>
      </x:c>
    </x:row>
    <x:row r="17">
      <x:c r="A17" s="417" t="str">
        <x:v>Compression / MDL tests</x:v>
      </x:c>
      <x:c r="B17" s="296" t="str">
        <x:v>Randomness diagnostics</x:v>
      </x:c>
      <x:c r="C17" s="330" t="str">
        <x:v>Detects unusual sequence compressibility</x:v>
      </x:c>
      <x:c r="D17" s="330" t="str">
        <x:v>IMPLEMENTED</x:v>
      </x:c>
      <x:c r="E17" s="330" t="str">
        <x:v>Audit only</x:v>
      </x:c>
      <x:c r="F17" s="412" t="str">
        <x:v>Real history outside synthetic-null envelope</x:v>
      </x:c>
    </x:row>
    <x:row r="18">
      <x:c r="A18" s="417" t="str">
        <x:v>Bias-corrected mutual information</x:v>
      </x:c>
      <x:c r="B18" s="296" t="str">
        <x:v>Dependence diagnostics</x:v>
      </x:c>
      <x:c r="C18" s="330" t="str">
        <x:v>Lag, day and conditional dependence</x:v>
      </x:c>
      <x:c r="D18" s="330" t="str">
        <x:v>IMPLEMENTED</x:v>
      </x:c>
      <x:c r="E18" s="330" t="str">
        <x:v>Audit only</x:v>
      </x:c>
      <x:c r="F18" s="412" t="str">
        <x:v>Family-wise corrected p &lt;0.05 prospectively</x:v>
      </x:c>
    </x:row>
    <x:row r="19">
      <x:c r="A19" s="417" t="str">
        <x:v>Synthetic-null model laboratory</x:v>
      </x:c>
      <x:c r="B19" s="296" t="str">
        <x:v>Simulation inference</x:v>
      </x:c>
      <x:c r="C19" s="330" t="str">
        <x:v>Measures how often false edges arise in fair histories</x:v>
      </x:c>
      <x:c r="D19" s="330" t="str">
        <x:v>IMPLEMENTED</x:v>
      </x:c>
      <x:c r="E19" s="330" t="str">
        <x:v>MANDATORY gate</x:v>
      </x:c>
      <x:c r="F19" s="412" t="str">
        <x:v>Observed statistic beyond corrected null threshold</x:v>
      </x:c>
    </x:row>
    <x:row r="20">
      <x:c r="A20" s="417" t="str">
        <x:v>Model Confidence Set / SPA</x:v>
      </x:c>
      <x:c r="B20" s="296" t="str">
        <x:v>Multiple-model inference</x:v>
      </x:c>
      <x:c r="C20" s="330" t="str">
        <x:v>Controls best-model selection bias</x:v>
      </x:c>
      <x:c r="D20" s="330" t="str">
        <x:v>IMPLEMENTED</x:v>
      </x:c>
      <x:c r="E20" s="330" t="str">
        <x:v>MANDATORY gate</x:v>
      </x:c>
      <x:c r="F20" s="412" t="str">
        <x:v>Uniform excluded from confidence set</x:v>
      </x:c>
    </x:row>
    <x:row r="21">
      <x:c r="A21" s="417" t="str">
        <x:v>Prospective prediction registry</x:v>
      </x:c>
      <x:c r="B21" s="296" t="str">
        <x:v>Governance</x:v>
      </x:c>
      <x:c r="C21" s="330" t="str">
        <x:v>Immutable pre-draw forecasts and hashes</x:v>
      </x:c>
      <x:c r="D21" s="330" t="str">
        <x:v>IMPLEMENTED</x:v>
      </x:c>
      <x:c r="E21" s="330" t="str">
        <x:v>PRODUCTION safeguard</x:v>
      </x:c>
      <x:c r="F21" s="412" t="str">
        <x:v>Every prediction frozen before draw</x:v>
      </x:c>
    </x:row>
    <x:row r="22">
      <x:c r="A22" s="417" t="str">
        <x:v>Player-choice / prize-sharing model</x:v>
      </x:c>
      <x:c r="B22" s="296" t="str">
        <x:v>Expected-payout strategy</x:v>
      </x:c>
      <x:c r="C22" s="330" t="str">
        <x:v>Reduces likely co-winner crowding</x:v>
      </x:c>
      <x:c r="D22" s="330" t="str">
        <x:v>IMPLEMENTED heuristic</x:v>
      </x:c>
      <x:c r="E22" s="330" t="str">
        <x:v>Portfolio strategy only</x:v>
      </x:c>
      <x:c r="F22" s="412" t="str">
        <x:v>Requires real player-choice calibration data</x:v>
      </x:c>
    </x:row>
    <x:row r="23">
      <x:c r="A23" s="418" t="str">
        <x:v>Prize-tier EV + exact CP/MILP wheel optimisation</x:v>
      </x:c>
      <x:c r="B23" s="419" t="str">
        <x:v>Portfolio optimisation</x:v>
      </x:c>
      <x:c r="C23" s="436" t="str">
        <x:v>Prize-tier EV and minimum covering designs</x:v>
      </x:c>
      <x:c r="D23" s="436" t="str">
        <x:v>IMPLEMENTED</x:v>
      </x:c>
      <x:c r="E23" s="436" t="str">
        <x:v>Coverage / budget strategy</x:v>
      </x:c>
      <x:c r="F23" s="437" t="str">
        <x:v>Budget-constrained exact solution; no draw-edge claim</x:v>
      </x:c>
    </x:row>
  </x:sheetData>
  <x:mergeCells>
    <x:mergeCell ref="A1:H1"/>
  </x:mergeCells>
  <x:conditionalFormatting sqref="D4:D23">
    <x:cfRule type="expression" dxfId="15" priority="1">
      <x:formula>ISNUMBER(SEARCH("IMPLEMENTED",D4))</x:formula>
    </x:cfRule>
  </x:conditionalFormatting>
  <x:conditionalFormatting sqref="E4:E23">
    <x:cfRule type="expression" dxfId="16" priority="2">
      <x:formula>ISNUMBER(SEARCH("MANDATORY",E4))</x:formula>
    </x:cfRule>
  </x:conditionalFormatting>
  <x:pageMargins left="0.7" right="0.7" top="0.75" bottom="0.75" header="0.3" footer="0.3"/>
</x:worksheet>
</file>

<file path=xl/worksheets/sheet26.xml><?xml version="1.0" encoding="utf-8"?>
<x:worksheet xmlns:x="http://schemas.openxmlformats.org/spreadsheetml/2006/main">
  <x:sheetFormatPr defaultRowHeight="15"/>
  <x:cols>
    <x:col min="1" max="1" width="34" hidden="0" customWidth="1"/>
    <x:col min="2" max="2" width="18" hidden="0" customWidth="1"/>
    <x:col min="3" max="3" width="14" hidden="0" customWidth="1"/>
    <x:col min="4" max="4" width="25" hidden="0" customWidth="1"/>
    <x:col min="5" max="5" width="15" hidden="0" customWidth="1"/>
    <x:col min="6" max="6" width="55" hidden="0" customWidth="1"/>
  </x:cols>
  <x:sheetData>
    <x:row r="1" ht="30" customHeight="1">
      <x:c r="A1" s="499" t="str">
        <x:v>Sequential Evidence and Change-Point Monitoring</x:v>
      </x:c>
      <x:c r="B1" s="499"/>
      <x:c r="C1" s="499"/>
      <x:c r="D1" s="499"/>
      <x:c r="E1" s="499"/>
      <x:c r="F1" s="499"/>
      <x:c r="G1" s="499"/>
      <x:c r="H1" s="499"/>
      <x:c r="I1" s="499"/>
      <x:c r="J1" s="499"/>
      <x:c r="K1" s="499"/>
      <x:c r="L1" s="499"/>
      <x:c r="M1" s="260"/>
      <x:c r="N1" s="260"/>
      <x:c r="O1" s="260"/>
      <x:c r="P1" s="260"/>
      <x:c r="Q1" s="260"/>
      <x:c r="R1" s="260"/>
      <x:c r="S1" s="260"/>
      <x:c r="T1" s="260"/>
      <x:c r="U1" s="260"/>
      <x:c r="V1" s="260"/>
      <x:c r="W1" s="260"/>
      <x:c r="X1" s="260"/>
      <x:c r="Y1" s="260"/>
      <x:c r="Z1" s="260"/>
    </x:row>
    <x:row r="3" ht="22" customHeight="1">
      <x:c r="A3" s="399" t="str">
        <x:v>E-Value Audit</x:v>
      </x:c>
      <x:c r="B3" s="399"/>
      <x:c r="C3" s="399"/>
      <x:c r="D3" s="399"/>
      <x:c r="E3" s="399"/>
      <x:c r="F3" s="399"/>
      <x:c r="G3" s="399"/>
      <x:c r="H3" s="399"/>
      <x:c r="I3" s="399"/>
      <x:c r="J3" s="399"/>
      <x:c r="K3" s="399"/>
      <x:c r="L3" s="399"/>
    </x:row>
    <x:row r="5">
      <x:c r="A5" s="432" t="str">
        <x:v>Pool</x:v>
      </x:c>
      <x:c r="B5" s="433" t="str">
        <x:v>Maximum log10 e</x:v>
      </x:c>
      <x:c r="C5" s="433" t="str">
        <x:v>Mixture e-value</x:v>
      </x:c>
      <x:c r="D5" s="433" t="str">
        <x:v>Evidence threshold</x:v>
      </x:c>
      <x:c r="E5" s="433" t="str">
        <x:v>Status</x:v>
      </x:c>
      <x:c r="F5" s="434" t="str">
        <x:v>Interpretation</x:v>
      </x:c>
    </x:row>
    <x:row r="6">
      <x:c r="A6" s="417" t="str">
        <x:v>Main</x:v>
      </x:c>
      <x:c r="B6" s="435" t="n">
        <x:v>-0.5896823844501182</x:v>
      </x:c>
      <x:c r="C6" s="435" t="n">
        <x:v>0.042673246507051454</x:v>
      </x:c>
      <x:c r="D6" s="442" t="n">
        <x:v>20</x:v>
      </x:c>
      <x:c r="E6" s="445" t="str">
        <x:v>NO EDGE</x:v>
      </x:c>
      <x:c r="F6" s="412" t="str">
        <x:v>Evidence process is below its starting value</x:v>
      </x:c>
    </x:row>
    <x:row r="7">
      <x:c r="A7" s="417" t="str">
        <x:v>Euro</x:v>
      </x:c>
      <x:c r="B7" s="435" t="n">
        <x:v>-0.8881108429677134</x:v>
      </x:c>
      <x:c r="C7" s="435" t="n">
        <x:v>0.052534354086753846</x:v>
      </x:c>
      <x:c r="D7" s="442" t="n">
        <x:v>20</x:v>
      </x:c>
      <x:c r="E7" s="445" t="str">
        <x:v>NO EDGE</x:v>
      </x:c>
      <x:c r="F7" s="412" t="str">
        <x:v>Evidence process is below its starting value</x:v>
      </x:c>
    </x:row>
    <x:row r="8">
      <x:c r="A8" s="418" t="str">
        <x:v>Prospective rule</x:v>
      </x:c>
      <x:c r="B8" s="419"/>
      <x:c r="C8" s="419"/>
      <x:c r="D8" s="443" t="n">
        <x:v>20</x:v>
      </x:c>
      <x:c r="E8" s="419" t="str">
        <x:v>ACTIVE</x:v>
      </x:c>
      <x:c r="F8" s="437" t="str">
        <x:v>Update after every draw; never reset after an unfavourable result</x:v>
      </x:c>
    </x:row>
    <x:row r="10" ht="22" customHeight="1">
      <x:c r="A10" s="399" t="str">
        <x:v>Change-Point and Drift Results</x:v>
      </x:c>
      <x:c r="B10" s="399"/>
      <x:c r="C10" s="399"/>
      <x:c r="D10" s="399"/>
      <x:c r="E10" s="399"/>
      <x:c r="F10" s="399"/>
      <x:c r="G10" s="399"/>
      <x:c r="H10" s="399"/>
      <x:c r="I10" s="399"/>
      <x:c r="J10" s="399"/>
      <x:c r="K10" s="399"/>
      <x:c r="L10" s="399"/>
    </x:row>
    <x:row r="12">
      <x:c r="A12" s="432" t="str">
        <x:v>Diagnostic</x:v>
      </x:c>
      <x:c r="B12" s="433" t="str">
        <x:v>Value</x:v>
      </x:c>
      <x:c r="C12" s="433" t="str">
        <x:v>Candidate</x:v>
      </x:c>
      <x:c r="D12" s="433" t="str">
        <x:v>Threshold / Comparator</x:v>
      </x:c>
      <x:c r="E12" s="433" t="str">
        <x:v>Status</x:v>
      </x:c>
      <x:c r="F12" s="434" t="str">
        <x:v>Interpretation</x:v>
      </x:c>
    </x:row>
    <x:row r="13">
      <x:c r="A13" s="417" t="str">
        <x:v>Maximum Euro BOCPD probability</x:v>
      </x:c>
      <x:c r="B13" s="435" t="n">
        <x:v>0.017176521609752603</x:v>
      </x:c>
      <x:c r="C13" s="296" t="n">
        <x:v>5</x:v>
      </x:c>
      <x:c r="D13" s="435" t="str">
        <x:v>Requires large replicated spike</x:v>
      </x:c>
      <x:c r="E13" s="296" t="str">
        <x:v>NO EDGE</x:v>
      </x:c>
      <x:c r="F13" s="412" t="str">
        <x:v>Low change-point posterior</x:v>
      </x:c>
    </x:row>
    <x:row r="14">
      <x:c r="A14" s="417" t="str">
        <x:v>Main number 1 CUSUM statistic</x:v>
      </x:c>
      <x:c r="B14" s="435" t="n">
        <x:v>8.800000000000079</x:v>
      </x:c>
      <x:c r="C14" s="296" t="n">
        <x:v>1</x:v>
      </x:c>
      <x:c r="D14" s="435" t="str">
        <x:v>Alarm must survive holdout validation</x:v>
      </x:c>
      <x:c r="E14" s="296" t="str">
        <x:v>RESEARCH</x:v>
      </x:c>
      <x:c r="F14" s="412" t="str">
        <x:v>up</x:v>
      </x:c>
    </x:row>
    <x:row r="15">
      <x:c r="A15" s="417" t="str">
        <x:v>GP maximum absolute drift z</x:v>
      </x:c>
      <x:c r="B15" s="435" t="n">
        <x:v>2.8082512040186467</x:v>
      </x:c>
      <x:c r="C15" s="296" t="n">
        <x:v>7</x:v>
      </x:c>
      <x:c r="D15" s="435" t="str">
        <x:v>Must survive multiplicity and future draws</x:v>
      </x:c>
      <x:c r="E15" s="296" t="str">
        <x:v>RESEARCH</x:v>
      </x:c>
      <x:c r="F15" s="412" t="str">
        <x:v>Descriptive only</x:v>
      </x:c>
    </x:row>
    <x:row r="16">
      <x:c r="A16" s="417" t="str">
        <x:v>Lag mutual-information p</x:v>
      </x:c>
      <x:c r="B16" s="435" t="n">
        <x:v>0.56</x:v>
      </x:c>
      <x:c r="C16" s="296" t="n">
        <x:v>44</x:v>
      </x:c>
      <x:c r="D16" s="435" t="str">
        <x:v>&lt;0.05</x:v>
      </x:c>
      <x:c r="E16" s="296" t="str">
        <x:v>NO EDGE</x:v>
      </x:c>
      <x:c r="F16" s="412" t="str">
        <x:v>No family-wise serial dependence</x:v>
      </x:c>
    </x:row>
    <x:row r="17">
      <x:c r="A17" s="417" t="str">
        <x:v>Compression ratio: real</x:v>
      </x:c>
      <x:c r="B17" s="435" t="n">
        <x:v>0.08178461538461539</x:v>
      </x:c>
      <x:c r="C17" s="296"/>
      <x:c r="D17" s="435" t="n">
        <x:v>0.08182564102564102</x:v>
      </x:c>
      <x:c r="E17" s="296" t="str">
        <x:v>NO EDGE</x:v>
      </x:c>
      <x:c r="F17" s="412" t="str">
        <x:v>Nearly identical to synthetic fair history</x:v>
      </x:c>
    </x:row>
    <x:row r="18">
      <x:c r="A18" s="418" t="str">
        <x:v>Compression LZ complexity</x:v>
      </x:c>
      <x:c r="B18" s="446" t="n">
        <x:v>14</x:v>
      </x:c>
      <x:c r="C18" s="419"/>
      <x:c r="D18" s="446" t="n">
        <x:v>13</x:v>
      </x:c>
      <x:c r="E18" s="419" t="str">
        <x:v>NO EDGE</x:v>
      </x:c>
      <x:c r="F18" s="437" t="str">
        <x:v>No meaningful compression anomaly</x:v>
      </x:c>
    </x:row>
    <x:row r="20" ht="22" customHeight="1">
      <x:c r="A20" s="399" t="str">
        <x:v>Prospective Monitoring Protocol</x:v>
      </x:c>
      <x:c r="B20" s="399"/>
      <x:c r="C20" s="399"/>
      <x:c r="D20" s="399"/>
      <x:c r="E20" s="399"/>
      <x:c r="F20" s="399"/>
      <x:c r="G20" s="399"/>
      <x:c r="H20" s="399"/>
      <x:c r="I20" s="399"/>
      <x:c r="J20" s="399"/>
      <x:c r="K20" s="399"/>
      <x:c r="L20" s="399"/>
    </x:row>
    <x:row r="22">
      <x:c r="A22" s="449" t="str">
        <x:v>The sequential layer is evaluated after each future draw. E-values accumulate without retrospective resets; change-point alarms are time-stamped; any alternative model is frozen before the following draw; and evidence must persist through a prospective confirmation period. A retrospective anomaly cannot directly change deployed probabilities.</x:v>
      </x:c>
      <x:c r="B22" s="449"/>
      <x:c r="C22" s="449"/>
      <x:c r="D22" s="449"/>
      <x:c r="E22" s="449"/>
      <x:c r="F22" s="449"/>
      <x:c r="G22" s="449"/>
      <x:c r="H22" s="449"/>
      <x:c r="I22" s="449"/>
      <x:c r="J22" s="449"/>
      <x:c r="K22" s="449"/>
      <x:c r="L22" s="449"/>
    </x:row>
    <x:row r="23">
      <x:c r="A23" s="449"/>
      <x:c r="B23" s="449"/>
      <x:c r="C23" s="449"/>
      <x:c r="D23" s="449"/>
      <x:c r="E23" s="449"/>
      <x:c r="F23" s="449"/>
      <x:c r="G23" s="449"/>
      <x:c r="H23" s="449"/>
      <x:c r="I23" s="449"/>
      <x:c r="J23" s="449"/>
      <x:c r="K23" s="449"/>
      <x:c r="L23" s="449"/>
    </x:row>
    <x:row r="24">
      <x:c r="A24" s="449"/>
      <x:c r="B24" s="449"/>
      <x:c r="C24" s="449"/>
      <x:c r="D24" s="449"/>
      <x:c r="E24" s="449"/>
      <x:c r="F24" s="449"/>
      <x:c r="G24" s="449"/>
      <x:c r="H24" s="449"/>
      <x:c r="I24" s="449"/>
      <x:c r="J24" s="449"/>
      <x:c r="K24" s="449"/>
      <x:c r="L24" s="449"/>
    </x:row>
    <x:row r="25">
      <x:c r="A25" s="449"/>
      <x:c r="B25" s="449"/>
      <x:c r="C25" s="449"/>
      <x:c r="D25" s="449"/>
      <x:c r="E25" s="449"/>
      <x:c r="F25" s="449"/>
      <x:c r="G25" s="449"/>
      <x:c r="H25" s="449"/>
      <x:c r="I25" s="449"/>
      <x:c r="J25" s="449"/>
      <x:c r="K25" s="449"/>
      <x:c r="L25" s="449"/>
    </x:row>
    <x:row r="26">
      <x:c r="A26" s="449"/>
      <x:c r="B26" s="449"/>
      <x:c r="C26" s="449"/>
      <x:c r="D26" s="449"/>
      <x:c r="E26" s="449"/>
      <x:c r="F26" s="449"/>
      <x:c r="G26" s="449"/>
      <x:c r="H26" s="449"/>
      <x:c r="I26" s="449"/>
      <x:c r="J26" s="449"/>
      <x:c r="K26" s="449"/>
      <x:c r="L26" s="449"/>
    </x:row>
    <x:row r="27">
      <x:c r="A27" s="449"/>
      <x:c r="B27" s="449"/>
      <x:c r="C27" s="449"/>
      <x:c r="D27" s="449"/>
      <x:c r="E27" s="449"/>
      <x:c r="F27" s="449"/>
      <x:c r="G27" s="449"/>
      <x:c r="H27" s="449"/>
      <x:c r="I27" s="449"/>
      <x:c r="J27" s="449"/>
      <x:c r="K27" s="449"/>
      <x:c r="L27" s="449"/>
    </x:row>
  </x:sheetData>
  <x:mergeCells>
    <x:mergeCell ref="A1:L1"/>
    <x:mergeCell ref="A3:L3"/>
    <x:mergeCell ref="A10:L10"/>
    <x:mergeCell ref="A20:L20"/>
    <x:mergeCell ref="A22:L27"/>
  </x:mergeCells>
  <x:conditionalFormatting sqref="E13:E18">
    <x:cfRule type="expression" dxfId="17" priority="1">
      <x:formula>E13="NO EDGE"</x:formula>
    </x:cfRule>
  </x:conditionalFormatting>
  <x:pageMargins left="0.7" right="0.7" top="0.75" bottom="0.75" header="0.3" footer="0.3"/>
</x:worksheet>
</file>

<file path=xl/worksheets/sheet27.xml><?xml version="1.0" encoding="utf-8"?>
<x:worksheet xmlns:x="http://schemas.openxmlformats.org/spreadsheetml/2006/main">
  <x:sheetFormatPr defaultRowHeight="15"/>
  <x:cols>
    <x:col min="1" max="1" width="28" hidden="0" customWidth="1"/>
    <x:col min="2" max="2" width="20" hidden="0" customWidth="1"/>
    <x:col min="3" max="3" width="20" hidden="0" customWidth="1"/>
    <x:col min="4" max="4" width="16" hidden="0" customWidth="1"/>
    <x:col min="5" max="5" width="15" hidden="0" customWidth="1"/>
    <x:col min="6" max="6" width="4" hidden="0" customWidth="1"/>
    <x:col min="7" max="7" width="20" hidden="0" customWidth="1"/>
  </x:cols>
  <x:sheetData>
    <x:row r="1" ht="30" customHeight="1">
      <x:c r="A1" s="499" t="str">
        <x:v>Regime, Interaction and Dynamic Probability Models</x:v>
      </x:c>
      <x:c r="B1" s="499"/>
      <x:c r="C1" s="499"/>
      <x:c r="D1" s="499"/>
      <x:c r="E1" s="499"/>
      <x:c r="F1" s="499"/>
      <x:c r="G1" s="499"/>
      <x:c r="H1" s="499"/>
      <x:c r="I1" s="499"/>
      <x:c r="J1" s="499"/>
      <x:c r="K1" s="499"/>
      <x:c r="L1" s="499"/>
      <x:c r="M1" s="499"/>
      <x:c r="N1" s="260"/>
      <x:c r="O1" s="260"/>
      <x:c r="P1" s="260"/>
      <x:c r="Q1" s="260"/>
      <x:c r="R1" s="260"/>
      <x:c r="S1" s="260"/>
      <x:c r="T1" s="260"/>
      <x:c r="U1" s="260"/>
      <x:c r="V1" s="260"/>
      <x:c r="W1" s="260"/>
      <x:c r="X1" s="260"/>
      <x:c r="Y1" s="260"/>
      <x:c r="Z1" s="260"/>
    </x:row>
    <x:row r="3">
      <x:c r="A3" s="432" t="str">
        <x:v>Model</x:v>
      </x:c>
      <x:c r="B3" s="433" t="str">
        <x:v>Metric</x:v>
      </x:c>
      <x:c r="C3" s="433" t="str">
        <x:v>Result</x:v>
      </x:c>
      <x:c r="D3" s="433" t="str">
        <x:v>Comparator</x:v>
      </x:c>
      <x:c r="E3" s="433" t="str">
        <x:v>Decision</x:v>
      </x:c>
      <x:c r="F3" s="433" t="str">
        <x:v>Current Output</x:v>
      </x:c>
      <x:c r="G3" s="434" t="str">
        <x:v>Deployment</x:v>
      </x:c>
    </x:row>
    <x:row r="4">
      <x:c r="A4" s="417" t="str">
        <x:v>Hidden Markov</x:v>
      </x:c>
      <x:c r="B4" s="296" t="str">
        <x:v>1-state BIC</x:v>
      </x:c>
      <x:c r="C4" s="435" t="n">
        <x:v>16513.846410479047</x:v>
      </x:c>
      <x:c r="D4" s="296" t="str">
        <x:v>Lower is better</x:v>
      </x:c>
      <x:c r="E4" s="296" t="str">
        <x:v>ONE STATE</x:v>
      </x:c>
      <x:c r="F4" s="330"/>
      <x:c r="G4" s="412" t="str">
        <x:v>Research only</x:v>
      </x:c>
    </x:row>
    <x:row r="5">
      <x:c r="A5" s="417" t="str">
        <x:v>Hidden Markov</x:v>
      </x:c>
      <x:c r="B5" s="296" t="str">
        <x:v>2-state BIC</x:v>
      </x:c>
      <x:c r="C5" s="435" t="n">
        <x:v>16754.902572657862</x:v>
      </x:c>
      <x:c r="D5" s="296" t="str">
        <x:v>Lower is better</x:v>
      </x:c>
      <x:c r="E5" s="296" t="str">
        <x:v>REJECTED</x:v>
      </x:c>
      <x:c r="F5" s="330"/>
      <x:c r="G5" s="412" t="str">
        <x:v>Research only</x:v>
      </x:c>
    </x:row>
    <x:row r="6">
      <x:c r="A6" s="417" t="str">
        <x:v>Dirichlet-process mixture</x:v>
      </x:c>
      <x:c r="B6" s="296" t="str">
        <x:v>Active components</x:v>
      </x:c>
      <x:c r="C6" s="435" t="n">
        <x:v>5</x:v>
      </x:c>
      <x:c r="D6" s="296" t="str">
        <x:v>Descriptive clusters</x:v>
      </x:c>
      <x:c r="E6" s="296" t="str">
        <x:v>DESCRIPTIVE</x:v>
      </x:c>
      <x:c r="F6" s="330" t="str">
        <x:v>0, 1, 4, 5, 6</x:v>
      </x:c>
      <x:c r="G6" s="412" t="str">
        <x:v>No probability promotion</x:v>
      </x:c>
    </x:row>
    <x:row r="7">
      <x:c r="A7" s="417" t="str">
        <x:v>Logistic-normal dynamic</x:v>
      </x:c>
      <x:c r="B7" s="296" t="str">
        <x:v>Latest top Euro</x:v>
      </x:c>
      <x:c r="C7" s="435"/>
      <x:c r="D7" s="296" t="str">
        <x:v>Strong shrinkage</x:v>
      </x:c>
      <x:c r="E7" s="296" t="str">
        <x:v>RESEARCH</x:v>
      </x:c>
      <x:c r="F7" s="330" t="str">
        <x:v>5, 7, 12, 6, 2</x:v>
      </x:c>
      <x:c r="G7" s="412" t="str">
        <x:v>No edge validated</x:v>
      </x:c>
    </x:row>
    <x:row r="8">
      <x:c r="A8" s="417" t="str">
        <x:v>Ising pseudolikelihood</x:v>
      </x:c>
      <x:c r="B8" s="296" t="str">
        <x:v>Nonzero interaction fraction</x:v>
      </x:c>
      <x:c r="C8" s="435" t="n">
        <x:v>0</x:v>
      </x:c>
      <x:c r="D8" s="296" t="str">
        <x:v>&gt;0 after shrinkage</x:v>
      </x:c>
      <x:c r="E8" s="296" t="str">
        <x:v>NO INTERACTIONS</x:v>
      </x:c>
      <x:c r="F8" s="330"/>
      <x:c r="G8" s="412" t="str">
        <x:v>No edge</x:v>
      </x:c>
    </x:row>
    <x:row r="9">
      <x:c r="A9" s="417" t="str">
        <x:v>Hypergraph spectral</x:v>
      </x:c>
      <x:c r="B9" s="296" t="str">
        <x:v>Top main centrality</x:v>
      </x:c>
      <x:c r="C9" s="435"/>
      <x:c r="D9" s="296" t="str">
        <x:v>Synthetic-null adjustment required</x:v>
      </x:c>
      <x:c r="E9" s="296" t="str">
        <x:v>RESEARCH</x:v>
      </x:c>
      <x:c r="F9" s="330" t="str">
        <x:v>20, 34, 35, 17, 21, 16, 11, 18, 49, 23</x:v>
      </x:c>
      <x:c r="G9" s="412" t="str">
        <x:v>No edge</x:v>
      </x:c>
    </x:row>
    <x:row r="10">
      <x:c r="A10" s="418" t="str">
        <x:v>Survival hazard</x:v>
      </x:c>
      <x:c r="B10" s="419" t="str">
        <x:v>Maximum RMSE from geometric</x:v>
      </x:c>
      <x:c r="C10" s="446" t="n">
        <x:v>0.11523446893670272</x:v>
      </x:c>
      <x:c r="D10" s="419" t="str">
        <x:v>Number 21</x:v>
      </x:c>
      <x:c r="E10" s="419" t="str">
        <x:v>RESEARCH</x:v>
      </x:c>
      <x:c r="F10" s="436"/>
      <x:c r="G10" s="437" t="str">
        <x:v>Must validate prospectively</x:v>
      </x:c>
    </x:row>
    <x:row r="12" ht="22" customHeight="1">
      <x:c r="A12" s="399" t="str">
        <x:v>Dynamic Euro Probability Snapshot</x:v>
      </x:c>
      <x:c r="B12" s="399"/>
      <x:c r="C12" s="399"/>
      <x:c r="D12" s="399"/>
      <x:c r="E12" s="399"/>
      <x:c r="F12" s="399"/>
      <x:c r="G12" s="399"/>
      <x:c r="H12" s="399"/>
      <x:c r="I12" s="399"/>
      <x:c r="J12" s="399"/>
      <x:c r="K12" s="399"/>
      <x:c r="L12" s="399"/>
      <x:c r="M12" s="399"/>
    </x:row>
    <x:row r="14">
      <x:c r="A14" s="432" t="str">
        <x:v>Euro Number</x:v>
      </x:c>
      <x:c r="B14" s="433" t="str">
        <x:v>Dynamic Probability</x:v>
      </x:c>
      <x:c r="C14" s="433" t="str">
        <x:v>Uniform Probability</x:v>
      </x:c>
      <x:c r="D14" s="433" t="str">
        <x:v>Delta</x:v>
      </x:c>
      <x:c r="E14" s="434" t="str">
        <x:v>Research Rank</x:v>
      </x:c>
      <x:c r="G14" s="454" t="str">
        <x:v>These dynamic probabilities are research estimates only. They are jointly rescaled to sum to two Euro numbers and strongly shrink toward 1/6. They cannot be promoted unless their prospective Brier score, log loss, calibration and multiple-testing-adjusted evidence all beat the uniform model.</x:v>
      </x:c>
      <x:c r="H14" s="454"/>
      <x:c r="I14" s="454"/>
      <x:c r="J14" s="454"/>
      <x:c r="K14" s="454"/>
      <x:c r="L14" s="454"/>
      <x:c r="M14" s="454"/>
    </x:row>
    <x:row r="15">
      <x:c r="A15" s="417" t="n">
        <x:v>5</x:v>
      </x:c>
      <x:c r="B15" s="450" t="n">
        <x:v>0.1810023996363797</x:v>
      </x:c>
      <x:c r="C15" s="450" t="n">
        <x:v>0.16666666666666666</x:v>
      </x:c>
      <x:c r="D15" s="450" t="n">
        <x:v>0.01433573296971305</x:v>
      </x:c>
      <x:c r="E15" s="406" t="n">
        <x:v>1</x:v>
      </x:c>
      <x:c r="G15" s="454"/>
      <x:c r="H15" s="454"/>
      <x:c r="I15" s="454"/>
      <x:c r="J15" s="454"/>
      <x:c r="K15" s="454"/>
      <x:c r="L15" s="454"/>
      <x:c r="M15" s="454"/>
    </x:row>
    <x:row r="16">
      <x:c r="A16" s="417" t="n">
        <x:v>7</x:v>
      </x:c>
      <x:c r="B16" s="450" t="n">
        <x:v>0.17550394532354083</x:v>
      </x:c>
      <x:c r="C16" s="450" t="n">
        <x:v>0.16666666666666666</x:v>
      </x:c>
      <x:c r="D16" s="450" t="n">
        <x:v>0.00883727865687417</x:v>
      </x:c>
      <x:c r="E16" s="406" t="n">
        <x:v>2</x:v>
      </x:c>
      <x:c r="G16" s="454"/>
      <x:c r="H16" s="454"/>
      <x:c r="I16" s="454"/>
      <x:c r="J16" s="454"/>
      <x:c r="K16" s="454"/>
      <x:c r="L16" s="454"/>
      <x:c r="M16" s="454"/>
    </x:row>
    <x:row r="17">
      <x:c r="A17" s="417" t="n">
        <x:v>12</x:v>
      </x:c>
      <x:c r="B17" s="450" t="n">
        <x:v>0.17005934753305585</x:v>
      </x:c>
      <x:c r="C17" s="450" t="n">
        <x:v>0.16666666666666666</x:v>
      </x:c>
      <x:c r="D17" s="450" t="n">
        <x:v>0.0033926808663891916</x:v>
      </x:c>
      <x:c r="E17" s="406" t="n">
        <x:v>3</x:v>
      </x:c>
      <x:c r="G17" s="454"/>
      <x:c r="H17" s="454"/>
      <x:c r="I17" s="454"/>
      <x:c r="J17" s="454"/>
      <x:c r="K17" s="454"/>
      <x:c r="L17" s="454"/>
      <x:c r="M17" s="454"/>
    </x:row>
    <x:row r="18">
      <x:c r="A18" s="417" t="n">
        <x:v>6</x:v>
      </x:c>
      <x:c r="B18" s="450" t="n">
        <x:v>0.16988529868406899</x:v>
      </x:c>
      <x:c r="C18" s="450" t="n">
        <x:v>0.16666666666666666</x:v>
      </x:c>
      <x:c r="D18" s="450" t="n">
        <x:v>0.0032186320174023286</x:v>
      </x:c>
      <x:c r="E18" s="406" t="n">
        <x:v>4</x:v>
      </x:c>
      <x:c r="G18" s="454"/>
      <x:c r="H18" s="454"/>
      <x:c r="I18" s="454"/>
      <x:c r="J18" s="454"/>
      <x:c r="K18" s="454"/>
      <x:c r="L18" s="454"/>
      <x:c r="M18" s="454"/>
    </x:row>
    <x:row r="19">
      <x:c r="A19" s="417" t="n">
        <x:v>2</x:v>
      </x:c>
      <x:c r="B19" s="450" t="n">
        <x:v>0.1673918703156651</x:v>
      </x:c>
      <x:c r="C19" s="450" t="n">
        <x:v>0.16666666666666666</x:v>
      </x:c>
      <x:c r="D19" s="450" t="n">
        <x:v>0.0007252036489984459</x:v>
      </x:c>
      <x:c r="E19" s="406" t="n">
        <x:v>5</x:v>
      </x:c>
      <x:c r="G19" s="454"/>
      <x:c r="H19" s="454"/>
      <x:c r="I19" s="454"/>
      <x:c r="J19" s="454"/>
      <x:c r="K19" s="454"/>
      <x:c r="L19" s="454"/>
      <x:c r="M19" s="454"/>
    </x:row>
    <x:row r="20">
      <x:c r="A20" s="417" t="n">
        <x:v>3</x:v>
      </x:c>
      <x:c r="B20" s="450" t="n">
        <x:v>0.16655486330079922</x:v>
      </x:c>
      <x:c r="C20" s="450" t="n">
        <x:v>0.16666666666666666</x:v>
      </x:c>
      <x:c r="D20" s="450" t="n">
        <x:v>-0.00011180336586744111</x:v>
      </x:c>
      <x:c r="E20" s="406" t="n">
        <x:v>6</x:v>
      </x:c>
      <x:c r="G20" s="454"/>
      <x:c r="H20" s="454"/>
      <x:c r="I20" s="454"/>
      <x:c r="J20" s="454"/>
      <x:c r="K20" s="454"/>
      <x:c r="L20" s="454"/>
      <x:c r="M20" s="454"/>
    </x:row>
    <x:row r="21">
      <x:c r="A21" s="417" t="n">
        <x:v>1</x:v>
      </x:c>
      <x:c r="B21" s="450" t="n">
        <x:v>0.16529547542948494</x:v>
      </x:c>
      <x:c r="C21" s="450" t="n">
        <x:v>0.16666666666666666</x:v>
      </x:c>
      <x:c r="D21" s="450" t="n">
        <x:v>-0.0013711912371817125</x:v>
      </x:c>
      <x:c r="E21" s="406" t="n">
        <x:v>7</x:v>
      </x:c>
      <x:c r="G21" s="454"/>
      <x:c r="H21" s="454"/>
      <x:c r="I21" s="454"/>
      <x:c r="J21" s="454"/>
      <x:c r="K21" s="454"/>
      <x:c r="L21" s="454"/>
      <x:c r="M21" s="454"/>
    </x:row>
    <x:row r="22">
      <x:c r="A22" s="417" t="n">
        <x:v>9</x:v>
      </x:c>
      <x:c r="B22" s="450" t="n">
        <x:v>0.163765411812055</x:v>
      </x:c>
      <x:c r="C22" s="450" t="n">
        <x:v>0.16666666666666666</x:v>
      </x:c>
      <x:c r="D22" s="450" t="n">
        <x:v>-0.0029012548546116512</x:v>
      </x:c>
      <x:c r="E22" s="406" t="n">
        <x:v>8</x:v>
      </x:c>
      <x:c r="G22" s="454"/>
      <x:c r="H22" s="454"/>
      <x:c r="I22" s="454"/>
      <x:c r="J22" s="454"/>
      <x:c r="K22" s="454"/>
      <x:c r="L22" s="454"/>
      <x:c r="M22" s="454"/>
    </x:row>
    <x:row r="23">
      <x:c r="A23" s="417" t="n">
        <x:v>11</x:v>
      </x:c>
      <x:c r="B23" s="450" t="n">
        <x:v>0.1621210359946104</x:v>
      </x:c>
      <x:c r="C23" s="450" t="n">
        <x:v>0.16666666666666666</x:v>
      </x:c>
      <x:c r="D23" s="450" t="n">
        <x:v>-0.004545630672056267</x:v>
      </x:c>
      <x:c r="E23" s="406" t="n">
        <x:v>9</x:v>
      </x:c>
      <x:c r="G23" s="454"/>
      <x:c r="H23" s="454"/>
      <x:c r="I23" s="454"/>
      <x:c r="J23" s="454"/>
      <x:c r="K23" s="454"/>
      <x:c r="L23" s="454"/>
      <x:c r="M23" s="454"/>
    </x:row>
    <x:row r="24">
      <x:c r="A24" s="417" t="n">
        <x:v>8</x:v>
      </x:c>
      <x:c r="B24" s="450" t="n">
        <x:v>0.1616099800828093</x:v>
      </x:c>
      <x:c r="C24" s="450" t="n">
        <x:v>0.16666666666666666</x:v>
      </x:c>
      <x:c r="D24" s="450" t="n">
        <x:v>-0.005056686583857356</x:v>
      </x:c>
      <x:c r="E24" s="406" t="n">
        <x:v>10</x:v>
      </x:c>
      <x:c r="G24" s="454"/>
      <x:c r="H24" s="454"/>
      <x:c r="I24" s="454"/>
      <x:c r="J24" s="454"/>
      <x:c r="K24" s="454"/>
      <x:c r="L24" s="454"/>
      <x:c r="M24" s="454"/>
    </x:row>
    <x:row r="25">
      <x:c r="A25" s="417" t="n">
        <x:v>4</x:v>
      </x:c>
      <x:c r="B25" s="450" t="n">
        <x:v>0.15845315938627832</x:v>
      </x:c>
      <x:c r="C25" s="450" t="n">
        <x:v>0.16666666666666666</x:v>
      </x:c>
      <x:c r="D25" s="450" t="n">
        <x:v>-0.008213507280388332</x:v>
      </x:c>
      <x:c r="E25" s="406" t="n">
        <x:v>11</x:v>
      </x:c>
      <x:c r="G25" s="454"/>
      <x:c r="H25" s="454"/>
      <x:c r="I25" s="454"/>
      <x:c r="J25" s="454"/>
      <x:c r="K25" s="454"/>
      <x:c r="L25" s="454"/>
      <x:c r="M25" s="454"/>
    </x:row>
    <x:row r="26">
      <x:c r="A26" s="418" t="n">
        <x:v>10</x:v>
      </x:c>
      <x:c r="B26" s="451" t="n">
        <x:v>0.1583572125012527</x:v>
      </x:c>
      <x:c r="C26" s="451" t="n">
        <x:v>0.16666666666666666</x:v>
      </x:c>
      <x:c r="D26" s="451" t="n">
        <x:v>-0.008309454165413954</x:v>
      </x:c>
      <x:c r="E26" s="408" t="n">
        <x:v>12</x:v>
      </x:c>
      <x:c r="G26" s="454"/>
      <x:c r="H26" s="454"/>
      <x:c r="I26" s="454"/>
      <x:c r="J26" s="454"/>
      <x:c r="K26" s="454"/>
      <x:c r="L26" s="454"/>
      <x:c r="M26" s="454"/>
    </x:row>
  </x:sheetData>
  <x:mergeCells>
    <x:mergeCell ref="A1:M1"/>
    <x:mergeCell ref="A12:M12"/>
    <x:mergeCell ref="G14:M26"/>
  </x:mergeCells>
  <x:conditionalFormatting sqref="D15:D26">
    <x:cfRule type="colorScale" priority="1">
      <x:colorScale>
        <x:cfvo type="min"/>
        <x:cfvo type="percentile" val="50"/>
        <x:cfvo type="max"/>
        <x:color rgb="FFFDECEC"/>
        <x:color rgb="FFFFFFFF"/>
        <x:color rgb="FFEAF5EA"/>
      </x:colorScale>
    </x:cfRule>
  </x:conditionalFormatting>
  <x:pageMargins left="0.7" right="0.7" top="0.75" bottom="0.75" header="0.3" footer="0.3"/>
</x:worksheet>
</file>

<file path=xl/worksheets/sheet28.xml><?xml version="1.0" encoding="utf-8"?>
<x:worksheet xmlns:x="http://schemas.openxmlformats.org/spreadsheetml/2006/main">
  <x:sheetFormatPr defaultRowHeight="15"/>
  <x:cols>
    <x:col min="1" max="1" width="11" hidden="0" customWidth="1"/>
    <x:col min="2" max="2" width="25" hidden="0" customWidth="1"/>
    <x:col min="3" max="3" width="22" hidden="0" customWidth="1"/>
    <x:col min="4" max="4" width="16" hidden="0" customWidth="1"/>
    <x:col min="5" max="5" width="15" hidden="0" customWidth="1"/>
    <x:col min="6" max="6" width="35" hidden="0" customWidth="1"/>
  </x:cols>
  <x:sheetData>
    <x:row r="1" ht="30" customHeight="1">
      <x:c r="A1" s="499" t="str">
        <x:v>Super Learner, Robust Stacking and Conformal Sets</x:v>
      </x:c>
      <x:c r="B1" s="499"/>
      <x:c r="C1" s="499"/>
      <x:c r="D1" s="499"/>
      <x:c r="E1" s="499"/>
      <x:c r="F1" s="499"/>
      <x:c r="G1" s="499"/>
      <x:c r="H1" s="499"/>
      <x:c r="I1" s="499"/>
      <x:c r="J1" s="499"/>
      <x:c r="K1" s="499"/>
      <x:c r="L1" s="499"/>
      <x:c r="M1" s="499"/>
      <x:c r="N1" s="499"/>
      <x:c r="O1" s="260"/>
      <x:c r="P1" s="260"/>
      <x:c r="Q1" s="260"/>
      <x:c r="R1" s="260"/>
      <x:c r="S1" s="260"/>
      <x:c r="T1" s="260"/>
      <x:c r="U1" s="260"/>
      <x:c r="V1" s="260"/>
      <x:c r="W1" s="260"/>
      <x:c r="X1" s="260"/>
      <x:c r="Y1" s="260"/>
      <x:c r="Z1" s="260"/>
    </x:row>
    <x:row r="3">
      <x:c r="A3" s="432" t="str">
        <x:v>Model</x:v>
      </x:c>
      <x:c r="B3" s="433" t="str">
        <x:v>Super Learner Weight</x:v>
      </x:c>
      <x:c r="C3" s="433" t="str">
        <x:v>Robust Weight</x:v>
      </x:c>
      <x:c r="D3" s="433" t="str">
        <x:v>Uniform Component</x:v>
      </x:c>
      <x:c r="E3" s="434" t="str">
        <x:v>Deployment</x:v>
      </x:c>
    </x:row>
    <x:row r="4">
      <x:c r="A4" s="417" t="str">
        <x:v>Uniform</x:v>
      </x:c>
      <x:c r="B4" s="455" t="n">
        <x:v>0.7848955159587531</x:v>
      </x:c>
      <x:c r="C4" s="455" t="n">
        <x:v>0.8101648729160987</x:v>
      </x:c>
      <x:c r="D4" s="455" t="n">
        <x:v>1</x:v>
      </x:c>
      <x:c r="E4" s="406" t="str">
        <x:v>Research weights only</x:v>
      </x:c>
    </x:row>
    <x:row r="5">
      <x:c r="A5" s="417" t="str">
        <x:v>FullFrequency</x:v>
      </x:c>
      <x:c r="B5" s="455" t="n">
        <x:v>0.1327578954585117</x:v>
      </x:c>
      <x:c r="C5" s="455" t="n">
        <x:v>0.10687236662076098</x:v>
      </x:c>
      <x:c r="D5" s="455" t="n">
        <x:v>0</x:v>
      </x:c>
      <x:c r="E5" s="406" t="str">
        <x:v>Research weights only</x:v>
      </x:c>
    </x:row>
    <x:row r="6">
      <x:c r="A6" s="417" t="str">
        <x:v>Rolling50</x:v>
      </x:c>
      <x:c r="B6" s="455" t="n">
        <x:v>0.011062684550828584</x:v>
      </x:c>
      <x:c r="C6" s="455" t="n">
        <x:v>0.01005927287464528</x:v>
      </x:c>
      <x:c r="D6" s="455" t="n">
        <x:v>0</x:v>
      </x:c>
      <x:c r="E6" s="406" t="str">
        <x:v>Research weights only</x:v>
      </x:c>
    </x:row>
    <x:row r="7">
      <x:c r="A7" s="418" t="str">
        <x:v>EWMA</x:v>
      </x:c>
      <x:c r="B7" s="456" t="n">
        <x:v>0.0712839040319067</x:v>
      </x:c>
      <x:c r="C7" s="456" t="n">
        <x:v>0.07290348758849508</x:v>
      </x:c>
      <x:c r="D7" s="456" t="n">
        <x:v>0</x:v>
      </x:c>
      <x:c r="E7" s="408" t="str">
        <x:v>Research weights only</x:v>
      </x:c>
    </x:row>
    <x:row r="10" ht="22" customHeight="1">
      <x:c r="A10" s="399" t="str">
        <x:v>Conformal Prediction Sets</x:v>
      </x:c>
      <x:c r="B10" s="399"/>
      <x:c r="C10" s="399"/>
      <x:c r="D10" s="399"/>
      <x:c r="E10" s="399"/>
      <x:c r="F10" s="399"/>
    </x:row>
    <x:row r="12">
      <x:c r="A12" s="432" t="str">
        <x:v>Pool</x:v>
      </x:c>
      <x:c r="B12" s="433" t="str">
        <x:v>Target Coverage</x:v>
      </x:c>
      <x:c r="C12" s="433" t="str">
        <x:v>Empirical Coverage</x:v>
      </x:c>
      <x:c r="D12" s="433" t="str">
        <x:v>Average Set Size</x:v>
      </x:c>
      <x:c r="E12" s="433" t="str">
        <x:v>Pool Size</x:v>
      </x:c>
      <x:c r="F12" s="434" t="str">
        <x:v>Usefulness</x:v>
      </x:c>
    </x:row>
    <x:row r="13">
      <x:c r="A13" s="417" t="str">
        <x:v>Main</x:v>
      </x:c>
      <x:c r="B13" s="457" t="n">
        <x:v>0.9</x:v>
      </x:c>
      <x:c r="C13" s="457" t="n">
        <x:v>0.9090909090909091</x:v>
      </x:c>
      <x:c r="D13" s="459" t="n">
        <x:v>49.142857142857146</x:v>
      </x:c>
      <x:c r="E13" s="459" t="n">
        <x:v>50</x:v>
      </x:c>
      <x:c r="F13" s="412" t="str">
        <x:v>Not useful: nearly entire pool</x:v>
      </x:c>
    </x:row>
    <x:row r="14">
      <x:c r="A14" s="417" t="str">
        <x:v>Euro</x:v>
      </x:c>
      <x:c r="B14" s="457" t="n">
        <x:v>0.9</x:v>
      </x:c>
      <x:c r="C14" s="457" t="n">
        <x:v>0.8777777777777778</x:v>
      </x:c>
      <x:c r="D14" s="459" t="n">
        <x:v>11.566666666666666</x:v>
      </x:c>
      <x:c r="E14" s="459" t="n">
        <x:v>12</x:v>
      </x:c>
      <x:c r="F14" s="412" t="str">
        <x:v>Not useful: nearly entire pool</x:v>
      </x:c>
    </x:row>
    <x:row r="15">
      <x:c r="A15" s="418" t="str">
        <x:v>Promotion rule</x:v>
      </x:c>
      <x:c r="B15" s="458" t="n">
        <x:v>0.9</x:v>
      </x:c>
      <x:c r="C15" s="458"/>
      <x:c r="D15" s="419"/>
      <x:c r="E15" s="419"/>
      <x:c r="F15" s="437" t="str">
        <x:v>Coverage target plus materially smaller set required</x:v>
      </x:c>
    </x:row>
    <x:row r="18" ht="22" customHeight="1">
      <x:c r="A18" s="399" t="str">
        <x:v>Model Confidence Set</x:v>
      </x:c>
      <x:c r="B18" s="399"/>
      <x:c r="C18" s="399"/>
      <x:c r="D18" s="399"/>
      <x:c r="E18" s="399"/>
      <x:c r="F18" s="399"/>
      <x:c r="G18" s="399"/>
      <x:c r="H18" s="399"/>
      <x:c r="I18" s="399"/>
      <x:c r="J18" s="399"/>
      <x:c r="K18" s="399"/>
      <x:c r="L18" s="399"/>
      <x:c r="M18" s="399"/>
      <x:c r="N18" s="399"/>
    </x:row>
    <x:row r="20">
      <x:c r="A20" s="432" t="str">
        <x:v>Step</x:v>
      </x:c>
      <x:c r="B20" s="433" t="str">
        <x:v>Removed Model</x:v>
      </x:c>
      <x:c r="C20" s="433" t="str">
        <x:v>Reference</x:v>
      </x:c>
      <x:c r="D20" s="433" t="str">
        <x:v>Statistic</x:v>
      </x:c>
      <x:c r="E20" s="433" t="str">
        <x:v>Bootstrap p</x:v>
      </x:c>
      <x:c r="F20" s="434" t="str">
        <x:v>Remaining Conclusion</x:v>
      </x:c>
    </x:row>
    <x:row r="21">
      <x:c r="A21" s="417" t="n">
        <x:v>1</x:v>
      </x:c>
      <x:c r="B21" s="296" t="str">
        <x:v>Rolling50</x:v>
      </x:c>
      <x:c r="C21" s="296" t="str">
        <x:v>Uniform</x:v>
      </x:c>
      <x:c r="D21" s="460" t="n">
        <x:v>7.19555049103276</x:v>
      </x:c>
      <x:c r="E21" s="460" t="n">
        <x:v>0.005</x:v>
      </x:c>
      <x:c r="F21" s="412" t="str">
        <x:v>Uniform retained</x:v>
      </x:c>
    </x:row>
    <x:row r="22">
      <x:c r="A22" s="417" t="n">
        <x:v>2</x:v>
      </x:c>
      <x:c r="B22" s="296" t="str">
        <x:v>EWMA</x:v>
      </x:c>
      <x:c r="C22" s="296" t="str">
        <x:v>Uniform</x:v>
      </x:c>
      <x:c r="D22" s="460" t="n">
        <x:v>4.691159309015556</x:v>
      </x:c>
      <x:c r="E22" s="460" t="n">
        <x:v>0.005</x:v>
      </x:c>
      <x:c r="F22" s="412" t="str">
        <x:v>Uniform retained</x:v>
      </x:c>
    </x:row>
    <x:row r="23">
      <x:c r="A23" s="417" t="n">
        <x:v>3</x:v>
      </x:c>
      <x:c r="B23" s="296" t="str">
        <x:v>FullFrequency</x:v>
      </x:c>
      <x:c r="C23" s="296" t="str">
        <x:v>Uniform</x:v>
      </x:c>
      <x:c r="D23" s="460" t="n">
        <x:v>2.190985383828799</x:v>
      </x:c>
      <x:c r="E23" s="460" t="n">
        <x:v>0.04</x:v>
      </x:c>
      <x:c r="F23" s="412" t="str">
        <x:v>Uniform retained</x:v>
      </x:c>
    </x:row>
    <x:row r="24">
      <x:c r="A24" s="418" t="str">
        <x:v>Final</x:v>
      </x:c>
      <x:c r="B24" s="419"/>
      <x:c r="C24" s="419"/>
      <x:c r="D24" s="419"/>
      <x:c r="E24" s="419"/>
      <x:c r="F24" s="437" t="str">
        <x:v>Uniform</x:v>
      </x:c>
    </x:row>
  </x:sheetData>
  <x:mergeCells>
    <x:mergeCell ref="A1:N1"/>
    <x:mergeCell ref="A10:F10"/>
    <x:mergeCell ref="A18:N18"/>
  </x:mergeCells>
  <x:conditionalFormatting sqref="B4:C7">
    <x:cfRule type="dataBar" priority="1">
      <x:dataBar>
        <x:cfvo type="min"/>
        <x:cfvo type="max"/>
        <x:color rgb="FF6B4F8A"/>
      </x:dataBar>
      <x:extLst>
        <x:ext xmlns:x14="http://schemas.microsoft.com/office/spreadsheetml/2009/9/main" uri="{B025F937-C7B1-47D3-B67F-A62EFF666E3E}">
          <x14:id>{7E0148E1-3411-E9C2-E1DD-37D84A7A2DCB}</x14:id>
        </x:ext>
      </x:extLst>
    </x:cfRule>
  </x:conditionalFormatting>
  <x:pageMargins left="0.7" right="0.7" top="0.75" bottom="0.75" header="0.3" footer="0.3"/>
  <x:drawing xmlns:r="http://schemas.openxmlformats.org/officeDocument/2006/relationships" r:id="R28f8a8e28011475e"/>
  <x:extLst>
    <x:ext xmlns:x14="http://schemas.microsoft.com/office/spreadsheetml/2009/9/main" xmlns:xm="http://schemas.microsoft.com/office/excel/2006/main" uri="{78C0D931-6437-407d-A8EE-F0AAD7539E65}">
      <x14:conditionalFormattings>
        <x14:conditionalFormatting>
          <x14:cfRule type="dataBar" priority="1" id="{7E0148E1-3411-E9C2-E1DD-37D84A7A2DCB}">
            <x14:dataBar gradient="1">
              <x14:cfvo type="min"/>
              <x14:cfvo type="max"/>
              <x14:fillColor rgb="FF6B4F8A"/>
            </x14:dataBar>
          </x14:cfRule>
          <xm:sqref>B4:C7</xm:sqref>
        </x14:conditionalFormatting>
      </x14:conditionalFormattings>
    </x:ext>
  </x:extLst>
</x:worksheet>
</file>

<file path=xl/worksheets/sheet29.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ht="30" customHeight="1">
      <x:c r="A1" s="499" t="str">
        <x:v>Synthetic-Null Model Laboratory and Randomness Diagnostics</x:v>
      </x:c>
      <x:c r="B1" s="499"/>
      <x:c r="C1" s="499"/>
      <x:c r="D1" s="499"/>
      <x:c r="E1" s="499"/>
      <x:c r="F1" s="499"/>
      <x:c r="G1" s="499"/>
      <x:c r="H1" s="499"/>
      <x:c r="I1" s="499"/>
      <x:c r="J1" s="499"/>
      <x:c r="K1" s="499"/>
      <x:c r="L1" s="499"/>
      <x:c r="M1" s="260"/>
      <x:c r="N1" s="260"/>
      <x:c r="O1" s="260"/>
      <x:c r="P1" s="260"/>
      <x:c r="Q1" s="260"/>
      <x:c r="R1" s="260"/>
      <x:c r="S1" s="260"/>
      <x:c r="T1" s="260"/>
      <x:c r="U1" s="260"/>
      <x:c r="V1" s="260"/>
      <x:c r="W1" s="260"/>
      <x:c r="X1" s="260"/>
      <x:c r="Y1" s="260"/>
      <x:c r="Z1" s="260"/>
    </x:row>
    <x:row r="3">
      <x:c r="A3" s="432" t="str">
        <x:v>Metric</x:v>
      </x:c>
      <x:c r="B3" s="433" t="str">
        <x:v>Observed / Result</x:v>
      </x:c>
      <x:c r="C3" s="433" t="str">
        <x:v>Null Mean</x:v>
      </x:c>
      <x:c r="D3" s="433" t="str">
        <x:v>95% Null Quantile</x:v>
      </x:c>
      <x:c r="E3" s="433" t="str">
        <x:v>99% Null Quantile</x:v>
      </x:c>
      <x:c r="F3" s="434" t="str">
        <x:v>Decision</x:v>
      </x:c>
    </x:row>
    <x:row r="4">
      <x:c r="A4" s="417" t="str">
        <x:v>Rolling-frequency Brier improvement</x:v>
      </x:c>
      <x:c r="B4" s="435" t="n">
        <x:v>-0.0017015121630506308</x:v>
      </x:c>
      <x:c r="C4" s="435" t="n">
        <x:v>-0.0016637491781722493</x:v>
      </x:c>
      <x:c r="D4" s="435" t="n">
        <x:v>-0.0015579198242153668</x:v>
      </x:c>
      <x:c r="E4" s="435" t="n">
        <x:v>-0.0015339001349527633</x:v>
      </x:c>
      <x:c r="F4" s="406" t="str">
        <x:v>NO EDGE</x:v>
      </x:c>
    </x:row>
    <x:row r="5">
      <x:c r="A5" s="417" t="str">
        <x:v>Empirical null p</x:v>
      </x:c>
      <x:c r="B5" s="435" t="n">
        <x:v>0.7107438016528925</x:v>
      </x:c>
      <x:c r="C5" s="435"/>
      <x:c r="D5" s="435" t="n">
        <x:v>0.05</x:v>
      </x:c>
      <x:c r="E5" s="435"/>
      <x:c r="F5" s="406" t="str">
        <x:v>NO EDGE</x:v>
      </x:c>
    </x:row>
    <x:row r="6">
      <x:c r="A6" s="417" t="str">
        <x:v>Simulations</x:v>
      </x:c>
      <x:c r="B6" s="435" t="n">
        <x:v>120</x:v>
      </x:c>
      <x:c r="C6" s="435"/>
      <x:c r="D6" s="435"/>
      <x:c r="E6" s="435"/>
      <x:c r="F6" s="406" t="str">
        <x:v>Completed</x:v>
      </x:c>
    </x:row>
    <x:row r="7">
      <x:c r="A7" s="417" t="str">
        <x:v>Lag mutual-information p</x:v>
      </x:c>
      <x:c r="B7" s="435" t="n">
        <x:v>0.56</x:v>
      </x:c>
      <x:c r="C7" s="435"/>
      <x:c r="D7" s="435" t="n">
        <x:v>0.05</x:v>
      </x:c>
      <x:c r="E7" s="435"/>
      <x:c r="F7" s="406" t="str">
        <x:v>NO EDGE</x:v>
      </x:c>
    </x:row>
    <x:row r="8">
      <x:c r="A8" s="417" t="str">
        <x:v>Real compression ratio</x:v>
      </x:c>
      <x:c r="B8" s="435" t="n">
        <x:v>0.08178461538461539</x:v>
      </x:c>
      <x:c r="C8" s="435" t="n">
        <x:v>0.08182564102564102</x:v>
      </x:c>
      <x:c r="D8" s="435"/>
      <x:c r="E8" s="435"/>
      <x:c r="F8" s="406" t="str">
        <x:v>NO ANOMALY</x:v>
      </x:c>
    </x:row>
    <x:row r="9">
      <x:c r="A9" s="417" t="str">
        <x:v>Real LZ complexity</x:v>
      </x:c>
      <x:c r="B9" s="435" t="n">
        <x:v>14</x:v>
      </x:c>
      <x:c r="C9" s="435" t="n">
        <x:v>13</x:v>
      </x:c>
      <x:c r="D9" s="435"/>
      <x:c r="E9" s="435"/>
      <x:c r="F9" s="406" t="str">
        <x:v>NO ANOMALY</x:v>
      </x:c>
    </x:row>
    <x:row r="10">
      <x:c r="A10" s="418" t="str">
        <x:v>Deployment result</x:v>
      </x:c>
      <x:c r="B10" s="419"/>
      <x:c r="C10" s="419"/>
      <x:c r="D10" s="419"/>
      <x:c r="E10" s="419"/>
      <x:c r="F10" s="408" t="str">
        <x:v>Uniform</x:v>
      </x:c>
    </x:row>
    <x:row r="12" ht="22" customHeight="1">
      <x:c r="A12" s="399" t="str">
        <x:v>Required Null-Lab Protocol</x:v>
      </x:c>
      <x:c r="B12" s="399"/>
      <x:c r="C12" s="399"/>
      <x:c r="D12" s="399"/>
      <x:c r="E12" s="399"/>
      <x:c r="F12" s="399"/>
      <x:c r="G12" s="399"/>
      <x:c r="H12" s="399"/>
      <x:c r="I12" s="399"/>
      <x:c r="J12" s="399"/>
      <x:c r="K12" s="399"/>
      <x:c r="L12" s="399"/>
    </x:row>
    <x:row r="14">
      <x:c r="A14" s="432" t="str">
        <x:v>Stage</x:v>
      </x:c>
      <x:c r="B14" s="433" t="str">
        <x:v>Requirement</x:v>
      </x:c>
      <x:c r="C14" s="434" t="str">
        <x:v>Reason</x:v>
      </x:c>
    </x:row>
    <x:row r="15">
      <x:c r="A15" s="417" t="str">
        <x:v>Rule-era simulation</x:v>
      </x:c>
      <x:c r="B15" s="330" t="str">
        <x:v>Simulate 2/8, 2/10 and 2/12 eras with matching dates and masks</x:v>
      </x:c>
      <x:c r="C15" s="412" t="str">
        <x:v>Preserves the actual historical experiment</x:v>
      </x:c>
    </x:row>
    <x:row r="16">
      <x:c r="A16" s="417" t="str">
        <x:v>Pipeline replication</x:v>
      </x:c>
      <x:c r="B16" s="330" t="str">
        <x:v>Run feature selection, tuning, calibration and model selection inside every simulation</x:v>
      </x:c>
      <x:c r="C16" s="412" t="str">
        <x:v>Captures data-snooping bias</x:v>
      </x:c>
    </x:row>
    <x:row r="17">
      <x:c r="A17" s="417" t="str">
        <x:v>Family-wise statistic</x:v>
      </x:c>
      <x:c r="B17" s="330" t="str">
        <x:v>Compare the best method, not a preselected method</x:v>
      </x:c>
      <x:c r="C17" s="412" t="str">
        <x:v>Controls winner's curse</x:v>
      </x:c>
    </x:row>
    <x:row r="18">
      <x:c r="A18" s="417" t="str">
        <x:v>Prospective confirmation</x:v>
      </x:c>
      <x:c r="B18" s="330" t="str">
        <x:v>Freeze the winning candidate and score future draws</x:v>
      </x:c>
      <x:c r="C18" s="412" t="str">
        <x:v>Retrospective significance is insufficient</x:v>
      </x:c>
    </x:row>
    <x:row r="19">
      <x:c r="A19" s="418" t="str">
        <x:v>Promotion threshold</x:v>
      </x:c>
      <x:c r="B19" s="436" t="str">
        <x:v>Corrected p &lt;0.05, positive block-bootstrap CI and stable calibration</x:v>
      </x:c>
      <x:c r="C19" s="437" t="str">
        <x:v>Prevents false deployment</x:v>
      </x:c>
    </x:row>
  </x:sheetData>
  <x:mergeCells>
    <x:mergeCell ref="A1:L1"/>
    <x:mergeCell ref="A12:L12"/>
  </x:mergeCells>
  <x:conditionalFormatting sqref="F4:F10">
    <x:cfRule type="expression" dxfId="18" priority="1">
      <x:formula>OR(F4="NO EDGE",F4="NO ANOMALY")</x:formula>
    </x:cfRule>
    <x:cfRule type="expression" dxfId="19" priority="2">
      <x:formula>F4="Uniform"</x:formula>
    </x:cfRule>
  </x:conditionalFormatting>
  <x:pageMargins left="0.7" right="0.7" top="0.75" bottom="0.75" header="0.3" footer="0.3"/>
</x:worksheet>
</file>

<file path=xl/worksheets/sheet30.xml><?xml version="1.0" encoding="utf-8"?>
<x:worksheet xmlns:x="http://schemas.openxmlformats.org/spreadsheetml/2006/main">
  <x:sheetFormatPr defaultRowHeight="15"/>
  <x:cols>
    <x:col min="1" max="1" width="21" hidden="0" customWidth="1"/>
    <x:col min="2" max="2" width="70" hidden="0" customWidth="1"/>
    <x:col min="3" max="3" width="14" hidden="0" customWidth="1"/>
    <x:col min="4" max="4" width="14" hidden="0" customWidth="1"/>
    <x:col min="5" max="5" width="24" hidden="0" customWidth="1"/>
    <x:col min="6" max="6" width="16" hidden="0" customWidth="1"/>
    <x:col min="7" max="7" width="42" hidden="0" customWidth="1"/>
    <x:col min="8" max="8" width="68" hidden="0" customWidth="1"/>
    <x:col min="9" max="9" width="18" hidden="0" customWidth="1"/>
    <x:col min="10" max="10" width="15" hidden="0" customWidth="1"/>
    <x:col min="11" max="11" width="13" hidden="0" customWidth="1"/>
    <x:col min="12" max="12" width="13" hidden="0" customWidth="1"/>
  </x:cols>
  <x:sheetData>
    <x:row r="1" ht="30" customHeight="1">
      <x:c r="A1" s="499" t="str">
        <x:v>Immutable Prospective Prediction Registry</x:v>
      </x:c>
      <x:c r="B1" s="499"/>
      <x:c r="C1" s="499"/>
      <x:c r="D1" s="499"/>
      <x:c r="E1" s="499"/>
      <x:c r="F1" s="499"/>
      <x:c r="G1" s="499"/>
      <x:c r="H1" s="499"/>
      <x:c r="I1" s="499"/>
      <x:c r="J1" s="499"/>
      <x:c r="K1" s="499"/>
      <x:c r="L1" s="499"/>
      <x:c r="M1" s="260"/>
      <x:c r="N1" s="260"/>
      <x:c r="O1" s="260"/>
      <x:c r="P1" s="260"/>
      <x:c r="Q1" s="260"/>
      <x:c r="R1" s="260"/>
      <x:c r="S1" s="260"/>
      <x:c r="T1" s="260"/>
      <x:c r="U1" s="260"/>
      <x:c r="V1" s="260"/>
      <x:c r="W1" s="260"/>
      <x:c r="X1" s="260"/>
      <x:c r="Y1" s="260"/>
      <x:c r="Z1" s="260"/>
    </x:row>
    <x:row r="3">
      <x:c r="A3" s="432" t="str">
        <x:v>Frozen At UTC</x:v>
      </x:c>
      <x:c r="B3" s="433" t="str">
        <x:v>Model Version</x:v>
      </x:c>
      <x:c r="C3" s="433" t="str">
        <x:v>Data Cutoff</x:v>
      </x:c>
      <x:c r="D3" s="433" t="str">
        <x:v>Target Draw</x:v>
      </x:c>
      <x:c r="E3" s="433" t="str">
        <x:v>Primary Main</x:v>
      </x:c>
      <x:c r="F3" s="433" t="str">
        <x:v>Primary Euro</x:v>
      </x:c>
      <x:c r="G3" s="433" t="str">
        <x:v>Deployment Status</x:v>
      </x:c>
      <x:c r="H3" s="433" t="str">
        <x:v>SHA-256</x:v>
      </x:c>
      <x:c r="I3" s="433" t="str">
        <x:v>Editable After Draw</x:v>
      </x:c>
      <x:c r="J3" s="433" t="str">
        <x:v>Result</x:v>
      </x:c>
      <x:c r="K3" s="433" t="str">
        <x:v>Score</x:v>
      </x:c>
      <x:c r="L3" s="434" t="str">
        <x:v>Audit</x:v>
      </x:c>
    </x:row>
    <x:row r="4">
      <x:c r="A4" s="461" t="n">
        <x:v>46229.48748106482</x:v>
      </x:c>
      <x:c r="B4" s="419" t="str">
        <x:v>v3.3</x:v>
      </x:c>
      <x:c r="C4" s="419" t="str">
        <x:v>2026-07-24</x:v>
      </x:c>
      <x:c r="D4" s="419" t="str">
        <x:v>2026-07-28</x:v>
      </x:c>
      <x:c r="E4" s="419" t="str">
        <x:v>4 – 21 – 35 – 37 – 42</x:v>
      </x:c>
      <x:c r="F4" s="419" t="str">
        <x:v>5 – 7</x:v>
      </x:c>
      <x:c r="G4" s="436" t="str">
        <x:v>Uniform mode; experimental frozen line</x:v>
      </x:c>
      <x:c r="H4" s="436" t="str">
        <x:v>a16ed6e257681dd1ab70adef29e984bb0d45a303a07bf42600f955b68710ed2e</x:v>
      </x:c>
      <x:c r="I4" s="463" t="str">
        <x:v>NO</x:v>
      </x:c>
      <x:c r="J4" s="419" t="str">
        <x:v>Pending</x:v>
      </x:c>
      <x:c r="K4" s="419"/>
      <x:c r="L4" s="465" t="str">
        <x:v>Frozen</x:v>
      </x:c>
    </x:row>
    <x:row r="7" ht="22" customHeight="1">
      <x:c r="A7" s="399" t="str">
        <x:v>Registry Rules</x:v>
      </x:c>
      <x:c r="B7" s="399"/>
      <x:c r="C7" s="399"/>
      <x:c r="D7" s="399"/>
      <x:c r="E7" s="399"/>
      <x:c r="F7" s="399"/>
      <x:c r="G7" s="399"/>
      <x:c r="H7" s="399"/>
      <x:c r="I7" s="399"/>
      <x:c r="J7" s="399"/>
      <x:c r="K7" s="399"/>
      <x:c r="L7" s="399"/>
    </x:row>
    <x:row r="9">
      <x:c r="A9" s="432" t="str">
        <x:v>Rule</x:v>
      </x:c>
      <x:c r="B9" s="434" t="str">
        <x:v>Requirement</x:v>
      </x:c>
    </x:row>
    <x:row r="10">
      <x:c r="A10" s="417" t="str">
        <x:v>Freeze timing</x:v>
      </x:c>
      <x:c r="B10" s="412" t="str">
        <x:v>Probabilities, selected lines, feature set, code version and hashes are recorded before the draw.</x:v>
      </x:c>
    </x:row>
    <x:row r="11">
      <x:c r="A11" s="417" t="str">
        <x:v>No replacement</x:v>
      </x:c>
      <x:c r="B11" s="412" t="str">
        <x:v>A later model cannot replace the frozen prediction when the result is scored.</x:v>
      </x:c>
    </x:row>
    <x:row r="12">
      <x:c r="A12" s="417" t="str">
        <x:v>Append-only</x:v>
      </x:c>
      <x:c r="B12" s="412" t="str">
        <x:v>Results and scores are appended; the original forecast is never edited.</x:v>
      </x:c>
    </x:row>
    <x:row r="13">
      <x:c r="A13" s="417" t="str">
        <x:v>Promotion evidence</x:v>
      </x:c>
      <x:c r="B13" s="412" t="str">
        <x:v>Only prospectively frozen forecasts count toward a validated predictive-edge claim.</x:v>
      </x:c>
    </x:row>
    <x:row r="14">
      <x:c r="A14" s="418" t="str">
        <x:v>Hash verification</x:v>
      </x:c>
      <x:c r="B14" s="437" t="str">
        <x:v>The SHA-256 value detects alteration of a registered record.</x:v>
      </x:c>
    </x:row>
  </x:sheetData>
  <x:mergeCells>
    <x:mergeCell ref="A1:L1"/>
    <x:mergeCell ref="A7:L7"/>
  </x:mergeCells>
  <x:pageMargins left="0.7" right="0.7" top="0.75" bottom="0.75" header="0.3" footer="0.3"/>
</x:worksheet>
</file>

<file path=xl/worksheets/sheet31.xml><?xml version="1.0" encoding="utf-8"?>
<x:worksheet xmlns:x="http://schemas.openxmlformats.org/spreadsheetml/2006/main">
  <x:sheetFormatPr defaultRowHeight="15"/>
  <x:cols>
    <x:col min="1" max="1" width="25" hidden="0" customWidth="1"/>
    <x:col min="2" max="2" width="16" hidden="0" customWidth="1"/>
    <x:col min="3" max="3" width="44" hidden="0" customWidth="1"/>
    <x:col min="4" max="4" width="19" hidden="0" customWidth="1"/>
    <x:col min="5" max="5" width="18" hidden="0" customWidth="1"/>
    <x:col min="6" max="6" width="16" hidden="0" customWidth="1"/>
    <x:col min="7" max="7" width="16" hidden="0" customWidth="1"/>
    <x:col min="8" max="8" width="18" hidden="0" customWidth="1"/>
  </x:cols>
  <x:sheetData>
    <x:row r="1" ht="30" customHeight="1">
      <x:c r="A1" s="499" t="str">
        <x:v>Prize-Tier Probability, Expected Value and Prize-Sharing Strategy</x:v>
      </x:c>
      <x:c r="B1" s="499"/>
      <x:c r="C1" s="499"/>
      <x:c r="D1" s="499"/>
      <x:c r="E1" s="499"/>
      <x:c r="F1" s="499"/>
      <x:c r="G1" s="499"/>
      <x:c r="H1" s="499"/>
      <x:c r="I1" s="499"/>
      <x:c r="J1" s="499"/>
      <x:c r="K1" s="499"/>
      <x:c r="L1" s="499"/>
      <x:c r="M1" s="499"/>
      <x:c r="N1" s="499"/>
      <x:c r="O1" s="260"/>
      <x:c r="P1" s="260"/>
      <x:c r="Q1" s="260"/>
      <x:c r="R1" s="260"/>
      <x:c r="S1" s="260"/>
      <x:c r="T1" s="260"/>
      <x:c r="U1" s="260"/>
      <x:c r="V1" s="260"/>
      <x:c r="W1" s="260"/>
      <x:c r="X1" s="260"/>
      <x:c r="Y1" s="260"/>
      <x:c r="Z1" s="260"/>
    </x:row>
    <x:row r="3">
      <x:c r="A3" s="432" t="str">
        <x:v>Prize Tier</x:v>
      </x:c>
      <x:c r="B3" s="433" t="str">
        <x:v>Main Matches</x:v>
      </x:c>
      <x:c r="C3" s="433" t="str">
        <x:v>Euro Matches</x:v>
      </x:c>
      <x:c r="D3" s="433" t="str">
        <x:v>One-Line Probability</x:v>
      </x:c>
      <x:c r="E3" s="433" t="str">
        <x:v>Approx. Odds 1 in</x:v>
      </x:c>
      <x:c r="F3" s="433" t="str">
        <x:v>Prize Input</x:v>
      </x:c>
      <x:c r="G3" s="433" t="str">
        <x:v>Retained Share</x:v>
      </x:c>
      <x:c r="H3" s="434" t="str">
        <x:v>EV Contribution</x:v>
      </x:c>
    </x:row>
    <x:row r="4">
      <x:c r="A4" s="417" t="str">
        <x:v>5+2</x:v>
      </x:c>
      <x:c r="B4" s="296" t="n">
        <x:v>5</x:v>
      </x:c>
      <x:c r="C4" s="296" t="n">
        <x:v>2</x:v>
      </x:c>
      <x:c r="D4" s="336" t="n">
        <x:v>7.1511238420185165e-9</x:v>
      </x:c>
      <x:c r="E4" s="467" t="n">
        <x:v>139838160</x:v>
      </x:c>
      <x:c r="F4" s="314" t="n">
        <x:v>0</x:v>
      </x:c>
      <x:c r="G4" s="455" t="n">
        <x:v>1</x:v>
      </x:c>
      <x:c r="H4" s="470" t="n">
        <x:f>D4*F4*G4</x:f>
        <x:v>0</x:v>
      </x:c>
    </x:row>
    <x:row r="5">
      <x:c r="A5" s="417" t="str">
        <x:v>5+1</x:v>
      </x:c>
      <x:c r="B5" s="296" t="n">
        <x:v>5</x:v>
      </x:c>
      <x:c r="C5" s="296" t="n">
        <x:v>1</x:v>
      </x:c>
      <x:c r="D5" s="336" t="n">
        <x:v>1.4302247684037035e-7</x:v>
      </x:c>
      <x:c r="E5" s="467" t="n">
        <x:v>6991907.999999999</x:v>
      </x:c>
      <x:c r="F5" s="314" t="n">
        <x:v>0</x:v>
      </x:c>
      <x:c r="G5" s="455" t="n">
        <x:v>1</x:v>
      </x:c>
      <x:c r="H5" s="470" t="n">
        <x:f>D5*F5*G5</x:f>
        <x:v>0</x:v>
      </x:c>
    </x:row>
    <x:row r="6">
      <x:c r="A6" s="417" t="str">
        <x:v>5+0</x:v>
      </x:c>
      <x:c r="B6" s="296" t="n">
        <x:v>5</x:v>
      </x:c>
      <x:c r="C6" s="296" t="n">
        <x:v>0</x:v>
      </x:c>
      <x:c r="D6" s="336" t="n">
        <x:v>3.218005728908332e-7</x:v>
      </x:c>
      <x:c r="E6" s="467" t="n">
        <x:v>3107514.6666666665</x:v>
      </x:c>
      <x:c r="F6" s="314" t="n">
        <x:v>0</x:v>
      </x:c>
      <x:c r="G6" s="455" t="n">
        <x:v>1</x:v>
      </x:c>
      <x:c r="H6" s="470" t="n">
        <x:f>D6*F6*G6</x:f>
        <x:v>0</x:v>
      </x:c>
    </x:row>
    <x:row r="7">
      <x:c r="A7" s="417" t="str">
        <x:v>4+2</x:v>
      </x:c>
      <x:c r="B7" s="296" t="n">
        <x:v>4</x:v>
      </x:c>
      <x:c r="C7" s="296" t="n">
        <x:v>2</x:v>
      </x:c>
      <x:c r="D7" s="336" t="n">
        <x:v>0.0000016090028644541663</x:v>
      </x:c>
      <x:c r="E7" s="467" t="n">
        <x:v>621502.9333333332</x:v>
      </x:c>
      <x:c r="F7" s="314" t="n">
        <x:v>0</x:v>
      </x:c>
      <x:c r="G7" s="455" t="n">
        <x:v>1</x:v>
      </x:c>
      <x:c r="H7" s="470" t="n">
        <x:f>D7*F7*G7</x:f>
        <x:v>0</x:v>
      </x:c>
    </x:row>
    <x:row r="8">
      <x:c r="A8" s="417" t="str">
        <x:v>4+1</x:v>
      </x:c>
      <x:c r="B8" s="296" t="n">
        <x:v>4</x:v>
      </x:c>
      <x:c r="C8" s="296" t="n">
        <x:v>1</x:v>
      </x:c>
      <x:c r="D8" s="336" t="n">
        <x:v>0.00003218005728908332</x:v>
      </x:c>
      <x:c r="E8" s="467" t="n">
        <x:v>31075.146666666667</x:v>
      </x:c>
      <x:c r="F8" s="314" t="n">
        <x:v>0</x:v>
      </x:c>
      <x:c r="G8" s="455" t="n">
        <x:v>1</x:v>
      </x:c>
      <x:c r="H8" s="470" t="n">
        <x:f>D8*F8*G8</x:f>
        <x:v>0</x:v>
      </x:c>
    </x:row>
    <x:row r="9">
      <x:c r="A9" s="417" t="str">
        <x:v>3+2</x:v>
      </x:c>
      <x:c r="B9" s="296" t="n">
        <x:v>3</x:v>
      </x:c>
      <x:c r="C9" s="296" t="n">
        <x:v>2</x:v>
      </x:c>
      <x:c r="D9" s="336" t="n">
        <x:v>0.0000707961260359833</x:v>
      </x:c>
      <x:c r="E9" s="467" t="n">
        <x:v>14125.066666666668</x:v>
      </x:c>
      <x:c r="F9" s="314" t="n">
        <x:v>0</x:v>
      </x:c>
      <x:c r="G9" s="455" t="n">
        <x:v>1</x:v>
      </x:c>
      <x:c r="H9" s="470" t="n">
        <x:f>D9*F9*G9</x:f>
        <x:v>0</x:v>
      </x:c>
    </x:row>
    <x:row r="10">
      <x:c r="A10" s="417" t="str">
        <x:v>4+0</x:v>
      </x:c>
      <x:c r="B10" s="296" t="n">
        <x:v>4</x:v>
      </x:c>
      <x:c r="C10" s="296" t="n">
        <x:v>0</x:v>
      </x:c>
      <x:c r="D10" s="336" t="n">
        <x:v>0.00007240512890043748</x:v>
      </x:c>
      <x:c r="E10" s="467" t="n">
        <x:v>13811.176296296297</x:v>
      </x:c>
      <x:c r="F10" s="314" t="n">
        <x:v>0</x:v>
      </x:c>
      <x:c r="G10" s="455" t="n">
        <x:v>1</x:v>
      </x:c>
      <x:c r="H10" s="470" t="n">
        <x:f>D10*F10*G10</x:f>
        <x:v>0</x:v>
      </x:c>
    </x:row>
    <x:row r="11">
      <x:c r="A11" s="417" t="str">
        <x:v>2+2</x:v>
      </x:c>
      <x:c r="B11" s="296" t="n">
        <x:v>2</x:v>
      </x:c>
      <x:c r="C11" s="296" t="n">
        <x:v>2</x:v>
      </x:c>
      <x:c r="D11" s="336" t="n">
        <x:v>0.0010147444731824274</x:v>
      </x:c>
      <x:c r="E11" s="467" t="n">
        <x:v>985.4697674418605</x:v>
      </x:c>
      <x:c r="F11" s="314" t="n">
        <x:v>0</x:v>
      </x:c>
      <x:c r="G11" s="455" t="n">
        <x:v>1</x:v>
      </x:c>
      <x:c r="H11" s="470" t="n">
        <x:f>D11*F11*G11</x:f>
        <x:v>0</x:v>
      </x:c>
    </x:row>
    <x:row r="12">
      <x:c r="A12" s="417" t="str">
        <x:v>3+1</x:v>
      </x:c>
      <x:c r="B12" s="296" t="n">
        <x:v>3</x:v>
      </x:c>
      <x:c r="C12" s="296" t="n">
        <x:v>1</x:v>
      </x:c>
      <x:c r="D12" s="336" t="n">
        <x:v>0.0014159225207196662</x:v>
      </x:c>
      <x:c r="E12" s="467" t="n">
        <x:v>706.2533333333333</x:v>
      </x:c>
      <x:c r="F12" s="314" t="n">
        <x:v>0</x:v>
      </x:c>
      <x:c r="G12" s="455" t="n">
        <x:v>1</x:v>
      </x:c>
      <x:c r="H12" s="470" t="n">
        <x:f>D12*F12*G12</x:f>
        <x:v>0</x:v>
      </x:c>
    </x:row>
    <x:row r="13">
      <x:c r="A13" s="417" t="str">
        <x:v>3+0</x:v>
      </x:c>
      <x:c r="B13" s="296" t="n">
        <x:v>3</x:v>
      </x:c>
      <x:c r="C13" s="296" t="n">
        <x:v>0</x:v>
      </x:c>
      <x:c r="D13" s="336" t="n">
        <x:v>0.0031858256716192487</x:v>
      </x:c>
      <x:c r="E13" s="467" t="n">
        <x:v>313.8903703703704</x:v>
      </x:c>
      <x:c r="F13" s="314" t="n">
        <x:v>0</x:v>
      </x:c>
      <x:c r="G13" s="455" t="n">
        <x:v>1</x:v>
      </x:c>
      <x:c r="H13" s="470" t="n">
        <x:f>D13*F13*G13</x:f>
        <x:v>0</x:v>
      </x:c>
    </x:row>
    <x:row r="14">
      <x:c r="A14" s="417" t="str">
        <x:v>1+2</x:v>
      </x:c>
      <x:c r="B14" s="296" t="n">
        <x:v>1</x:v>
      </x:c>
      <x:c r="C14" s="296" t="n">
        <x:v>2</x:v>
      </x:c>
      <x:c r="D14" s="336" t="n">
        <x:v>0.005327408484207745</x:v>
      </x:c>
      <x:c r="E14" s="467" t="n">
        <x:v>187.70852713178292</x:v>
      </x:c>
      <x:c r="F14" s="314" t="n">
        <x:v>0</x:v>
      </x:c>
      <x:c r="G14" s="455" t="n">
        <x:v>1</x:v>
      </x:c>
      <x:c r="H14" s="470" t="n">
        <x:f>D14*F14*G14</x:f>
        <x:v>0</x:v>
      </x:c>
    </x:row>
    <x:row r="15">
      <x:c r="A15" s="418" t="str">
        <x:v>2+1</x:v>
      </x:c>
      <x:c r="B15" s="419" t="n">
        <x:v>2</x:v>
      </x:c>
      <x:c r="C15" s="419" t="n">
        <x:v>1</x:v>
      </x:c>
      <x:c r="D15" s="466" t="n">
        <x:v>0.02029488946364855</x:v>
      </x:c>
      <x:c r="E15" s="468" t="n">
        <x:v>49.27348837209302</x:v>
      </x:c>
      <x:c r="F15" s="469" t="n">
        <x:v>0</x:v>
      </x:c>
      <x:c r="G15" s="456" t="n">
        <x:v>1</x:v>
      </x:c>
      <x:c r="H15" s="471" t="n">
        <x:f>D15*F15*G15</x:f>
        <x:v>0</x:v>
      </x:c>
    </x:row>
    <x:row r="17" ht="22" customHeight="1">
      <x:c r="A17" s="399" t="str">
        <x:v>Anti-Crowd Heuristic</x:v>
      </x:c>
      <x:c r="B17" s="399"/>
      <x:c r="C17" s="399"/>
      <x:c r="D17" s="399"/>
      <x:c r="E17" s="399"/>
      <x:c r="F17" s="399"/>
      <x:c r="G17" s="399"/>
      <x:c r="H17" s="399"/>
      <x:c r="I17" s="399"/>
      <x:c r="J17" s="399"/>
      <x:c r="K17" s="399"/>
      <x:c r="L17" s="399"/>
      <x:c r="M17" s="399"/>
      <x:c r="N17" s="399"/>
    </x:row>
    <x:row r="19">
      <x:c r="A19" s="432" t="str">
        <x:v>Metric</x:v>
      </x:c>
      <x:c r="B19" s="433" t="str">
        <x:v>Value</x:v>
      </x:c>
      <x:c r="C19" s="434" t="str">
        <x:v>Interpretation</x:v>
      </x:c>
      <x:c r="E19" s="454" t="str">
        <x:v>The player-choice model currently uses transparent heuristics because no verified market-wide ticket-choice dataset is available. It may improve retained payout conditional on winning by avoiding commonly selected patterns, but it does not alter the draw probability. Prize inputs remain editable and default to zero, preventing unsupported expected-value claims.</x:v>
      </x:c>
      <x:c r="F19" s="454"/>
      <x:c r="G19" s="454"/>
      <x:c r="H19" s="454"/>
      <x:c r="I19" s="454"/>
      <x:c r="J19" s="454"/>
      <x:c r="K19" s="454"/>
      <x:c r="L19" s="454"/>
      <x:c r="M19" s="454"/>
      <x:c r="N19" s="454"/>
    </x:row>
    <x:row r="20">
      <x:c r="A20" s="417" t="str">
        <x:v>Original primary anti-crowd score</x:v>
      </x:c>
      <x:c r="B20" s="472" t="n">
        <x:v>0.54</x:v>
      </x:c>
      <x:c r="C20" s="406" t="str">
        <x:v>Higher indicates fewer common-choice features under the heuristic</x:v>
      </x:c>
      <x:c r="E20" s="454"/>
      <x:c r="F20" s="454"/>
      <x:c r="G20" s="454"/>
      <x:c r="H20" s="454"/>
      <x:c r="I20" s="454"/>
      <x:c r="J20" s="454"/>
      <x:c r="K20" s="454"/>
      <x:c r="L20" s="454"/>
      <x:c r="M20" s="454"/>
      <x:c r="N20" s="454"/>
    </x:row>
    <x:row r="21">
      <x:c r="A21" s="417" t="str">
        <x:v>Birthday Numbers</x:v>
      </x:c>
      <x:c r="B21" s="472" t="n">
        <x:v>0.2</x:v>
      </x:c>
      <x:c r="C21" s="406" t="str">
        <x:v>Heuristic penalty</x:v>
      </x:c>
      <x:c r="E21" s="454"/>
      <x:c r="F21" s="454"/>
      <x:c r="G21" s="454"/>
      <x:c r="H21" s="454"/>
      <x:c r="I21" s="454"/>
      <x:c r="J21" s="454"/>
      <x:c r="K21" s="454"/>
      <x:c r="L21" s="454"/>
      <x:c r="M21" s="454"/>
      <x:c r="N21" s="454"/>
    </x:row>
    <x:row r="22">
      <x:c r="A22" s="417" t="str">
        <x:v>Consecutive Pairs</x:v>
      </x:c>
      <x:c r="B22" s="472" t="n">
        <x:v>0</x:v>
      </x:c>
      <x:c r="C22" s="406" t="str">
        <x:v>Heuristic penalty</x:v>
      </x:c>
      <x:c r="E22" s="454"/>
      <x:c r="F22" s="454"/>
      <x:c r="G22" s="454"/>
      <x:c r="H22" s="454"/>
      <x:c r="I22" s="454"/>
      <x:c r="J22" s="454"/>
      <x:c r="K22" s="454"/>
      <x:c r="L22" s="454"/>
      <x:c r="M22" s="454"/>
      <x:c r="N22" s="454"/>
    </x:row>
    <x:row r="23">
      <x:c r="A23" s="417" t="str">
        <x:v>Same Endings</x:v>
      </x:c>
      <x:c r="B23" s="472" t="n">
        <x:v>0</x:v>
      </x:c>
      <x:c r="C23" s="406" t="str">
        <x:v>Heuristic penalty</x:v>
      </x:c>
      <x:c r="E23" s="454"/>
      <x:c r="F23" s="454"/>
      <x:c r="G23" s="454"/>
      <x:c r="H23" s="454"/>
      <x:c r="I23" s="454"/>
      <x:c r="J23" s="454"/>
      <x:c r="K23" s="454"/>
      <x:c r="L23" s="454"/>
      <x:c r="M23" s="454"/>
      <x:c r="N23" s="454"/>
    </x:row>
    <x:row r="24">
      <x:c r="A24" s="417" t="str">
        <x:v>Multiples Of Five</x:v>
      </x:c>
      <x:c r="B24" s="472" t="n">
        <x:v>0.08</x:v>
      </x:c>
      <x:c r="C24" s="406" t="str">
        <x:v>Heuristic penalty</x:v>
      </x:c>
      <x:c r="E24" s="454"/>
      <x:c r="F24" s="454"/>
      <x:c r="G24" s="454"/>
      <x:c r="H24" s="454"/>
      <x:c r="I24" s="454"/>
      <x:c r="J24" s="454"/>
      <x:c r="K24" s="454"/>
      <x:c r="L24" s="454"/>
      <x:c r="M24" s="454"/>
      <x:c r="N24" s="454"/>
    </x:row>
    <x:row r="25">
      <x:c r="A25" s="417" t="str">
        <x:v>Single Decade Concentration</x:v>
      </x:c>
      <x:c r="B25" s="472" t="n">
        <x:v>0.1</x:v>
      </x:c>
      <x:c r="C25" s="406" t="str">
        <x:v>Heuristic penalty</x:v>
      </x:c>
      <x:c r="E25" s="454"/>
      <x:c r="F25" s="454"/>
      <x:c r="G25" s="454"/>
      <x:c r="H25" s="454"/>
      <x:c r="I25" s="454"/>
      <x:c r="J25" s="454"/>
      <x:c r="K25" s="454"/>
      <x:c r="L25" s="454"/>
      <x:c r="M25" s="454"/>
      <x:c r="N25" s="454"/>
    </x:row>
    <x:row r="26">
      <x:c r="A26" s="418" t="str">
        <x:v>Lucky Euro 7</x:v>
      </x:c>
      <x:c r="B26" s="473" t="n">
        <x:v>0.08</x:v>
      </x:c>
      <x:c r="C26" s="408" t="str">
        <x:v>Heuristic penalty</x:v>
      </x:c>
      <x:c r="E26" s="454"/>
      <x:c r="F26" s="454"/>
      <x:c r="G26" s="454"/>
      <x:c r="H26" s="454"/>
      <x:c r="I26" s="454"/>
      <x:c r="J26" s="454"/>
      <x:c r="K26" s="454"/>
      <x:c r="L26" s="454"/>
      <x:c r="M26" s="454"/>
      <x:c r="N26" s="454"/>
    </x:row>
  </x:sheetData>
  <x:mergeCells>
    <x:mergeCell ref="A1:N1"/>
    <x:mergeCell ref="A17:N17"/>
    <x:mergeCell ref="E19:N26"/>
  </x:mergeCells>
  <x:pageMargins left="0.7" right="0.7" top="0.75" bottom="0.75" header="0.3" footer="0.3"/>
</x:worksheet>
</file>

<file path=xl/worksheets/sheet32.xml><?xml version="1.0" encoding="utf-8"?>
<x:worksheet xmlns:x="http://schemas.openxmlformats.org/spreadsheetml/2006/main">
  <x:sheetFormatPr defaultRowHeight="15"/>
  <x:cols>
    <x:col min="1" max="1" width="45" hidden="0" customWidth="1"/>
    <x:col min="2" max="2" width="12" hidden="0" customWidth="1"/>
    <x:col min="3" max="3" width="78" hidden="0" customWidth="1"/>
    <x:col min="4" max="4" width="22" hidden="0" customWidth="1"/>
  </x:cols>
  <x:sheetData>
    <x:row r="1" ht="30" customHeight="1">
      <x:c r="A1" s="499" t="str">
        <x:v>Mandatory Deployment Gates for a Non-Uniform Predictive Edge</x:v>
      </x:c>
      <x:c r="B1" s="499"/>
      <x:c r="C1" s="499"/>
      <x:c r="D1" s="499"/>
      <x:c r="E1" s="499"/>
      <x:c r="F1" s="499"/>
      <x:c r="G1" s="499"/>
      <x:c r="H1" s="499"/>
      <x:c r="I1" s="260"/>
      <x:c r="J1" s="260"/>
      <x:c r="K1" s="260"/>
      <x:c r="L1" s="260"/>
      <x:c r="M1" s="260"/>
      <x:c r="N1" s="260"/>
      <x:c r="O1" s="260"/>
      <x:c r="P1" s="260"/>
      <x:c r="Q1" s="260"/>
      <x:c r="R1" s="260"/>
      <x:c r="S1" s="260"/>
      <x:c r="T1" s="260"/>
      <x:c r="U1" s="260"/>
      <x:c r="V1" s="260"/>
      <x:c r="W1" s="260"/>
      <x:c r="X1" s="260"/>
      <x:c r="Y1" s="260"/>
      <x:c r="Z1" s="260"/>
    </x:row>
    <x:row r="3">
      <x:c r="A3" s="432" t="str">
        <x:v>Gate</x:v>
      </x:c>
      <x:c r="B3" s="433" t="str">
        <x:v>Pass</x:v>
      </x:c>
      <x:c r="C3" s="433" t="str">
        <x:v>Evidence</x:v>
      </x:c>
      <x:c r="D3" s="434" t="str">
        <x:v>Required for Promotion</x:v>
      </x:c>
    </x:row>
    <x:row r="4">
      <x:c r="A4" s="417" t="str">
        <x:v>Prospective frozen registry</x:v>
      </x:c>
      <x:c r="B4" s="296" t="str">
        <x:v>PASS</x:v>
      </x:c>
      <x:c r="C4" s="330" t="str">
        <x:v>Implemented and active</x:v>
      </x:c>
      <x:c r="D4" s="412" t="str">
        <x:v>YES</x:v>
      </x:c>
    </x:row>
    <x:row r="5">
      <x:c r="A5" s="417" t="str">
        <x:v>Correct rule-era simulation</x:v>
      </x:c>
      <x:c r="B5" s="296" t="str">
        <x:v>PASS</x:v>
      </x:c>
      <x:c r="C5" s="330" t="str">
        <x:v>Implemented in architecture; full large-scale lab remains recurring research</x:v>
      </x:c>
      <x:c r="D5" s="412" t="str">
        <x:v>YES</x:v>
      </x:c>
    </x:row>
    <x:row r="6">
      <x:c r="A6" s="417" t="str">
        <x:v>Lower Brier than uniform</x:v>
      </x:c>
      <x:c r="B6" s="296" t="str">
        <x:v>FAIL</x:v>
      </x:c>
      <x:c r="C6" s="330" t="str">
        <x:v>Not demonstrated</x:v>
      </x:c>
      <x:c r="D6" s="412" t="str">
        <x:v>YES</x:v>
      </x:c>
    </x:row>
    <x:row r="7">
      <x:c r="A7" s="417" t="str">
        <x:v>Lower log loss than uniform</x:v>
      </x:c>
      <x:c r="B7" s="296" t="str">
        <x:v>FAIL</x:v>
      </x:c>
      <x:c r="C7" s="330" t="str">
        <x:v>Not demonstrated</x:v>
      </x:c>
      <x:c r="D7" s="412" t="str">
        <x:v>YES</x:v>
      </x:c>
    </x:row>
    <x:row r="8">
      <x:c r="A8" s="417" t="str">
        <x:v>Calibration within tolerance</x:v>
      </x:c>
      <x:c r="B8" s="296" t="str">
        <x:v>FAIL</x:v>
      </x:c>
      <x:c r="C8" s="330" t="str">
        <x:v>Conformal sets are nearly full-pool; no useful concentration</x:v>
      </x:c>
      <x:c r="D8" s="412" t="str">
        <x:v>YES</x:v>
      </x:c>
    </x:row>
    <x:row r="9">
      <x:c r="A9" s="417" t="str">
        <x:v>Positive result in every predefined period</x:v>
      </x:c>
      <x:c r="B9" s="296" t="str">
        <x:v>FAIL</x:v>
      </x:c>
      <x:c r="C9" s="330" t="str">
        <x:v>Not demonstrated</x:v>
      </x:c>
      <x:c r="D9" s="412" t="str">
        <x:v>YES</x:v>
      </x:c>
    </x:row>
    <x:row r="10">
      <x:c r="A10" s="417" t="str">
        <x:v>Block-bootstrap interval above zero</x:v>
      </x:c>
      <x:c r="B10" s="296" t="str">
        <x:v>FAIL</x:v>
      </x:c>
      <x:c r="C10" s="330" t="str">
        <x:v>Not demonstrated</x:v>
      </x:c>
      <x:c r="D10" s="412" t="str">
        <x:v>YES</x:v>
      </x:c>
    </x:row>
    <x:row r="11">
      <x:c r="A11" s="417" t="str">
        <x:v>Synthetic-null corrected p &lt;0.05</x:v>
      </x:c>
      <x:c r="B11" s="296" t="str">
        <x:v>FAIL</x:v>
      </x:c>
      <x:c r="C11" s="330" t="str">
        <x:v>p=0.7107</x:v>
      </x:c>
      <x:c r="D11" s="412" t="str">
        <x:v>YES</x:v>
      </x:c>
    </x:row>
    <x:row r="12">
      <x:c r="A12" s="417" t="str">
        <x:v>Uniform excluded from Model Confidence Set</x:v>
      </x:c>
      <x:c r="B12" s="296" t="str">
        <x:v>FAIL</x:v>
      </x:c>
      <x:c r="C12" s="330" t="str">
        <x:v>Uniform is the only retained model</x:v>
      </x:c>
      <x:c r="D12" s="412" t="str">
        <x:v>YES</x:v>
      </x:c>
    </x:row>
    <x:row r="13">
      <x:c r="A13" s="417" t="str">
        <x:v>Sequential e-value ≥20</x:v>
      </x:c>
      <x:c r="B13" s="296" t="str">
        <x:v>FAIL</x:v>
      </x:c>
      <x:c r="C13" s="330" t="str">
        <x:v>Main E=0.0427; Euro E=0.0525</x:v>
      </x:c>
      <x:c r="D13" s="412" t="str">
        <x:v>YES</x:v>
      </x:c>
    </x:row>
    <x:row r="14">
      <x:c r="A14" s="417" t="str">
        <x:v>Structural anomaly replicated prospectively</x:v>
      </x:c>
      <x:c r="B14" s="296" t="str">
        <x:v>FAIL</x:v>
      </x:c>
      <x:c r="C14" s="330" t="str">
        <x:v>No replicated anomaly</x:v>
      </x:c>
      <x:c r="D14" s="412" t="str">
        <x:v>YES</x:v>
      </x:c>
    </x:row>
    <x:row r="15">
      <x:c r="A15" s="418" t="str">
        <x:v>Stable advantage on future draws</x:v>
      </x:c>
      <x:c r="B15" s="419" t="str">
        <x:v>FAIL</x:v>
      </x:c>
      <x:c r="C15" s="436" t="str">
        <x:v>Future registry observations pending</x:v>
      </x:c>
      <x:c r="D15" s="437" t="str">
        <x:v>YES</x:v>
      </x:c>
    </x:row>
    <x:row r="17">
      <x:c r="A17" s="475" t="str">
        <x:v>Final v3.3 deployment decision: UNIFORM MODE. All advanced methods remain available for prospective research, but no method is permitted to change deployed probabilities until every mandatory gate passes simultaneously.</x:v>
      </x:c>
      <x:c r="B17" s="475"/>
      <x:c r="C17" s="475"/>
      <x:c r="D17" s="475"/>
      <x:c r="E17" s="475"/>
      <x:c r="F17" s="475"/>
      <x:c r="G17" s="475"/>
      <x:c r="H17" s="475"/>
    </x:row>
    <x:row r="18">
      <x:c r="A18" s="475"/>
      <x:c r="B18" s="475"/>
      <x:c r="C18" s="475"/>
      <x:c r="D18" s="475"/>
      <x:c r="E18" s="475"/>
      <x:c r="F18" s="475"/>
      <x:c r="G18" s="475"/>
      <x:c r="H18" s="475"/>
    </x:row>
    <x:row r="19">
      <x:c r="A19" s="475"/>
      <x:c r="B19" s="475"/>
      <x:c r="C19" s="475"/>
      <x:c r="D19" s="475"/>
      <x:c r="E19" s="475"/>
      <x:c r="F19" s="475"/>
      <x:c r="G19" s="475"/>
      <x:c r="H19" s="475"/>
    </x:row>
    <x:row r="20">
      <x:c r="A20" s="475"/>
      <x:c r="B20" s="475"/>
      <x:c r="C20" s="475"/>
      <x:c r="D20" s="475"/>
      <x:c r="E20" s="475"/>
      <x:c r="F20" s="475"/>
      <x:c r="G20" s="475"/>
      <x:c r="H20" s="475"/>
    </x:row>
  </x:sheetData>
  <x:mergeCells>
    <x:mergeCell ref="A1:H1"/>
    <x:mergeCell ref="A17:H20"/>
  </x:mergeCells>
  <x:conditionalFormatting sqref="B4:B15">
    <x:cfRule type="expression" dxfId="20" priority="1">
      <x:formula>B4="PASS"</x:formula>
    </x:cfRule>
    <x:cfRule type="expression" dxfId="21" priority="2">
      <x:formula>B4="FAIL"</x:formula>
    </x:cfRule>
  </x:conditionalFormatting>
  <x:pageMargins left="0.7" right="0.7" top="0.75" bottom="0.75" header="0.3" footer="0.3"/>
</x:worksheet>
</file>

<file path=xl/worksheets/sheet33.xml><?xml version="1.0" encoding="utf-8"?>
<x:worksheet xmlns:x="http://schemas.openxmlformats.org/spreadsheetml/2006/main">
  <x:sheetFormatPr defaultRowHeight="15"/>
  <x:cols>
    <x:col min="1" max="1" width="28" hidden="0" customWidth="1"/>
    <x:col min="2" max="2" width="55" hidden="0" customWidth="1"/>
    <x:col min="3" max="3" width="58" hidden="0" customWidth="1"/>
    <x:col min="4" max="4" width="18" hidden="0" customWidth="1"/>
    <x:col min="10" max="10" width="24" hidden="0" customWidth="1"/>
    <x:col min="11" max="11" width="17" hidden="0" customWidth="1"/>
    <x:col min="12" max="12" width="20" hidden="0" customWidth="1"/>
    <x:col min="13" max="13" width="54" hidden="0" customWidth="1"/>
  </x:cols>
  <x:sheetData>
    <x:row r="1" ht="30" customHeight="1">
      <x:c r="A1" s="615" t="str">
        <x:v>Operational Dashboard v3.4</x:v>
      </x:c>
      <x:c r="B1" s="615"/>
      <x:c r="C1" s="615"/>
      <x:c r="D1" s="615"/>
      <x:c r="E1" s="615"/>
      <x:c r="F1" s="615"/>
      <x:c r="G1" s="615"/>
      <x:c r="H1" s="615"/>
      <x:c r="I1" s="615"/>
      <x:c r="J1" s="615"/>
      <x:c r="K1" s="615"/>
      <x:c r="L1" s="615"/>
      <x:c r="M1" s="615"/>
      <x:c r="N1" s="615"/>
      <x:c r="O1" s="615"/>
      <x:c r="P1" s="615"/>
      <x:c r="Q1" s="260"/>
      <x:c r="R1" s="260"/>
      <x:c r="S1" s="260"/>
      <x:c r="T1" s="260"/>
      <x:c r="U1" s="260"/>
      <x:c r="V1" s="260"/>
      <x:c r="W1" s="260"/>
      <x:c r="X1" s="260"/>
      <x:c r="Y1" s="260"/>
      <x:c r="Z1" s="260"/>
    </x:row>
    <x:row r="2">
      <x:c r="A2" s="559" t="str">
        <x:v>This is the operational control layer. It does not override the audited statistical conclusion: the champion remains uniform until every prospective promotion gate passes.</x:v>
      </x:c>
      <x:c r="B2" s="559"/>
      <x:c r="C2" s="559"/>
      <x:c r="D2" s="559"/>
      <x:c r="E2" s="559"/>
      <x:c r="F2" s="559"/>
      <x:c r="G2" s="559"/>
      <x:c r="H2" s="559"/>
      <x:c r="I2" s="559"/>
      <x:c r="J2" s="559"/>
      <x:c r="K2" s="559"/>
      <x:c r="L2" s="559"/>
      <x:c r="M2" s="559"/>
      <x:c r="N2" s="559"/>
      <x:c r="O2" s="559"/>
      <x:c r="P2" s="559"/>
    </x:row>
    <x:row r="3">
      <x:c r="A3" s="559"/>
      <x:c r="B3" s="559"/>
      <x:c r="C3" s="559"/>
      <x:c r="D3" s="559"/>
      <x:c r="E3" s="559"/>
      <x:c r="F3" s="559"/>
      <x:c r="G3" s="559"/>
      <x:c r="H3" s="559"/>
      <x:c r="I3" s="559"/>
      <x:c r="J3" s="559"/>
      <x:c r="K3" s="559"/>
      <x:c r="L3" s="559"/>
      <x:c r="M3" s="559"/>
      <x:c r="N3" s="559"/>
      <x:c r="O3" s="559"/>
      <x:c r="P3" s="559"/>
    </x:row>
    <x:row r="5" ht="22" customHeight="1">
      <x:c r="A5" s="620" t="str">
        <x:v>Current Run</x:v>
      </x:c>
      <x:c r="B5" s="620"/>
      <x:c r="C5" s="620"/>
      <x:c r="D5" s="620"/>
      <x:c r="E5" s="620"/>
      <x:c r="F5" s="620"/>
      <x:c r="G5" s="620"/>
      <x:c r="H5" s="620"/>
      <x:c r="I5" s="512"/>
      <x:c r="J5" s="620" t="str">
        <x:v>Engineering Test Results</x:v>
      </x:c>
      <x:c r="K5" s="620"/>
      <x:c r="L5" s="620"/>
      <x:c r="M5" s="620"/>
      <x:c r="N5" s="620"/>
      <x:c r="O5" s="620"/>
      <x:c r="P5" s="620"/>
    </x:row>
    <x:row r="6">
      <x:c r="A6" s="516" t="str">
        <x:v>Data cutoff</x:v>
      </x:c>
      <x:c r="B6" s="560" t="n">
        <x:v>46227</x:v>
      </x:c>
      <x:c r="J6" s="548" t="str">
        <x:v>Test</x:v>
      </x:c>
      <x:c r="K6" s="549" t="str">
        <x:v>Status</x:v>
      </x:c>
      <x:c r="L6" s="549" t="str">
        <x:v>Key Metric</x:v>
      </x:c>
      <x:c r="M6" s="550" t="str">
        <x:v>Interpretation</x:v>
      </x:c>
    </x:row>
    <x:row r="7">
      <x:c r="A7" s="518" t="str">
        <x:v>Target draw</x:v>
      </x:c>
      <x:c r="B7" s="522" t="n">
        <x:v>46231</x:v>
      </x:c>
      <x:c r="J7" s="533" t="str">
        <x:v>Negative control</x:v>
      </x:c>
      <x:c r="K7" s="296" t="str">
        <x:v>PASS</x:v>
      </x:c>
      <x:c r="L7" s="435" t="n">
        <x:v>0.0900481950355102</x:v>
      </x:c>
      <x:c r="M7" s="527" t="str">
        <x:v>Random noise did not create a useful edge</x:v>
      </x:c>
    </x:row>
    <x:row r="8">
      <x:c r="A8" s="518" t="str">
        <x:v>Champion</x:v>
      </x:c>
      <x:c r="B8" s="519" t="str">
        <x:v>uniform-1.0</x:v>
      </x:c>
      <x:c r="J8" s="533" t="str">
        <x:v>Safe feature cutoff</x:v>
      </x:c>
      <x:c r="K8" s="296" t="str">
        <x:v>PASS</x:v>
      </x:c>
      <x:c r="L8" s="435" t="n">
        <x:v>13</x:v>
      </x:c>
      <x:c r="M8" s="527" t="str">
        <x:v>All sampled features stop before target draw</x:v>
      </x:c>
    </x:row>
    <x:row r="9">
      <x:c r="A9" s="518" t="str">
        <x:v>Research model</x:v>
      </x:c>
      <x:c r="B9" s="519" t="str">
        <x:v>v3.3-advanced-ensemble</x:v>
      </x:c>
      <x:c r="J9" s="533" t="str">
        <x:v>Injected future leak</x:v>
      </x:c>
      <x:c r="K9" s="296" t="str">
        <x:v>PASS</x:v>
      </x:c>
      <x:c r="L9" s="435" t="n">
        <x:v>2</x:v>
      </x:c>
      <x:c r="M9" s="527" t="str">
        <x:v>Deliberate leakage was detected</x:v>
      </x:c>
    </x:row>
    <x:row r="10">
      <x:c r="A10" s="518" t="str">
        <x:v>Primary main</x:v>
      </x:c>
      <x:c r="B10" s="519" t="str">
        <x:v>4 – 21 – 35 – 37 – 42</x:v>
      </x:c>
      <x:c r="J10" s="533" t="str">
        <x:v>Combination-space verifier</x:v>
      </x:c>
      <x:c r="K10" s="296" t="str">
        <x:v>PASS</x:v>
      </x:c>
      <x:c r="L10" s="435" t="n">
        <x:v>139838160</x:v>
      </x:c>
      <x:c r="M10" s="527" t="str">
        <x:v>Independent calculation agrees</x:v>
      </x:c>
    </x:row>
    <x:row r="11">
      <x:c r="A11" s="518" t="str">
        <x:v>Primary Euro</x:v>
      </x:c>
      <x:c r="B11" s="519" t="str">
        <x:v>5 – 7</x:v>
      </x:c>
      <x:c r="J11" s="533" t="str">
        <x:v>Wheel verifier</x:v>
      </x:c>
      <x:c r="K11" s="296" t="str">
        <x:v>PASS</x:v>
      </x:c>
      <x:c r="L11" s="435" t="n">
        <x:v>4</x:v>
      </x:c>
      <x:c r="M11" s="527" t="str">
        <x:v>All four wheel files reverified</x:v>
      </x:c>
    </x:row>
    <x:row r="12">
      <x:c r="A12" s="518" t="str">
        <x:v>Main deployed probability</x:v>
      </x:c>
      <x:c r="B12" s="561" t="n">
        <x:v>0.1</x:v>
      </x:c>
      <x:c r="J12" s="534" t="str">
        <x:v>Registry hash</x:v>
      </x:c>
      <x:c r="K12" s="535" t="str">
        <x:v>PASS</x:v>
      </x:c>
      <x:c r="L12" s="562" t="str">
        <x:v>09815f2cfd38b0c3…</x:v>
      </x:c>
      <x:c r="M12" s="552" t="str">
        <x:v>Frozen record unchanged</x:v>
      </x:c>
    </x:row>
    <x:row r="13">
      <x:c r="A13" s="518" t="str">
        <x:v>Euro deployed probability</x:v>
      </x:c>
      <x:c r="B13" s="561" t="n">
        <x:v>0.16666666666666666</x:v>
      </x:c>
    </x:row>
    <x:row r="14" ht="22" customHeight="1">
      <x:c r="A14" s="569" t="str">
        <x:v>Confidence state</x:v>
      </x:c>
      <x:c r="B14" s="570" t="str">
        <x:v>Uniform mode; experimental line frozen</x:v>
      </x:c>
      <x:c r="C14" s="512"/>
      <x:c r="D14" s="512"/>
      <x:c r="E14" s="512"/>
      <x:c r="F14" s="512"/>
      <x:c r="G14" s="512"/>
      <x:c r="H14" s="512"/>
      <x:c r="I14" s="512"/>
      <x:c r="J14" s="620" t="str">
        <x:v>Schedule</x:v>
      </x:c>
      <x:c r="K14" s="620"/>
      <x:c r="L14" s="620"/>
      <x:c r="M14" s="620"/>
      <x:c r="N14" s="620"/>
      <x:c r="O14" s="620"/>
      <x:c r="P14" s="620"/>
    </x:row>
    <x:row r="15">
      <x:c r="A15" s="518" t="str">
        <x:v>Record hash</x:v>
      </x:c>
      <x:c r="B15" s="527" t="str">
        <x:v>09815f2cfd38b0c37fdb3e5ad8996c7a3f24c8ce08698edba5a13f89a7e1167c</x:v>
      </x:c>
    </x:row>
    <x:row r="16">
      <x:c r="A16" s="520" t="str">
        <x:v>Scored future draws</x:v>
      </x:c>
      <x:c r="B16" s="521" t="n">
        <x:v>0</x:v>
      </x:c>
      <x:c r="J16" s="548" t="str">
        <x:v>Action</x:v>
      </x:c>
      <x:c r="K16" s="549" t="str">
        <x:v>Days</x:v>
      </x:c>
      <x:c r="L16" s="549" t="str">
        <x:v>Local Time</x:v>
      </x:c>
      <x:c r="M16" s="550" t="str">
        <x:v>Rule</x:v>
      </x:c>
    </x:row>
    <x:row r="17">
      <x:c r="J17" s="533" t="str">
        <x:v>Pre-draw freeze</x:v>
      </x:c>
      <x:c r="K17" s="296" t="str">
        <x:v>Tuesday / Friday</x:v>
      </x:c>
      <x:c r="L17" s="296" t="str">
        <x:v>18:30 Europe/Athens</x:v>
      </x:c>
      <x:c r="M17" s="527" t="str">
        <x:v>Exact frozen prediction</x:v>
      </x:c>
    </x:row>
    <x:row r="18" ht="22" customHeight="1">
      <x:c r="A18" s="620" t="str">
        <x:v>Run Sequence</x:v>
      </x:c>
      <x:c r="B18" s="620"/>
      <x:c r="C18" s="620"/>
      <x:c r="D18" s="620"/>
      <x:c r="E18" s="620"/>
      <x:c r="F18" s="620"/>
      <x:c r="G18" s="620"/>
      <x:c r="H18" s="620"/>
      <x:c r="J18" s="533" t="str">
        <x:v>Post-draw score</x:v>
      </x:c>
      <x:c r="K18" s="296" t="str">
        <x:v>Tuesday / Friday</x:v>
      </x:c>
      <x:c r="L18" s="296" t="str">
        <x:v>After official publication</x:v>
      </x:c>
      <x:c r="M18" s="527" t="str">
        <x:v>Two-source verification</x:v>
      </x:c>
    </x:row>
    <x:row r="19">
      <x:c r="J19" s="533" t="str">
        <x:v>Champion review</x:v>
      </x:c>
      <x:c r="K19" s="296" t="str">
        <x:v>After each scored draw</x:v>
      </x:c>
      <x:c r="L19" s="296" t="str">
        <x:v>Automatic</x:v>
      </x:c>
      <x:c r="M19" s="527" t="str">
        <x:v>No promotion until every gate passes</x:v>
      </x:c>
    </x:row>
    <x:row r="20">
      <x:c r="A20" s="548" t="str">
        <x:v>Step</x:v>
      </x:c>
      <x:c r="B20" s="549" t="str">
        <x:v>Pre-Draw / Post-Draw</x:v>
      </x:c>
      <x:c r="C20" s="549" t="str">
        <x:v>Action</x:v>
      </x:c>
      <x:c r="D20" s="550" t="str">
        <x:v>Release Blocker</x:v>
      </x:c>
      <x:c r="J20" s="534" t="str">
        <x:v>Backup</x:v>
      </x:c>
      <x:c r="K20" s="535" t="str">
        <x:v>After each run</x:v>
      </x:c>
      <x:c r="L20" s="535" t="str">
        <x:v>Automatic</x:v>
      </x:c>
      <x:c r="M20" s="552" t="str">
        <x:v>Versioned database and artifact archive</x:v>
      </x:c>
    </x:row>
    <x:row r="21">
      <x:c r="A21" s="533" t="n">
        <x:v>1</x:v>
      </x:c>
      <x:c r="B21" s="296" t="str">
        <x:v>Pre-draw</x:v>
      </x:c>
      <x:c r="C21" s="330" t="str">
        <x:v>Update completed history and verify source agreement.</x:v>
      </x:c>
      <x:c r="D21" s="527" t="str">
        <x:v>Yes</x:v>
      </x:c>
    </x:row>
    <x:row r="22">
      <x:c r="A22" s="533" t="n">
        <x:v>2</x:v>
      </x:c>
      <x:c r="B22" s="296" t="str">
        <x:v>Pre-draw</x:v>
      </x:c>
      <x:c r="C22" s="330" t="str">
        <x:v>Train challengers using earlier draws only.</x:v>
      </x:c>
      <x:c r="D22" s="527" t="str">
        <x:v>Yes</x:v>
      </x:c>
    </x:row>
    <x:row r="23">
      <x:c r="A23" s="533" t="n">
        <x:v>3</x:v>
      </x:c>
      <x:c r="B23" s="296" t="str">
        <x:v>Pre-draw</x:v>
      </x:c>
      <x:c r="C23" s="330" t="str">
        <x:v>Run leakage, negative-control and independent-verifier suites.</x:v>
      </x:c>
      <x:c r="D23" s="527" t="str">
        <x:v>Yes</x:v>
      </x:c>
      <x:c r="J23" t="str">
        <x:v>Control</x:v>
      </x:c>
      <x:c r="K23" t="str">
        <x:v>Pass</x:v>
      </x:c>
      <x:c r="L23" t="str">
        <x:v>Fail</x:v>
      </x:c>
    </x:row>
    <x:row r="24">
      <x:c r="A24" s="533" t="n">
        <x:v>4</x:v>
      </x:c>
      <x:c r="B24" s="296" t="str">
        <x:v>Pre-draw</x:v>
      </x:c>
      <x:c r="C24" s="330" t="str">
        <x:v>Freeze champion and experimental lines with hashes.</x:v>
      </x:c>
      <x:c r="D24" s="527" t="str">
        <x:v>Yes</x:v>
      </x:c>
      <x:c r="J24" t="str">
        <x:v>Negative control</x:v>
      </x:c>
      <x:c r="K24" t="n">
        <x:v>1</x:v>
      </x:c>
      <x:c r="L24" t="n">
        <x:v>0</x:v>
      </x:c>
    </x:row>
    <x:row r="25">
      <x:c r="A25" s="533" t="n">
        <x:v>5</x:v>
      </x:c>
      <x:c r="B25" s="296" t="str">
        <x:v>Post-draw</x:v>
      </x:c>
      <x:c r="C25" s="330" t="str">
        <x:v>Verify the official result from at least two sources.</x:v>
      </x:c>
      <x:c r="D25" s="527" t="str">
        <x:v>Yes</x:v>
      </x:c>
      <x:c r="J25" t="str">
        <x:v>Leakage challenge</x:v>
      </x:c>
      <x:c r="K25" t="n">
        <x:v>1</x:v>
      </x:c>
      <x:c r="L25" t="n">
        <x:v>0</x:v>
      </x:c>
    </x:row>
    <x:row r="26">
      <x:c r="A26" s="533" t="n">
        <x:v>6</x:v>
      </x:c>
      <x:c r="B26" s="296" t="str">
        <x:v>Post-draw</x:v>
      </x:c>
      <x:c r="C26" s="330" t="str">
        <x:v>Append the result and score frozen predictions.</x:v>
      </x:c>
      <x:c r="D26" s="527" t="str">
        <x:v>Yes</x:v>
      </x:c>
      <x:c r="J26" t="str">
        <x:v>Independent verifier</x:v>
      </x:c>
      <x:c r="K26" t="n">
        <x:v>1</x:v>
      </x:c>
      <x:c r="L26" t="n">
        <x:v>0</x:v>
      </x:c>
    </x:row>
    <x:row r="27">
      <x:c r="A27" s="533" t="n">
        <x:v>7</x:v>
      </x:c>
      <x:c r="B27" s="296" t="str">
        <x:v>Post-draw</x:v>
      </x:c>
      <x:c r="C27" s="330" t="str">
        <x:v>Update Brier, log loss, calibration, power and e-values.</x:v>
      </x:c>
      <x:c r="D27" s="527" t="str">
        <x:v>No</x:v>
      </x:c>
      <x:c r="J27" t="str">
        <x:v>Promotion gates</x:v>
      </x:c>
      <x:c r="K27" t="n">
        <x:v>0</x:v>
      </x:c>
      <x:c r="L27" t="n">
        <x:v>1</x:v>
      </x:c>
    </x:row>
    <x:row r="28">
      <x:c r="A28" s="534" t="n">
        <x:v>8</x:v>
      </x:c>
      <x:c r="B28" s="535" t="str">
        <x:v>Post-draw</x:v>
      </x:c>
      <x:c r="C28" s="551" t="str">
        <x:v>Re-run promotion gates; preserve uniform if any gate fails.</x:v>
      </x:c>
      <x:c r="D28" s="552" t="str">
        <x:v>Yes</x:v>
      </x:c>
    </x:row>
  </x:sheetData>
  <x:mergeCells>
    <x:mergeCell ref="A1:P1"/>
    <x:mergeCell ref="A2:P3"/>
    <x:mergeCell ref="A18:H18"/>
    <x:mergeCell ref="A5:H5"/>
    <x:mergeCell ref="J5:P5"/>
    <x:mergeCell ref="J14:P14"/>
  </x:mergeCells>
  <x:conditionalFormatting sqref="K7:K12">
    <x:cfRule type="expression" dxfId="24" priority="1">
      <x:formula>K7="PASS"</x:formula>
    </x:cfRule>
  </x:conditionalFormatting>
  <x:pageMargins left="0.7" right="0.7" top="0.75" bottom="0.75" header="0.3" footer="0.3"/>
  <x:drawing xmlns:r="http://schemas.openxmlformats.org/officeDocument/2006/relationships" r:id="R31a8cca8585540fb"/>
</x:worksheet>
</file>

<file path=xl/worksheets/sheet34.xml><?xml version="1.0" encoding="utf-8"?>
<x:worksheet xmlns:x="http://schemas.openxmlformats.org/spreadsheetml/2006/main">
  <x:sheetFormatPr defaultRowHeight="15"/>
  <x:cols>
    <x:col min="1" max="1" width="26" hidden="0" customWidth="1"/>
    <x:col min="2" max="2" width="12" hidden="0" customWidth="1"/>
    <x:col min="3" max="3" width="15" hidden="0" customWidth="1"/>
    <x:col min="4" max="4" width="15" hidden="0" customWidth="1"/>
    <x:col min="5" max="5" width="13" hidden="0" customWidth="1"/>
    <x:col min="6" max="6" width="13" hidden="0" customWidth="1"/>
    <x:col min="7" max="7" width="18" hidden="0" customWidth="1"/>
    <x:col min="8" max="8" width="18" hidden="0" customWidth="1"/>
    <x:col min="9" max="9" width="14" hidden="0" customWidth="1"/>
    <x:col min="10" max="10" width="62" hidden="0" customWidth="1"/>
  </x:cols>
  <x:sheetData>
    <x:row r="1" ht="30" customHeight="1">
      <x:c r="A1" s="615" t="str">
        <x:v>Champion–Challenger Governance</x:v>
      </x:c>
      <x:c r="B1" s="615"/>
      <x:c r="C1" s="615"/>
      <x:c r="D1" s="615"/>
      <x:c r="E1" s="615"/>
      <x:c r="F1" s="615"/>
      <x:c r="G1" s="615"/>
      <x:c r="H1" s="615"/>
      <x:c r="I1" s="615"/>
      <x:c r="J1" s="615"/>
      <x:c r="K1" s="615"/>
      <x:c r="L1" s="615"/>
      <x:c r="M1" s="615"/>
      <x:c r="N1" s="260"/>
      <x:c r="O1" s="260"/>
      <x:c r="P1" s="260"/>
      <x:c r="Q1" s="260"/>
      <x:c r="R1" s="260"/>
      <x:c r="S1" s="260"/>
      <x:c r="T1" s="260"/>
      <x:c r="U1" s="260"/>
      <x:c r="V1" s="260"/>
      <x:c r="W1" s="260"/>
      <x:c r="X1" s="260"/>
      <x:c r="Y1" s="260"/>
      <x:c r="Z1" s="260"/>
    </x:row>
    <x:row r="3">
      <x:c r="A3" s="548" t="str">
        <x:v>Model</x:v>
      </x:c>
      <x:c r="B3" s="549" t="str">
        <x:v>Version</x:v>
      </x:c>
      <x:c r="C3" s="549" t="str">
        <x:v>Role</x:v>
      </x:c>
      <x:c r="D3" s="549" t="str">
        <x:v>Status</x:v>
      </x:c>
      <x:c r="E3" s="549" t="str">
        <x:v>Brier</x:v>
      </x:c>
      <x:c r="F3" s="549" t="str">
        <x:v>Log Loss</x:v>
      </x:c>
      <x:c r="G3" s="549" t="str">
        <x:v>Calibration Error</x:v>
      </x:c>
      <x:c r="H3" s="549" t="str">
        <x:v>Prospective Draws</x:v>
      </x:c>
      <x:c r="I3" s="549" t="str">
        <x:v>Gate Status</x:v>
      </x:c>
      <x:c r="J3" s="550" t="str">
        <x:v>Description</x:v>
      </x:c>
    </x:row>
    <x:row r="4">
      <x:c r="A4" s="533" t="str">
        <x:v>dynamic-bayes</x:v>
      </x:c>
      <x:c r="B4" s="296" t="str">
        <x:v>3.3</x:v>
      </x:c>
      <x:c r="C4" s="296" t="str">
        <x:v>challenger</x:v>
      </x:c>
      <x:c r="D4" s="296" t="str">
        <x:v>RESEARCH</x:v>
      </x:c>
      <x:c r="E4" s="435"/>
      <x:c r="F4" s="435"/>
      <x:c r="G4" s="435"/>
      <x:c r="H4" s="296" t="n">
        <x:v>0</x:v>
      </x:c>
      <x:c r="I4" s="296" t="str">
        <x:v>FAIL</x:v>
      </x:c>
      <x:c r="J4" s="527" t="str">
        <x:v>Logistic-normal dynamic Bayesian state model.</x:v>
      </x:c>
    </x:row>
    <x:row r="5">
      <x:c r="A5" s="533" t="str">
        <x:v>gp-drift</x:v>
      </x:c>
      <x:c r="B5" s="296" t="str">
        <x:v>3.3</x:v>
      </x:c>
      <x:c r="C5" s="296" t="str">
        <x:v>challenger</x:v>
      </x:c>
      <x:c r="D5" s="296" t="str">
        <x:v>RESEARCH</x:v>
      </x:c>
      <x:c r="E5" s="435"/>
      <x:c r="F5" s="435"/>
      <x:c r="G5" s="435"/>
      <x:c r="H5" s="296" t="n">
        <x:v>0</x:v>
      </x:c>
      <x:c r="I5" s="296" t="str">
        <x:v>FAIL</x:v>
      </x:c>
      <x:c r="J5" s="527" t="str">
        <x:v>Low-amplitude Gaussian-process drift model.</x:v>
      </x:c>
    </x:row>
    <x:row r="6">
      <x:c r="A6" s="533" t="str">
        <x:v>interaction-ising</x:v>
      </x:c>
      <x:c r="B6" s="296" t="str">
        <x:v>3.3</x:v>
      </x:c>
      <x:c r="C6" s="296" t="str">
        <x:v>challenger</x:v>
      </x:c>
      <x:c r="D6" s="296" t="str">
        <x:v>RESEARCH</x:v>
      </x:c>
      <x:c r="E6" s="435"/>
      <x:c r="F6" s="435"/>
      <x:c r="G6" s="435"/>
      <x:c r="H6" s="296" t="n">
        <x:v>0</x:v>
      </x:c>
      <x:c r="I6" s="296" t="str">
        <x:v>FAIL</x:v>
      </x:c>
      <x:c r="J6" s="527" t="str">
        <x:v>Regularised maximum-entropy pair interaction model.</x:v>
      </x:c>
    </x:row>
    <x:row r="7">
      <x:c r="A7" s="533" t="str">
        <x:v>regime-hmm</x:v>
      </x:c>
      <x:c r="B7" s="296" t="str">
        <x:v>3.3</x:v>
      </x:c>
      <x:c r="C7" s="296" t="str">
        <x:v>challenger</x:v>
      </x:c>
      <x:c r="D7" s="296" t="str">
        <x:v>RESEARCH</x:v>
      </x:c>
      <x:c r="E7" s="435"/>
      <x:c r="F7" s="435"/>
      <x:c r="G7" s="435"/>
      <x:c r="H7" s="296" t="n">
        <x:v>0</x:v>
      </x:c>
      <x:c r="I7" s="296" t="str">
        <x:v>FAIL</x:v>
      </x:c>
      <x:c r="J7" s="527" t="str">
        <x:v>Hidden-regime Bernoulli model.</x:v>
      </x:c>
    </x:row>
    <x:row r="8">
      <x:c r="A8" s="533" t="str">
        <x:v>robust-stacking</x:v>
      </x:c>
      <x:c r="B8" s="296" t="str">
        <x:v>3.3</x:v>
      </x:c>
      <x:c r="C8" s="296" t="str">
        <x:v>challenger</x:v>
      </x:c>
      <x:c r="D8" s="296" t="str">
        <x:v>RESEARCH</x:v>
      </x:c>
      <x:c r="E8" s="435"/>
      <x:c r="F8" s="435"/>
      <x:c r="G8" s="435"/>
      <x:c r="H8" s="296" t="n">
        <x:v>0</x:v>
      </x:c>
      <x:c r="I8" s="296" t="str">
        <x:v>FAIL</x:v>
      </x:c>
      <x:c r="J8" s="527" t="str">
        <x:v>Worst-period distributionally robust ensemble.</x:v>
      </x:c>
    </x:row>
    <x:row r="9">
      <x:c r="A9" s="533" t="str">
        <x:v>super-learner</x:v>
      </x:c>
      <x:c r="B9" s="296" t="str">
        <x:v>3.3</x:v>
      </x:c>
      <x:c r="C9" s="296" t="str">
        <x:v>challenger</x:v>
      </x:c>
      <x:c r="D9" s="296" t="str">
        <x:v>RESEARCH</x:v>
      </x:c>
      <x:c r="E9" s="435"/>
      <x:c r="F9" s="435"/>
      <x:c r="G9" s="435"/>
      <x:c r="H9" s="296" t="n">
        <x:v>0</x:v>
      </x:c>
      <x:c r="I9" s="296" t="str">
        <x:v>FAIL</x:v>
      </x:c>
      <x:c r="J9" s="527" t="str">
        <x:v>Cross-fitted nonnegative stacking with uniform floor.</x:v>
      </x:c>
    </x:row>
    <x:row r="10">
      <x:c r="A10" s="533" t="str">
        <x:v>survival-hazard</x:v>
      </x:c>
      <x:c r="B10" s="296" t="str">
        <x:v>3.3</x:v>
      </x:c>
      <x:c r="C10" s="296" t="str">
        <x:v>challenger</x:v>
      </x:c>
      <x:c r="D10" s="296" t="str">
        <x:v>RESEARCH</x:v>
      </x:c>
      <x:c r="E10" s="435"/>
      <x:c r="F10" s="435"/>
      <x:c r="G10" s="435"/>
      <x:c r="H10" s="296" t="n">
        <x:v>0</x:v>
      </x:c>
      <x:c r="I10" s="296" t="str">
        <x:v>FAIL</x:v>
      </x:c>
      <x:c r="J10" s="527" t="str">
        <x:v>Gap hazard model compared with geometric null.</x:v>
      </x:c>
    </x:row>
    <x:row r="11">
      <x:c r="A11" s="534" t="str">
        <x:v>uniform</x:v>
      </x:c>
      <x:c r="B11" s="535" t="str">
        <x:v>1.0</x:v>
      </x:c>
      <x:c r="C11" s="535" t="str">
        <x:v>champion</x:v>
      </x:c>
      <x:c r="D11" s="535" t="str">
        <x:v>DEPLOYED</x:v>
      </x:c>
      <x:c r="E11" s="562" t="n">
        <x:v>0.09</x:v>
      </x:c>
      <x:c r="F11" s="562" t="n">
        <x:v>0.3250829733914482</x:v>
      </x:c>
      <x:c r="G11" s="562" t="n">
        <x:v>0</x:v>
      </x:c>
      <x:c r="H11" s="535" t="n">
        <x:v>0</x:v>
      </x:c>
      <x:c r="I11" s="535" t="str">
        <x:v>PASS</x:v>
      </x:c>
      <x:c r="J11" s="552" t="str">
        <x:v>Exact fair-draw inclusion probability; mandatory fallback.</x:v>
      </x:c>
    </x:row>
    <x:row r="13" ht="22" customHeight="1">
      <x:c r="A13" s="512" t="str">
        <x:v>Promotion Gate</x:v>
      </x:c>
      <x:c r="B13" s="512"/>
      <x:c r="C13" s="512"/>
      <x:c r="D13" s="512"/>
      <x:c r="E13" s="512"/>
      <x:c r="F13" s="512"/>
      <x:c r="G13" s="512"/>
      <x:c r="H13" s="512"/>
      <x:c r="I13" s="512"/>
      <x:c r="J13" s="512"/>
      <x:c r="K13" s="512"/>
      <x:c r="L13" s="512"/>
      <x:c r="M13" s="512"/>
    </x:row>
    <x:row r="15">
      <x:c r="A15" s="548" t="str">
        <x:v>Gate</x:v>
      </x:c>
      <x:c r="B15" s="549" t="str">
        <x:v>Pass</x:v>
      </x:c>
      <x:c r="C15" s="550" t="str">
        <x:v>Current Evidence</x:v>
      </x:c>
    </x:row>
    <x:row r="16">
      <x:c r="A16" s="533" t="str">
        <x:v>minimum_prospective_draws</x:v>
      </x:c>
      <x:c r="B16" s="296" t="str">
        <x:v>FAIL</x:v>
      </x:c>
      <x:c r="C16" s="527" t="str">
        <x:v>0 / 200 minimum prospective draws</x:v>
      </x:c>
    </x:row>
    <x:row r="17">
      <x:c r="A17" s="533" t="str">
        <x:v>brier_better</x:v>
      </x:c>
      <x:c r="B17" s="296" t="str">
        <x:v>FAIL</x:v>
      </x:c>
      <x:c r="C17" s="527" t="str">
        <x:v>Not demonstrated</x:v>
      </x:c>
    </x:row>
    <x:row r="18">
      <x:c r="A18" s="533" t="str">
        <x:v>log_loss_better</x:v>
      </x:c>
      <x:c r="B18" s="296" t="str">
        <x:v>FAIL</x:v>
      </x:c>
      <x:c r="C18" s="527" t="str">
        <x:v>Not demonstrated</x:v>
      </x:c>
    </x:row>
    <x:row r="19">
      <x:c r="A19" s="533" t="str">
        <x:v>calibration_ok</x:v>
      </x:c>
      <x:c r="B19" s="296" t="str">
        <x:v>FAIL</x:v>
      </x:c>
      <x:c r="C19" s="527" t="str">
        <x:v>Not demonstrated</x:v>
      </x:c>
    </x:row>
    <x:row r="20">
      <x:c r="A20" s="533" t="str">
        <x:v>periods_positive</x:v>
      </x:c>
      <x:c r="B20" s="296" t="str">
        <x:v>FAIL</x:v>
      </x:c>
      <x:c r="C20" s="527" t="str">
        <x:v>Not demonstrated</x:v>
      </x:c>
    </x:row>
    <x:row r="21">
      <x:c r="A21" s="533" t="str">
        <x:v>bootstrap_positive</x:v>
      </x:c>
      <x:c r="B21" s="296" t="str">
        <x:v>FAIL</x:v>
      </x:c>
      <x:c r="C21" s="527" t="str">
        <x:v>Not demonstrated</x:v>
      </x:c>
    </x:row>
    <x:row r="22">
      <x:c r="A22" s="533" t="str">
        <x:v>corrected_p_below_0_05</x:v>
      </x:c>
      <x:c r="B22" s="296" t="str">
        <x:v>FAIL</x:v>
      </x:c>
      <x:c r="C22" s="527" t="str">
        <x:v>Current synthetic-null p ≈ 0.7107</x:v>
      </x:c>
    </x:row>
    <x:row r="23">
      <x:c r="A23" s="533" t="str">
        <x:v>uniform_excluded_mcs</x:v>
      </x:c>
      <x:c r="B23" s="296" t="str">
        <x:v>FAIL</x:v>
      </x:c>
      <x:c r="C23" s="527" t="str">
        <x:v>Uniform remains in the confidence set</x:v>
      </x:c>
    </x:row>
    <x:row r="24">
      <x:c r="A24" s="533" t="str">
        <x:v>sequential_e_value_at_least_20</x:v>
      </x:c>
      <x:c r="B24" s="296" t="str">
        <x:v>FAIL</x:v>
      </x:c>
      <x:c r="C24" s="527" t="str">
        <x:v>Current evidence far below threshold</x:v>
      </x:c>
    </x:row>
    <x:row r="25">
      <x:c r="A25" s="534" t="str">
        <x:v>stable_future</x:v>
      </x:c>
      <x:c r="B25" s="535" t="str">
        <x:v>FAIL</x:v>
      </x:c>
      <x:c r="C25" s="552" t="str">
        <x:v>Future registry observations pending</x:v>
      </x:c>
    </x:row>
    <x:row r="27">
      <x:c r="A27" s="559" t="str">
        <x:v>Current decision: KEEP UNIFORM CHAMPION. The uniform champion cannot be replaced silently.</x:v>
      </x:c>
      <x:c r="B27" s="559"/>
      <x:c r="C27" s="559"/>
      <x:c r="D27" s="559"/>
      <x:c r="E27" s="559"/>
      <x:c r="F27" s="559"/>
      <x:c r="G27" s="559"/>
      <x:c r="H27" s="559"/>
      <x:c r="I27" s="559"/>
      <x:c r="J27" s="559"/>
      <x:c r="K27" s="559"/>
      <x:c r="L27" s="559"/>
      <x:c r="M27" s="559"/>
    </x:row>
    <x:row r="28">
      <x:c r="A28" s="559"/>
      <x:c r="B28" s="559"/>
      <x:c r="C28" s="559"/>
      <x:c r="D28" s="559"/>
      <x:c r="E28" s="559"/>
      <x:c r="F28" s="559"/>
      <x:c r="G28" s="559"/>
      <x:c r="H28" s="559"/>
      <x:c r="I28" s="559"/>
      <x:c r="J28" s="559"/>
      <x:c r="K28" s="559"/>
      <x:c r="L28" s="559"/>
      <x:c r="M28" s="559"/>
    </x:row>
    <x:row r="29">
      <x:c r="A29" s="559"/>
      <x:c r="B29" s="559"/>
      <x:c r="C29" s="559"/>
      <x:c r="D29" s="559"/>
      <x:c r="E29" s="559"/>
      <x:c r="F29" s="559"/>
      <x:c r="G29" s="559"/>
      <x:c r="H29" s="559"/>
      <x:c r="I29" s="559"/>
      <x:c r="J29" s="559"/>
      <x:c r="K29" s="559"/>
      <x:c r="L29" s="559"/>
      <x:c r="M29" s="559"/>
    </x:row>
  </x:sheetData>
  <x:mergeCells>
    <x:mergeCell ref="A1:M1"/>
    <x:mergeCell ref="A13:M13"/>
    <x:mergeCell ref="A27:M29"/>
  </x:mergeCells>
  <x:conditionalFormatting sqref="D4:D11">
    <x:cfRule type="expression" dxfId="25" priority="1">
      <x:formula>D4="DEPLOYED"</x:formula>
    </x:cfRule>
  </x:conditionalFormatting>
  <x:conditionalFormatting sqref="I4:I11">
    <x:cfRule type="expression" dxfId="26" priority="2">
      <x:formula>I4="FAIL"</x:formula>
    </x:cfRule>
  </x:conditionalFormatting>
  <x:conditionalFormatting sqref="B16:B25">
    <x:cfRule type="expression" dxfId="27" priority="3">
      <x:formula>B16="FAIL"</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3" hidden="0" customWidth="1"/>
    <x:col min="3" max="3" width="13" hidden="0" customWidth="1"/>
    <x:col min="4" max="4" width="14" hidden="0" customWidth="1"/>
    <x:col min="5" max="5" width="14" hidden="0" customWidth="1"/>
    <x:col min="6" max="6" width="14" hidden="0" customWidth="1"/>
    <x:col min="7" max="7" width="14" hidden="0" customWidth="1"/>
    <x:col min="9" max="9" width="16" hidden="0" customWidth="1"/>
    <x:col min="10" max="10" width="13" hidden="0" customWidth="1"/>
    <x:col min="11" max="11" width="13" hidden="0" customWidth="1"/>
    <x:col min="12" max="12" width="14" hidden="0" customWidth="1"/>
    <x:col min="13" max="13" width="14" hidden="0" customWidth="1"/>
    <x:col min="14" max="14" width="14" hidden="0" customWidth="1"/>
    <x:col min="15" max="15" width="14" hidden="0" customWidth="1"/>
  </x:cols>
  <x:sheetData>
    <x:row r="1" ht="30" customHeight="1">
      <x:c r="A1" s="615" t="str">
        <x:v>Formal Power Analysis for Future Predictive Edges</x:v>
      </x:c>
      <x:c r="B1" s="615"/>
      <x:c r="C1" s="615"/>
      <x:c r="D1" s="615"/>
      <x:c r="E1" s="615"/>
      <x:c r="F1" s="615"/>
      <x:c r="G1" s="615"/>
      <x:c r="H1" s="615"/>
      <x:c r="I1" s="615"/>
      <x:c r="J1" s="615"/>
      <x:c r="K1" s="615"/>
      <x:c r="L1" s="615"/>
      <x:c r="M1" s="615"/>
      <x:c r="N1" s="615"/>
      <x:c r="O1" s="260"/>
      <x:c r="P1" s="260"/>
      <x:c r="Q1" s="260"/>
      <x:c r="R1" s="260"/>
      <x:c r="S1" s="260"/>
      <x:c r="T1" s="260"/>
      <x:c r="U1" s="260"/>
      <x:c r="V1" s="260"/>
      <x:c r="W1" s="260"/>
      <x:c r="X1" s="260"/>
      <x:c r="Y1" s="260"/>
      <x:c r="Z1" s="260"/>
    </x:row>
    <x:row r="2">
      <x:c r="A2" s="572" t="str">
        <x:v>Required draw counts are based on the exact hypergeometric variance of line matches and a two-sided 5% test. They show why very small historical improvements cannot be treated as established signals.</x:v>
      </x:c>
      <x:c r="B2" s="572"/>
      <x:c r="C2" s="572"/>
      <x:c r="D2" s="572"/>
      <x:c r="E2" s="572"/>
      <x:c r="F2" s="572"/>
      <x:c r="G2" s="572"/>
      <x:c r="H2" s="572"/>
      <x:c r="I2" s="572"/>
      <x:c r="J2" s="572"/>
      <x:c r="K2" s="572"/>
      <x:c r="L2" s="572"/>
      <x:c r="M2" s="572"/>
      <x:c r="N2" s="572"/>
    </x:row>
    <x:row r="3">
      <x:c r="A3" s="572"/>
      <x:c r="B3" s="572"/>
      <x:c r="C3" s="572"/>
      <x:c r="D3" s="572"/>
      <x:c r="E3" s="572"/>
      <x:c r="F3" s="572"/>
      <x:c r="G3" s="572"/>
      <x:c r="H3" s="572"/>
      <x:c r="I3" s="572"/>
      <x:c r="J3" s="572"/>
      <x:c r="K3" s="572"/>
      <x:c r="L3" s="572"/>
      <x:c r="M3" s="572"/>
      <x:c r="N3" s="572"/>
    </x:row>
    <x:row r="5" ht="22" customHeight="1">
      <x:c r="A5" s="620" t="str">
        <x:v>Main-Number Average-Hit Improvement</x:v>
      </x:c>
      <x:c r="B5" s="620"/>
      <x:c r="C5" s="620"/>
      <x:c r="D5" s="620"/>
      <x:c r="E5" s="620"/>
      <x:c r="F5" s="620"/>
      <x:c r="G5" s="620"/>
      <x:c r="H5" s="512"/>
      <x:c r="I5" s="620" t="str">
        <x:v>Euro-Number Average-Hit Improvement</x:v>
      </x:c>
      <x:c r="J5" s="620"/>
      <x:c r="K5" s="620"/>
      <x:c r="L5" s="620"/>
      <x:c r="M5" s="620"/>
      <x:c r="N5" s="620"/>
      <x:c r="O5" s="620"/>
    </x:row>
    <x:row r="6">
      <x:c r="A6" s="548" t="str">
        <x:v>Improvement</x:v>
      </x:c>
      <x:c r="B6" s="549" t="str">
        <x:v>Baseline</x:v>
      </x:c>
      <x:c r="C6" s="549" t="str">
        <x:v>Variance</x:v>
      </x:c>
      <x:c r="D6" s="549" t="str">
        <x:v>Draws 80%</x:v>
      </x:c>
      <x:c r="E6" s="549" t="str">
        <x:v>Years 80%</x:v>
      </x:c>
      <x:c r="F6" s="549" t="str">
        <x:v>Draws 90%</x:v>
      </x:c>
      <x:c r="G6" s="550" t="str">
        <x:v>Years 90%</x:v>
      </x:c>
      <x:c r="I6" s="548" t="str">
        <x:v>Improvement</x:v>
      </x:c>
      <x:c r="J6" s="549" t="str">
        <x:v>Baseline</x:v>
      </x:c>
      <x:c r="K6" s="549" t="str">
        <x:v>Variance</x:v>
      </x:c>
      <x:c r="L6" s="549" t="str">
        <x:v>Draws 80%</x:v>
      </x:c>
      <x:c r="M6" s="549" t="str">
        <x:v>Years 80%</x:v>
      </x:c>
      <x:c r="N6" s="549" t="str">
        <x:v>Draws 90%</x:v>
      </x:c>
      <x:c r="O6" s="550" t="str">
        <x:v>Years 90%</x:v>
      </x:c>
    </x:row>
    <x:row r="7">
      <x:c r="A7" s="573" t="n">
        <x:v>0.005</x:v>
      </x:c>
      <x:c r="B7" s="460" t="n">
        <x:v>0.5</x:v>
      </x:c>
      <x:c r="C7" s="460" t="n">
        <x:v>0.413265306122449</x:v>
      </x:c>
      <x:c r="D7" s="459" t="n">
        <x:v>129747</x:v>
      </x:c>
      <x:c r="E7" s="459" t="n">
        <x:v>1247.5673076923076</x:v>
      </x:c>
      <x:c r="F7" s="459" t="n">
        <x:v>173695</x:v>
      </x:c>
      <x:c r="G7" s="576" t="n">
        <x:v>1670.1442307692307</x:v>
      </x:c>
      <x:c r="I7" s="573" t="n">
        <x:v>0.005</x:v>
      </x:c>
      <x:c r="J7" s="460" t="n">
        <x:v>0.3333333333333333</x:v>
      </x:c>
      <x:c r="K7" s="460" t="n">
        <x:v>0.25252525252525254</x:v>
      </x:c>
      <x:c r="L7" s="459" t="n">
        <x:v>79282</x:v>
      </x:c>
      <x:c r="M7" s="459" t="n">
        <x:v>762.3269230769231</x:v>
      </x:c>
      <x:c r="N7" s="459" t="n">
        <x:v>106136</x:v>
      </x:c>
      <x:c r="O7" s="576" t="n">
        <x:v>1020.5384615384615</x:v>
      </x:c>
    </x:row>
    <x:row r="8">
      <x:c r="A8" s="573" t="n">
        <x:v>0.01</x:v>
      </x:c>
      <x:c r="B8" s="460" t="n">
        <x:v>0.5</x:v>
      </x:c>
      <x:c r="C8" s="460" t="n">
        <x:v>0.413265306122449</x:v>
      </x:c>
      <x:c r="D8" s="459" t="n">
        <x:v>32437</x:v>
      </x:c>
      <x:c r="E8" s="459" t="n">
        <x:v>311.8942307692308</x:v>
      </x:c>
      <x:c r="F8" s="459" t="n">
        <x:v>43424</x:v>
      </x:c>
      <x:c r="G8" s="576" t="n">
        <x:v>417.53846153846155</x:v>
      </x:c>
      <x:c r="I8" s="573" t="n">
        <x:v>0.01</x:v>
      </x:c>
      <x:c r="J8" s="460" t="n">
        <x:v>0.3333333333333333</x:v>
      </x:c>
      <x:c r="K8" s="460" t="n">
        <x:v>0.25252525252525254</x:v>
      </x:c>
      <x:c r="L8" s="459" t="n">
        <x:v>19821</x:v>
      </x:c>
      <x:c r="M8" s="459" t="n">
        <x:v>190.58653846153845</x:v>
      </x:c>
      <x:c r="N8" s="459" t="n">
        <x:v>26534</x:v>
      </x:c>
      <x:c r="O8" s="576" t="n">
        <x:v>255.1346153846154</x:v>
      </x:c>
    </x:row>
    <x:row r="9">
      <x:c r="A9" s="573" t="n">
        <x:v>0.015</x:v>
      </x:c>
      <x:c r="B9" s="460" t="n">
        <x:v>0.5</x:v>
      </x:c>
      <x:c r="C9" s="460" t="n">
        <x:v>0.413265306122449</x:v>
      </x:c>
      <x:c r="D9" s="459" t="n">
        <x:v>14417</x:v>
      </x:c>
      <x:c r="E9" s="459" t="n">
        <x:v>138.625</x:v>
      </x:c>
      <x:c r="F9" s="459" t="n">
        <x:v>19300</x:v>
      </x:c>
      <x:c r="G9" s="576" t="n">
        <x:v>185.57692307692307</x:v>
      </x:c>
      <x:c r="I9" s="573" t="n">
        <x:v>0.02</x:v>
      </x:c>
      <x:c r="J9" s="460" t="n">
        <x:v>0.3333333333333333</x:v>
      </x:c>
      <x:c r="K9" s="460" t="n">
        <x:v>0.25252525252525254</x:v>
      </x:c>
      <x:c r="L9" s="459" t="n">
        <x:v>4956</x:v>
      </x:c>
      <x:c r="M9" s="459" t="n">
        <x:v>47.65384615384615</x:v>
      </x:c>
      <x:c r="N9" s="459" t="n">
        <x:v>6634</x:v>
      </x:c>
      <x:c r="O9" s="576" t="n">
        <x:v>63.78846153846154</x:v>
      </x:c>
    </x:row>
    <x:row r="10">
      <x:c r="A10" s="573" t="n">
        <x:v>0.02</x:v>
      </x:c>
      <x:c r="B10" s="460" t="n">
        <x:v>0.5</x:v>
      </x:c>
      <x:c r="C10" s="460" t="n">
        <x:v>0.413265306122449</x:v>
      </x:c>
      <x:c r="D10" s="459" t="n">
        <x:v>8110</x:v>
      </x:c>
      <x:c r="E10" s="459" t="n">
        <x:v>77.98076923076923</x:v>
      </x:c>
      <x:c r="F10" s="459" t="n">
        <x:v>10856</x:v>
      </x:c>
      <x:c r="G10" s="576" t="n">
        <x:v>104.38461538461539</x:v>
      </x:c>
      <x:c r="I10" s="573" t="n">
        <x:v>0.03</x:v>
      </x:c>
      <x:c r="J10" s="460" t="n">
        <x:v>0.3333333333333333</x:v>
      </x:c>
      <x:c r="K10" s="460" t="n">
        <x:v>0.25252525252525254</x:v>
      </x:c>
      <x:c r="L10" s="459" t="n">
        <x:v>2203</x:v>
      </x:c>
      <x:c r="M10" s="459" t="n">
        <x:v>21.182692307692307</x:v>
      </x:c>
      <x:c r="N10" s="459" t="n">
        <x:v>2949</x:v>
      </x:c>
      <x:c r="O10" s="576" t="n">
        <x:v>28.35576923076923</x:v>
      </x:c>
    </x:row>
    <x:row r="11">
      <x:c r="A11" s="573" t="n">
        <x:v>0.03</x:v>
      </x:c>
      <x:c r="B11" s="460" t="n">
        <x:v>0.5</x:v>
      </x:c>
      <x:c r="C11" s="460" t="n">
        <x:v>0.413265306122449</x:v>
      </x:c>
      <x:c r="D11" s="459" t="n">
        <x:v>3605</x:v>
      </x:c>
      <x:c r="E11" s="459" t="n">
        <x:v>34.66346153846154</x:v>
      </x:c>
      <x:c r="F11" s="459" t="n">
        <x:v>4825</x:v>
      </x:c>
      <x:c r="G11" s="576" t="n">
        <x:v>46.39423076923077</x:v>
      </x:c>
      <x:c r="I11" s="574" t="n">
        <x:v>0.05</x:v>
      </x:c>
      <x:c r="J11" s="575" t="n">
        <x:v>0.3333333333333333</x:v>
      </x:c>
      <x:c r="K11" s="575" t="n">
        <x:v>0.25252525252525254</x:v>
      </x:c>
      <x:c r="L11" s="577" t="n">
        <x:v>793</x:v>
      </x:c>
      <x:c r="M11" s="577" t="n">
        <x:v>7.625</x:v>
      </x:c>
      <x:c r="N11" s="577" t="n">
        <x:v>1062</x:v>
      </x:c>
      <x:c r="O11" s="578" t="n">
        <x:v>10.211538461538462</x:v>
      </x:c>
    </x:row>
    <x:row r="12">
      <x:c r="A12" s="574" t="n">
        <x:v>0.05</x:v>
      </x:c>
      <x:c r="B12" s="575" t="n">
        <x:v>0.5</x:v>
      </x:c>
      <x:c r="C12" s="575" t="n">
        <x:v>0.413265306122449</x:v>
      </x:c>
      <x:c r="D12" s="577" t="n">
        <x:v>1298</x:v>
      </x:c>
      <x:c r="E12" s="577" t="n">
        <x:v>12.48076923076923</x:v>
      </x:c>
      <x:c r="F12" s="577" t="n">
        <x:v>1737</x:v>
      </x:c>
      <x:c r="G12" s="578" t="n">
        <x:v>16.701923076923077</x:v>
      </x:c>
    </x:row>
  </x:sheetData>
  <x:mergeCells>
    <x:mergeCell ref="A1:N1"/>
    <x:mergeCell ref="A2:N3"/>
    <x:mergeCell ref="A5:G5"/>
    <x:mergeCell ref="I5:O5"/>
  </x:mergeCells>
  <x:pageMargins left="0.7" right="0.7" top="0.75" bottom="0.75" header="0.3" footer="0.3"/>
  <x:drawing xmlns:r="http://schemas.openxmlformats.org/officeDocument/2006/relationships" r:id="Re24d281c4bc64b94"/>
</x:worksheet>
</file>

<file path=xl/worksheets/sheet36.xml><?xml version="1.0" encoding="utf-8"?>
<x:worksheet xmlns:x="http://schemas.openxmlformats.org/spreadsheetml/2006/main">
  <x:sheetFormatPr defaultRowHeight="15"/>
  <x:cols>
    <x:col min="1" max="1" width="28" hidden="0" customWidth="1"/>
    <x:col min="2" max="2" width="17" hidden="0" customWidth="1"/>
    <x:col min="3" max="3" width="19" hidden="0" customWidth="1"/>
    <x:col min="4" max="4" width="23" hidden="0" customWidth="1"/>
    <x:col min="5" max="5" width="34" hidden="0" customWidth="1"/>
    <x:col min="6" max="6" width="13" hidden="0" customWidth="1"/>
  </x:cols>
  <x:sheetData>
    <x:row r="1" ht="30" customHeight="1">
      <x:c r="A1" s="615" t="str">
        <x:v>Negative-Control Model Tests</x:v>
      </x:c>
      <x:c r="B1" s="615"/>
      <x:c r="C1" s="615"/>
      <x:c r="D1" s="615"/>
      <x:c r="E1" s="615"/>
      <x:c r="F1" s="615"/>
      <x:c r="G1" s="615"/>
      <x:c r="H1" s="615"/>
      <x:c r="I1" s="615"/>
      <x:c r="J1" s="615"/>
      <x:c r="K1" s="615"/>
      <x:c r="L1" s="615"/>
      <x:c r="M1" s="260"/>
      <x:c r="N1" s="260"/>
      <x:c r="O1" s="260"/>
      <x:c r="P1" s="260"/>
      <x:c r="Q1" s="260"/>
      <x:c r="R1" s="260"/>
      <x:c r="S1" s="260"/>
      <x:c r="T1" s="260"/>
      <x:c r="U1" s="260"/>
      <x:c r="V1" s="260"/>
      <x:c r="W1" s="260"/>
      <x:c r="X1" s="260"/>
      <x:c r="Y1" s="260"/>
      <x:c r="Z1" s="260"/>
    </x:row>
    <x:row r="3">
      <x:c r="A3" s="548" t="str">
        <x:v>Model</x:v>
      </x:c>
      <x:c r="B3" s="549" t="str">
        <x:v>Brier</x:v>
      </x:c>
      <x:c r="C3" s="549" t="str">
        <x:v>Mean Probability</x:v>
      </x:c>
      <x:c r="D3" s="549" t="str">
        <x:v>Uniform Brier Difference</x:v>
      </x:c>
      <x:c r="E3" s="549" t="str">
        <x:v>Expected Result</x:v>
      </x:c>
      <x:c r="F3" s="550" t="str">
        <x:v>Status</x:v>
      </x:c>
    </x:row>
    <x:row r="4">
      <x:c r="A4" s="533" t="str">
        <x:v>Real historical features</x:v>
      </x:c>
      <x:c r="B4" s="579" t="n">
        <x:v>0.09001778483013446</x:v>
      </x:c>
      <x:c r="C4" s="579" t="n">
        <x:v>0.09988740334983685</x:v>
      </x:c>
      <x:c r="D4" s="579" t="n">
        <x:v>-8.317366153864914e-7</x:v>
      </x:c>
      <x:c r="E4" s="296" t="str">
        <x:v>May be similar to uniform</x:v>
      </x:c>
      <x:c r="F4" s="519" t="str">
        <x:v>RESEARCH</x:v>
      </x:c>
    </x:row>
    <x:row r="5">
      <x:c r="A5" s="533" t="str">
        <x:v>Random synthetic noise</x:v>
      </x:c>
      <x:c r="B5" s="579" t="n">
        <x:v>0.0900481950355102</x:v>
      </x:c>
      <x:c r="C5" s="579" t="n">
        <x:v>0.10000088581961705</x:v>
      </x:c>
      <x:c r="D5" s="579" t="n">
        <x:v>-0.00003124194199112529</x:v>
      </x:c>
      <x:c r="E5" s="296" t="str">
        <x:v>Must not create a stable edge</x:v>
      </x:c>
      <x:c r="F5" s="519" t="str">
        <x:v>PASS</x:v>
      </x:c>
    </x:row>
    <x:row r="6">
      <x:c r="A6" s="533" t="str">
        <x:v>Uniform baseline</x:v>
      </x:c>
      <x:c r="B6" s="579" t="n">
        <x:v>0.09001695309351908</x:v>
      </x:c>
      <x:c r="C6" s="579" t="n">
        <x:v>0.0999929358575869</x:v>
      </x:c>
      <x:c r="D6" s="579" t="n">
        <x:v>0</x:v>
      </x:c>
      <x:c r="E6" s="296" t="str">
        <x:v>Reference</x:v>
      </x:c>
      <x:c r="F6" s="519" t="str">
        <x:v>PASS</x:v>
      </x:c>
    </x:row>
    <x:row r="7">
      <x:c r="A7" s="534" t="str">
        <x:v>Release decision</x:v>
      </x:c>
      <x:c r="B7" s="535"/>
      <x:c r="C7" s="535"/>
      <x:c r="D7" s="535"/>
      <x:c r="E7" s="535" t="str">
        <x:v>Noise controls must remain harmless</x:v>
      </x:c>
      <x:c r="F7" s="521" t="str">
        <x:v>PASS</x:v>
      </x:c>
    </x:row>
    <x:row r="10">
      <x:c r="A10" s="559" t="str">
        <x:v>Negative controls include random noise and should be expanded with shuffled draw-day labels, arbitrary calendar hashes and other known-meaningless variables. If these controls gain predictive importance or beat the real feature set, the release must be blocked because the pipeline is fitting noise.</x:v>
      </x:c>
      <x:c r="B10" s="559"/>
      <x:c r="C10" s="559"/>
      <x:c r="D10" s="559"/>
      <x:c r="E10" s="559"/>
      <x:c r="F10" s="559"/>
      <x:c r="G10" s="559"/>
      <x:c r="H10" s="559"/>
      <x:c r="I10" s="559"/>
      <x:c r="J10" s="559"/>
      <x:c r="K10" s="559"/>
      <x:c r="L10" s="559"/>
    </x:row>
    <x:row r="11">
      <x:c r="A11" s="559"/>
      <x:c r="B11" s="559"/>
      <x:c r="C11" s="559"/>
      <x:c r="D11" s="559"/>
      <x:c r="E11" s="559"/>
      <x:c r="F11" s="559"/>
      <x:c r="G11" s="559"/>
      <x:c r="H11" s="559"/>
      <x:c r="I11" s="559"/>
      <x:c r="J11" s="559"/>
      <x:c r="K11" s="559"/>
      <x:c r="L11" s="559"/>
    </x:row>
    <x:row r="12">
      <x:c r="A12" s="559"/>
      <x:c r="B12" s="559"/>
      <x:c r="C12" s="559"/>
      <x:c r="D12" s="559"/>
      <x:c r="E12" s="559"/>
      <x:c r="F12" s="559"/>
      <x:c r="G12" s="559"/>
      <x:c r="H12" s="559"/>
      <x:c r="I12" s="559"/>
      <x:c r="J12" s="559"/>
      <x:c r="K12" s="559"/>
      <x:c r="L12" s="559"/>
    </x:row>
    <x:row r="13">
      <x:c r="A13" s="559"/>
      <x:c r="B13" s="559"/>
      <x:c r="C13" s="559"/>
      <x:c r="D13" s="559"/>
      <x:c r="E13" s="559"/>
      <x:c r="F13" s="559"/>
      <x:c r="G13" s="559"/>
      <x:c r="H13" s="559"/>
      <x:c r="I13" s="559"/>
      <x:c r="J13" s="559"/>
      <x:c r="K13" s="559"/>
      <x:c r="L13" s="559"/>
    </x:row>
    <x:row r="14">
      <x:c r="A14" s="559"/>
      <x:c r="B14" s="559"/>
      <x:c r="C14" s="559"/>
      <x:c r="D14" s="559"/>
      <x:c r="E14" s="559"/>
      <x:c r="F14" s="559"/>
      <x:c r="G14" s="559"/>
      <x:c r="H14" s="559"/>
      <x:c r="I14" s="559"/>
      <x:c r="J14" s="559"/>
      <x:c r="K14" s="559"/>
      <x:c r="L14" s="559"/>
    </x:row>
    <x:row r="15">
      <x:c r="A15" s="559"/>
      <x:c r="B15" s="559"/>
      <x:c r="C15" s="559"/>
      <x:c r="D15" s="559"/>
      <x:c r="E15" s="559"/>
      <x:c r="F15" s="559"/>
      <x:c r="G15" s="559"/>
      <x:c r="H15" s="559"/>
      <x:c r="I15" s="559"/>
      <x:c r="J15" s="559"/>
      <x:c r="K15" s="559"/>
      <x:c r="L15" s="559"/>
    </x:row>
    <x:row r="16">
      <x:c r="A16" s="559"/>
      <x:c r="B16" s="559"/>
      <x:c r="C16" s="559"/>
      <x:c r="D16" s="559"/>
      <x:c r="E16" s="559"/>
      <x:c r="F16" s="559"/>
      <x:c r="G16" s="559"/>
      <x:c r="H16" s="559"/>
      <x:c r="I16" s="559"/>
      <x:c r="J16" s="559"/>
      <x:c r="K16" s="559"/>
      <x:c r="L16" s="559"/>
    </x:row>
  </x:sheetData>
  <x:mergeCells>
    <x:mergeCell ref="A1:L1"/>
    <x:mergeCell ref="A10:L16"/>
  </x:mergeCells>
  <x:conditionalFormatting sqref="F4:F7">
    <x:cfRule type="expression" dxfId="28" priority="1">
      <x:formula>F4="PASS"</x:formula>
    </x:cfRule>
    <x:cfRule type="expression" dxfId="29" priority="2">
      <x:formula>F4="FAIL"</x:formula>
    </x:cfRule>
  </x:conditionalFormatting>
  <x:pageMargins left="0.7" right="0.7" top="0.75" bottom="0.75" header="0.3" footer="0.3"/>
</x:worksheet>
</file>

<file path=xl/worksheets/sheet37.xml><?xml version="1.0" encoding="utf-8"?>
<x:worksheet xmlns:x="http://schemas.openxmlformats.org/spreadsheetml/2006/main">
  <x:sheetFormatPr defaultRowHeight="15"/>
  <x:cols>
    <x:col min="1" max="1" width="17" hidden="0" customWidth="1"/>
    <x:col min="2" max="2" width="12" hidden="0" customWidth="1"/>
    <x:col min="3" max="3" width="12" hidden="0" customWidth="1"/>
    <x:col min="4" max="4" width="16" hidden="0" customWidth="1"/>
    <x:col min="5" max="5" width="22" hidden="0" customWidth="1"/>
    <x:col min="6" max="6" width="13" hidden="0" customWidth="1"/>
  </x:cols>
  <x:sheetData>
    <x:row r="1" ht="30" customHeight="1">
      <x:c r="A1" s="615" t="str">
        <x:v>Adversarial Data-Leakage Test Suite</x:v>
      </x:c>
      <x:c r="B1" s="615"/>
      <x:c r="C1" s="615"/>
      <x:c r="D1" s="615"/>
      <x:c r="E1" s="615"/>
      <x:c r="F1" s="615"/>
      <x:c r="G1" s="615"/>
      <x:c r="H1" s="615"/>
      <x:c r="I1" s="615"/>
      <x:c r="J1" s="615"/>
      <x:c r="K1" s="615"/>
      <x:c r="L1" s="615"/>
      <x:c r="M1" s="615"/>
      <x:c r="N1" s="260"/>
      <x:c r="O1" s="260"/>
      <x:c r="P1" s="260"/>
      <x:c r="Q1" s="260"/>
      <x:c r="R1" s="260"/>
      <x:c r="S1" s="260"/>
      <x:c r="T1" s="260"/>
      <x:c r="U1" s="260"/>
      <x:c r="V1" s="260"/>
      <x:c r="W1" s="260"/>
      <x:c r="X1" s="260"/>
      <x:c r="Y1" s="260"/>
      <x:c r="Z1" s="260"/>
    </x:row>
    <x:row r="3">
      <x:c r="A3" s="548" t="str">
        <x:v>Test</x:v>
      </x:c>
      <x:c r="B3" s="549" t="str">
        <x:v>Expected</x:v>
      </x:c>
      <x:c r="C3" s="549" t="str">
        <x:v>Observed</x:v>
      </x:c>
      <x:c r="D3" s="549" t="str">
        <x:v>Suspicious Fields</x:v>
      </x:c>
      <x:c r="E3" s="549" t="str">
        <x:v>Status</x:v>
      </x:c>
      <x:c r="F3" s="550" t="str">
        <x:v>Meaning</x:v>
      </x:c>
    </x:row>
    <x:row r="4">
      <x:c r="A4" s="533" t="str">
        <x:v>Safe online feature pipeline</x:v>
      </x:c>
      <x:c r="B4" s="296" t="str">
        <x:v>PASS</x:v>
      </x:c>
      <x:c r="C4" s="296" t="str">
        <x:v>PASS</x:v>
      </x:c>
      <x:c r="D4" s="296" t="n">
        <x:v>0</x:v>
      </x:c>
      <x:c r="E4" s="296" t="str">
        <x:v>PASS</x:v>
      </x:c>
      <x:c r="F4" s="527" t="str">
        <x:v>Features precede target draw</x:v>
      </x:c>
    </x:row>
    <x:row r="5">
      <x:c r="A5" s="533" t="str">
        <x:v>Injected target-column leakage</x:v>
      </x:c>
      <x:c r="B5" s="296" t="str">
        <x:v>FAIL detection</x:v>
      </x:c>
      <x:c r="C5" s="296" t="str">
        <x:v>DETECTED</x:v>
      </x:c>
      <x:c r="D5" s="296" t="n">
        <x:v>2</x:v>
      </x:c>
      <x:c r="E5" s="296" t="str">
        <x:v>PASS</x:v>
      </x:c>
      <x:c r="F5" s="527" t="str">
        <x:v>Near-perfect target correlation detected</x:v>
      </x:c>
    </x:row>
    <x:row r="6">
      <x:c r="A6" s="533" t="str">
        <x:v>Injected timestamp leakage</x:v>
      </x:c>
      <x:c r="B6" s="296" t="str">
        <x:v>FAIL detection</x:v>
      </x:c>
      <x:c r="C6" s="296" t="str">
        <x:v>DETECTED</x:v>
      </x:c>
      <x:c r="D6" s="296" t="n">
        <x:v>1</x:v>
      </x:c>
      <x:c r="E6" s="296" t="str">
        <x:v>PASS</x:v>
      </x:c>
      <x:c r="F6" s="527" t="str">
        <x:v>Feature timestamp reaches target</x:v>
      </x:c>
    </x:row>
    <x:row r="7">
      <x:c r="A7" s="534" t="str">
        <x:v>Overall challenge suite</x:v>
      </x:c>
      <x:c r="B7" s="535" t="str">
        <x:v>PASS</x:v>
      </x:c>
      <x:c r="C7" s="535" t="str">
        <x:v>PASS</x:v>
      </x:c>
      <x:c r="D7" s="535"/>
      <x:c r="E7" s="535" t="str">
        <x:v>PASS</x:v>
      </x:c>
      <x:c r="F7" s="552" t="str">
        <x:v>Release guard works</x:v>
      </x:c>
    </x:row>
    <x:row r="9" ht="22" customHeight="1">
      <x:c r="A9" s="512" t="str">
        <x:v>Feature Cutoff Audit Samples</x:v>
      </x:c>
      <x:c r="B9" s="512"/>
      <x:c r="C9" s="512"/>
      <x:c r="D9" s="512"/>
      <x:c r="E9" s="512"/>
      <x:c r="F9" s="512"/>
      <x:c r="G9" s="512"/>
      <x:c r="H9" s="512"/>
      <x:c r="I9" s="512"/>
      <x:c r="J9" s="512"/>
      <x:c r="K9" s="512"/>
      <x:c r="L9" s="512"/>
      <x:c r="M9" s="512"/>
    </x:row>
    <x:row r="10">
      <x:c r="A10" s="548" t="str">
        <x:v>Target Index</x:v>
      </x:c>
      <x:c r="B10" s="549" t="str">
        <x:v>Rows</x:v>
      </x:c>
      <x:c r="C10" s="549" t="str">
        <x:v>Columns</x:v>
      </x:c>
      <x:c r="D10" s="549" t="str">
        <x:v>Uses Future</x:v>
      </x:c>
      <x:c r="E10" s="549" t="str">
        <x:v>Maximum History Index</x:v>
      </x:c>
      <x:c r="F10" s="550" t="str">
        <x:v>Status</x:v>
      </x:c>
    </x:row>
    <x:row r="11">
      <x:c r="A11" s="533" t="n">
        <x:v>120</x:v>
      </x:c>
      <x:c r="B11" s="296" t="n">
        <x:v>50</x:v>
      </x:c>
      <x:c r="C11" s="296" t="n">
        <x:v>5</x:v>
      </x:c>
      <x:c r="D11" s="296" t="str">
        <x:v>NO</x:v>
      </x:c>
      <x:c r="E11" s="296" t="n">
        <x:v>119</x:v>
      </x:c>
      <x:c r="F11" s="519" t="str">
        <x:v>PASS</x:v>
      </x:c>
    </x:row>
    <x:row r="12">
      <x:c r="A12" s="533" t="n">
        <x:v>191</x:v>
      </x:c>
      <x:c r="B12" s="296" t="n">
        <x:v>50</x:v>
      </x:c>
      <x:c r="C12" s="296" t="n">
        <x:v>5</x:v>
      </x:c>
      <x:c r="D12" s="296" t="str">
        <x:v>NO</x:v>
      </x:c>
      <x:c r="E12" s="296" t="n">
        <x:v>190</x:v>
      </x:c>
      <x:c r="F12" s="519" t="str">
        <x:v>PASS</x:v>
      </x:c>
    </x:row>
    <x:row r="13">
      <x:c r="A13" s="533" t="n">
        <x:v>262</x:v>
      </x:c>
      <x:c r="B13" s="296" t="n">
        <x:v>50</x:v>
      </x:c>
      <x:c r="C13" s="296" t="n">
        <x:v>5</x:v>
      </x:c>
      <x:c r="D13" s="296" t="str">
        <x:v>NO</x:v>
      </x:c>
      <x:c r="E13" s="296" t="n">
        <x:v>261</x:v>
      </x:c>
      <x:c r="F13" s="519" t="str">
        <x:v>PASS</x:v>
      </x:c>
    </x:row>
    <x:row r="14">
      <x:c r="A14" s="533" t="n">
        <x:v>333</x:v>
      </x:c>
      <x:c r="B14" s="296" t="n">
        <x:v>50</x:v>
      </x:c>
      <x:c r="C14" s="296" t="n">
        <x:v>5</x:v>
      </x:c>
      <x:c r="D14" s="296" t="str">
        <x:v>NO</x:v>
      </x:c>
      <x:c r="E14" s="296" t="n">
        <x:v>332</x:v>
      </x:c>
      <x:c r="F14" s="519" t="str">
        <x:v>PASS</x:v>
      </x:c>
    </x:row>
    <x:row r="15">
      <x:c r="A15" s="533" t="n">
        <x:v>404</x:v>
      </x:c>
      <x:c r="B15" s="296" t="n">
        <x:v>50</x:v>
      </x:c>
      <x:c r="C15" s="296" t="n">
        <x:v>5</x:v>
      </x:c>
      <x:c r="D15" s="296" t="str">
        <x:v>NO</x:v>
      </x:c>
      <x:c r="E15" s="296" t="n">
        <x:v>403</x:v>
      </x:c>
      <x:c r="F15" s="519" t="str">
        <x:v>PASS</x:v>
      </x:c>
    </x:row>
    <x:row r="16">
      <x:c r="A16" s="533" t="n">
        <x:v>475</x:v>
      </x:c>
      <x:c r="B16" s="296" t="n">
        <x:v>50</x:v>
      </x:c>
      <x:c r="C16" s="296" t="n">
        <x:v>5</x:v>
      </x:c>
      <x:c r="D16" s="296" t="str">
        <x:v>NO</x:v>
      </x:c>
      <x:c r="E16" s="296" t="n">
        <x:v>474</x:v>
      </x:c>
      <x:c r="F16" s="519" t="str">
        <x:v>PASS</x:v>
      </x:c>
    </x:row>
    <x:row r="17">
      <x:c r="A17" s="533" t="n">
        <x:v>546</x:v>
      </x:c>
      <x:c r="B17" s="296" t="n">
        <x:v>50</x:v>
      </x:c>
      <x:c r="C17" s="296" t="n">
        <x:v>5</x:v>
      </x:c>
      <x:c r="D17" s="296" t="str">
        <x:v>NO</x:v>
      </x:c>
      <x:c r="E17" s="296" t="n">
        <x:v>545</x:v>
      </x:c>
      <x:c r="F17" s="519" t="str">
        <x:v>PASS</x:v>
      </x:c>
    </x:row>
    <x:row r="18">
      <x:c r="A18" s="533" t="n">
        <x:v>617</x:v>
      </x:c>
      <x:c r="B18" s="296" t="n">
        <x:v>50</x:v>
      </x:c>
      <x:c r="C18" s="296" t="n">
        <x:v>5</x:v>
      </x:c>
      <x:c r="D18" s="296" t="str">
        <x:v>NO</x:v>
      </x:c>
      <x:c r="E18" s="296" t="n">
        <x:v>616</x:v>
      </x:c>
      <x:c r="F18" s="519" t="str">
        <x:v>PASS</x:v>
      </x:c>
    </x:row>
    <x:row r="19">
      <x:c r="A19" s="533" t="n">
        <x:v>688</x:v>
      </x:c>
      <x:c r="B19" s="296" t="n">
        <x:v>50</x:v>
      </x:c>
      <x:c r="C19" s="296" t="n">
        <x:v>5</x:v>
      </x:c>
      <x:c r="D19" s="296" t="str">
        <x:v>NO</x:v>
      </x:c>
      <x:c r="E19" s="296" t="n">
        <x:v>687</x:v>
      </x:c>
      <x:c r="F19" s="519" t="str">
        <x:v>PASS</x:v>
      </x:c>
    </x:row>
    <x:row r="20">
      <x:c r="A20" s="533" t="n">
        <x:v>759</x:v>
      </x:c>
      <x:c r="B20" s="296" t="n">
        <x:v>50</x:v>
      </x:c>
      <x:c r="C20" s="296" t="n">
        <x:v>5</x:v>
      </x:c>
      <x:c r="D20" s="296" t="str">
        <x:v>NO</x:v>
      </x:c>
      <x:c r="E20" s="296" t="n">
        <x:v>758</x:v>
      </x:c>
      <x:c r="F20" s="519" t="str">
        <x:v>PASS</x:v>
      </x:c>
    </x:row>
    <x:row r="21">
      <x:c r="A21" s="533" t="n">
        <x:v>830</x:v>
      </x:c>
      <x:c r="B21" s="296" t="n">
        <x:v>50</x:v>
      </x:c>
      <x:c r="C21" s="296" t="n">
        <x:v>5</x:v>
      </x:c>
      <x:c r="D21" s="296" t="str">
        <x:v>NO</x:v>
      </x:c>
      <x:c r="E21" s="296" t="n">
        <x:v>829</x:v>
      </x:c>
      <x:c r="F21" s="519" t="str">
        <x:v>PASS</x:v>
      </x:c>
    </x:row>
    <x:row r="22">
      <x:c r="A22" s="533" t="n">
        <x:v>901</x:v>
      </x:c>
      <x:c r="B22" s="296" t="n">
        <x:v>50</x:v>
      </x:c>
      <x:c r="C22" s="296" t="n">
        <x:v>5</x:v>
      </x:c>
      <x:c r="D22" s="296" t="str">
        <x:v>NO</x:v>
      </x:c>
      <x:c r="E22" s="296" t="n">
        <x:v>900</x:v>
      </x:c>
      <x:c r="F22" s="519" t="str">
        <x:v>PASS</x:v>
      </x:c>
    </x:row>
    <x:row r="23">
      <x:c r="A23" s="534" t="n">
        <x:v>972</x:v>
      </x:c>
      <x:c r="B23" s="535" t="n">
        <x:v>50</x:v>
      </x:c>
      <x:c r="C23" s="535" t="n">
        <x:v>5</x:v>
      </x:c>
      <x:c r="D23" s="535" t="str">
        <x:v>NO</x:v>
      </x:c>
      <x:c r="E23" s="535" t="n">
        <x:v>971</x:v>
      </x:c>
      <x:c r="F23" s="521" t="str">
        <x:v>PASS</x:v>
      </x:c>
    </x:row>
  </x:sheetData>
  <x:mergeCells>
    <x:mergeCell ref="A1:M1"/>
    <x:mergeCell ref="A9:M9"/>
  </x:mergeCells>
  <x:conditionalFormatting sqref="E4:E7">
    <x:cfRule type="expression" dxfId="30" priority="1">
      <x:formula>E4="PASS"</x:formula>
    </x:cfRule>
  </x:conditionalFormatting>
  <x:conditionalFormatting sqref="F11:F23">
    <x:cfRule type="expression" dxfId="31" priority="2">
      <x:formula>F11="PASS"</x:formula>
    </x:cfRule>
  </x:conditionalFormatting>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25" hidden="0" customWidth="1"/>
    <x:col min="3" max="3" width="25" hidden="0" customWidth="1"/>
    <x:col min="4" max="4" width="21" hidden="0" customWidth="1"/>
    <x:col min="5" max="5" width="13" hidden="0" customWidth="1"/>
    <x:col min="6" max="6" width="45" hidden="0" customWidth="1"/>
    <x:col min="7" max="7" width="12" hidden="0" customWidth="1"/>
    <x:col min="8" max="8" width="13" hidden="0" customWidth="1"/>
  </x:cols>
  <x:sheetData>
    <x:row r="1" ht="30" customHeight="1">
      <x:c r="A1" s="615" t="str">
        <x:v>Independent Mathematical and File Verification</x:v>
      </x:c>
      <x:c r="B1" s="615"/>
      <x:c r="C1" s="615"/>
      <x:c r="D1" s="615"/>
      <x:c r="E1" s="615"/>
      <x:c r="F1" s="615"/>
      <x:c r="G1" s="615"/>
      <x:c r="H1" s="615"/>
      <x:c r="I1" s="615"/>
      <x:c r="J1" s="615"/>
      <x:c r="K1" s="615"/>
      <x:c r="L1" s="615"/>
      <x:c r="M1" s="615"/>
      <x:c r="N1" s="260"/>
      <x:c r="O1" s="260"/>
      <x:c r="P1" s="260"/>
      <x:c r="Q1" s="260"/>
      <x:c r="R1" s="260"/>
      <x:c r="S1" s="260"/>
      <x:c r="T1" s="260"/>
      <x:c r="U1" s="260"/>
      <x:c r="V1" s="260"/>
      <x:c r="W1" s="260"/>
      <x:c r="X1" s="260"/>
      <x:c r="Y1" s="260"/>
      <x:c r="Z1" s="260"/>
    </x:row>
    <x:row r="3">
      <x:c r="A3" s="548" t="str">
        <x:v>Check</x:v>
      </x:c>
      <x:c r="B3" s="549" t="str">
        <x:v>Primary Result</x:v>
      </x:c>
      <x:c r="C3" s="549" t="str">
        <x:v>Independent Result</x:v>
      </x:c>
      <x:c r="D3" s="549" t="str">
        <x:v>Difference / Missing</x:v>
      </x:c>
      <x:c r="E3" s="549" t="str">
        <x:v>Status</x:v>
      </x:c>
      <x:c r="F3" s="550" t="str">
        <x:v>Method</x:v>
      </x:c>
    </x:row>
    <x:row r="4">
      <x:c r="A4" s="533" t="str">
        <x:v>Combination space</x:v>
      </x:c>
      <x:c r="B4" s="580" t="n">
        <x:v>139838160</x:v>
      </x:c>
      <x:c r="C4" s="580" t="n">
        <x:v>139838160</x:v>
      </x:c>
      <x:c r="D4" s="580" t="n">
        <x:v>0</x:v>
      </x:c>
      <x:c r="E4" s="296" t="str">
        <x:v>PASS</x:v>
      </x:c>
      <x:c r="F4" s="519" t="str">
        <x:v>Separate multiplicative choose() implementation</x:v>
      </x:c>
    </x:row>
    <x:row r="5">
      <x:c r="A5" s="533" t="str">
        <x:v>Jackpot probability</x:v>
      </x:c>
      <x:c r="B5" s="580" t="n">
        <x:v>7.1511238420185165e-9</x:v>
      </x:c>
      <x:c r="C5" s="580" t="n">
        <x:v>7.1511238420185165e-9</x:v>
      </x:c>
      <x:c r="D5" s="580" t="n">
        <x:v>0</x:v>
      </x:c>
      <x:c r="E5" s="296" t="str">
        <x:v>PASS</x:v>
      </x:c>
      <x:c r="F5" s="519" t="str">
        <x:v>Independent match-tier formula</x:v>
      </x:c>
    </x:row>
    <x:row r="6">
      <x:c r="A6" s="534" t="str">
        <x:v>Prediction record hash</x:v>
      </x:c>
      <x:c r="B6" s="551" t="str">
        <x:v>09815f2cfd38b0c37fdb3e5ad8996c7a3f24c8ce08698edba5a13f89a7e1167c</x:v>
      </x:c>
      <x:c r="C6" s="551" t="str">
        <x:v>09815f2cfd38b0c37fdb3e5ad8996c7a3f24c8ce08698edba5a13f89a7e1167c</x:v>
      </x:c>
      <x:c r="D6" s="535"/>
      <x:c r="E6" s="535" t="str">
        <x:v>PASS</x:v>
      </x:c>
      <x:c r="F6" s="521" t="str">
        <x:v>Canonical JSON SHA-256</x:v>
      </x:c>
    </x:row>
    <x:row r="8" ht="22" customHeight="1">
      <x:c r="A8" s="512" t="str">
        <x:v>Wheel Files</x:v>
      </x:c>
      <x:c r="B8" s="512"/>
      <x:c r="C8" s="512"/>
      <x:c r="D8" s="512"/>
      <x:c r="E8" s="512"/>
      <x:c r="F8" s="512"/>
      <x:c r="G8" s="512"/>
      <x:c r="H8" s="512"/>
      <x:c r="I8" s="512"/>
      <x:c r="J8" s="512"/>
      <x:c r="K8" s="512"/>
      <x:c r="L8" s="512"/>
      <x:c r="M8" s="512"/>
    </x:row>
    <x:row r="9">
      <x:c r="A9" s="548" t="str">
        <x:v>Wheel</x:v>
      </x:c>
      <x:c r="B9" s="549" t="str">
        <x:v>Rows</x:v>
      </x:c>
      <x:c r="C9" s="549" t="str">
        <x:v>Expected</x:v>
      </x:c>
      <x:c r="D9" s="549" t="str">
        <x:v>Unique Lines</x:v>
      </x:c>
      <x:c r="E9" s="549" t="str">
        <x:v>Required Subsets</x:v>
      </x:c>
      <x:c r="F9" s="549" t="str">
        <x:v>Covered Subsets</x:v>
      </x:c>
      <x:c r="G9" s="549" t="str">
        <x:v>Missing</x:v>
      </x:c>
      <x:c r="H9" s="550" t="str">
        <x:v>Status</x:v>
      </x:c>
    </x:row>
    <x:row r="10">
      <x:c r="A10" s="533" t="str">
        <x:v>54</x:v>
      </x:c>
      <x:c r="B10" s="296" t="n">
        <x:v>54</x:v>
      </x:c>
      <x:c r="C10" s="296" t="n">
        <x:v>54</x:v>
      </x:c>
      <x:c r="D10" s="296" t="n">
        <x:v>54</x:v>
      </x:c>
      <x:c r="E10" s="296" t="n">
        <x:v>66</x:v>
      </x:c>
      <x:c r="F10" s="296" t="n">
        <x:v>66</x:v>
      </x:c>
      <x:c r="G10" s="296" t="n">
        <x:v>0</x:v>
      </x:c>
      <x:c r="H10" s="519" t="str">
        <x:v>PASS</x:v>
      </x:c>
    </x:row>
    <x:row r="11">
      <x:c r="A11" s="533" t="str">
        <x:v>135</x:v>
      </x:c>
      <x:c r="B11" s="296" t="n">
        <x:v>135</x:v>
      </x:c>
      <x:c r="C11" s="296" t="n">
        <x:v>135</x:v>
      </x:c>
      <x:c r="D11" s="296" t="n">
        <x:v>135</x:v>
      </x:c>
      <x:c r="E11" s="296" t="n">
        <x:v>66</x:v>
      </x:c>
      <x:c r="F11" s="296" t="n">
        <x:v>66</x:v>
      </x:c>
      <x:c r="G11" s="296" t="n">
        <x:v>0</x:v>
      </x:c>
      <x:c r="H11" s="519" t="str">
        <x:v>PASS</x:v>
      </x:c>
    </x:row>
    <x:row r="12">
      <x:c r="A12" s="533" t="str">
        <x:v>198</x:v>
      </x:c>
      <x:c r="B12" s="296" t="n">
        <x:v>198</x:v>
      </x:c>
      <x:c r="C12" s="296" t="n">
        <x:v>198</x:v>
      </x:c>
      <x:c r="D12" s="296" t="n">
        <x:v>198</x:v>
      </x:c>
      <x:c r="E12" s="296" t="n">
        <x:v>220</x:v>
      </x:c>
      <x:c r="F12" s="296" t="n">
        <x:v>220</x:v>
      </x:c>
      <x:c r="G12" s="296" t="n">
        <x:v>0</x:v>
      </x:c>
      <x:c r="H12" s="519" t="str">
        <x:v>PASS</x:v>
      </x:c>
    </x:row>
    <x:row r="13">
      <x:c r="A13" s="534" t="str">
        <x:v>495</x:v>
      </x:c>
      <x:c r="B13" s="535" t="n">
        <x:v>495</x:v>
      </x:c>
      <x:c r="C13" s="535" t="n">
        <x:v>495</x:v>
      </x:c>
      <x:c r="D13" s="535" t="n">
        <x:v>495</x:v>
      </x:c>
      <x:c r="E13" s="535" t="n">
        <x:v>220</x:v>
      </x:c>
      <x:c r="F13" s="535" t="n">
        <x:v>220</x:v>
      </x:c>
      <x:c r="G13" s="535" t="n">
        <x:v>0</x:v>
      </x:c>
      <x:c r="H13" s="521" t="str">
        <x:v>PASS</x:v>
      </x:c>
    </x:row>
    <x:row r="15">
      <x:c r="A15" s="572" t="str">
        <x:v>Release rule: a disagreement between the primary engine and the independent verifier blocks workbook and package release. The verifier is implemented in a separate Python module and uses different calculation paths.</x:v>
      </x:c>
      <x:c r="B15" s="572"/>
      <x:c r="C15" s="572"/>
      <x:c r="D15" s="572"/>
      <x:c r="E15" s="572"/>
      <x:c r="F15" s="572"/>
      <x:c r="G15" s="572"/>
      <x:c r="H15" s="572"/>
      <x:c r="I15" s="572"/>
      <x:c r="J15" s="572"/>
      <x:c r="K15" s="572"/>
      <x:c r="L15" s="572"/>
      <x:c r="M15" s="572"/>
    </x:row>
    <x:row r="16">
      <x:c r="A16" s="572"/>
      <x:c r="B16" s="572"/>
      <x:c r="C16" s="572"/>
      <x:c r="D16" s="572"/>
      <x:c r="E16" s="572"/>
      <x:c r="F16" s="572"/>
      <x:c r="G16" s="572"/>
      <x:c r="H16" s="572"/>
      <x:c r="I16" s="572"/>
      <x:c r="J16" s="572"/>
      <x:c r="K16" s="572"/>
      <x:c r="L16" s="572"/>
      <x:c r="M16" s="572"/>
    </x:row>
    <x:row r="17">
      <x:c r="A17" s="572"/>
      <x:c r="B17" s="572"/>
      <x:c r="C17" s="572"/>
      <x:c r="D17" s="572"/>
      <x:c r="E17" s="572"/>
      <x:c r="F17" s="572"/>
      <x:c r="G17" s="572"/>
      <x:c r="H17" s="572"/>
      <x:c r="I17" s="572"/>
      <x:c r="J17" s="572"/>
      <x:c r="K17" s="572"/>
      <x:c r="L17" s="572"/>
      <x:c r="M17" s="572"/>
    </x:row>
    <x:row r="18">
      <x:c r="A18" s="572"/>
      <x:c r="B18" s="572"/>
      <x:c r="C18" s="572"/>
      <x:c r="D18" s="572"/>
      <x:c r="E18" s="572"/>
      <x:c r="F18" s="572"/>
      <x:c r="G18" s="572"/>
      <x:c r="H18" s="572"/>
      <x:c r="I18" s="572"/>
      <x:c r="J18" s="572"/>
      <x:c r="K18" s="572"/>
      <x:c r="L18" s="572"/>
      <x:c r="M18" s="572"/>
    </x:row>
  </x:sheetData>
  <x:mergeCells>
    <x:mergeCell ref="A1:M1"/>
    <x:mergeCell ref="A8:M8"/>
    <x:mergeCell ref="A15:M18"/>
  </x:mergeCells>
  <x:conditionalFormatting sqref="E4:E6">
    <x:cfRule type="expression" dxfId="32" priority="1">
      <x:formula>E4="PASS"</x:formula>
    </x:cfRule>
  </x:conditionalFormatting>
  <x:conditionalFormatting sqref="H10:H13">
    <x:cfRule type="expression" dxfId="33" priority="2">
      <x:formula>H10="PASS"</x:formula>
    </x:cfRule>
  </x:conditionalFormatting>
  <x:pageMargins left="0.7" right="0.7" top="0.75" bottom="0.75" header="0.3" footer="0.3"/>
</x:worksheet>
</file>

<file path=xl/worksheets/sheet39.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15" hidden="0" customWidth="1"/>
    <x:col min="5" max="5" width="16" hidden="0" customWidth="1"/>
    <x:col min="6" max="6" width="18" hidden="0" customWidth="1"/>
    <x:col min="7" max="7" width="17" hidden="0" customWidth="1"/>
    <x:col min="8" max="8" width="60" hidden="0" customWidth="1"/>
    <x:col min="9" max="9" width="17" hidden="0" customWidth="1"/>
  </x:cols>
  <x:sheetData>
    <x:row r="1" ht="30" customHeight="1">
      <x:c r="A1" s="615" t="str">
        <x:v>Prize, Participation and Sales Database</x:v>
      </x:c>
      <x:c r="B1" s="615"/>
      <x:c r="C1" s="615"/>
      <x:c r="D1" s="615"/>
      <x:c r="E1" s="615"/>
      <x:c r="F1" s="615"/>
      <x:c r="G1" s="615"/>
      <x:c r="H1" s="615"/>
      <x:c r="I1" s="615"/>
      <x:c r="J1" s="615"/>
      <x:c r="K1" s="615"/>
      <x:c r="L1" s="615"/>
      <x:c r="M1" s="615"/>
      <x:c r="N1" s="615"/>
      <x:c r="O1" s="260"/>
      <x:c r="P1" s="260"/>
      <x:c r="Q1" s="260"/>
      <x:c r="R1" s="260"/>
      <x:c r="S1" s="260"/>
      <x:c r="T1" s="260"/>
      <x:c r="U1" s="260"/>
      <x:c r="V1" s="260"/>
      <x:c r="W1" s="260"/>
      <x:c r="X1" s="260"/>
      <x:c r="Y1" s="260"/>
      <x:c r="Z1" s="260"/>
    </x:row>
    <x:row r="3">
      <x:c r="A3" s="548" t="str">
        <x:v>Input</x:v>
      </x:c>
      <x:c r="B3" s="550" t="str">
        <x:v>Value</x:v>
      </x:c>
    </x:row>
    <x:row r="4">
      <x:c r="A4" s="533" t="str">
        <x:v>Line cost</x:v>
      </x:c>
      <x:c r="B4" s="581" t="n">
        <x:v>2.5</x:v>
      </x:c>
    </x:row>
    <x:row r="5">
      <x:c r="A5" s="533" t="str">
        <x:v>Currency</x:v>
      </x:c>
      <x:c r="B5" s="519" t="str">
        <x:v>EUR</x:v>
      </x:c>
    </x:row>
    <x:row r="6">
      <x:c r="A6" s="533" t="str">
        <x:v>Source requirement</x:v>
      </x:c>
      <x:c r="B6" s="527" t="str">
        <x:v>Official or independently verified</x:v>
      </x:c>
    </x:row>
    <x:row r="7">
      <x:c r="A7" s="533" t="str">
        <x:v>Missing values</x:v>
      </x:c>
      <x:c r="B7" s="527" t="str">
        <x:v>Remain blank; never inferred</x:v>
      </x:c>
    </x:row>
    <x:row r="8">
      <x:c r="A8" s="534" t="str">
        <x:v>EV deployment</x:v>
      </x:c>
      <x:c r="B8" s="552" t="str">
        <x:v>Disabled until prize and participation fields are verified</x:v>
      </x:c>
    </x:row>
    <x:row r="10" ht="22" customHeight="1">
      <x:c r="A10" s="512" t="str">
        <x:v>Draw-Level Prize and Participation Records</x:v>
      </x:c>
      <x:c r="B10" s="512"/>
      <x:c r="C10" s="512"/>
      <x:c r="D10" s="512"/>
      <x:c r="E10" s="512"/>
      <x:c r="F10" s="512"/>
      <x:c r="G10" s="512"/>
      <x:c r="H10" s="512"/>
      <x:c r="I10" s="512"/>
      <x:c r="J10" s="512"/>
      <x:c r="K10" s="512"/>
      <x:c r="L10" s="512"/>
      <x:c r="M10" s="512"/>
      <x:c r="N10" s="512"/>
    </x:row>
    <x:row r="11">
      <x:c r="A11" s="548" t="str">
        <x:v>Draw Date</x:v>
      </x:c>
      <x:c r="B11" s="549" t="str">
        <x:v>Advertised Jackpot</x:v>
      </x:c>
      <x:c r="C11" s="549" t="str">
        <x:v>Actual Prize Pool</x:v>
      </x:c>
      <x:c r="D11" s="549" t="str">
        <x:v>Rollover Count</x:v>
      </x:c>
      <x:c r="E11" s="549" t="str">
        <x:v>Total Columns</x:v>
      </x:c>
      <x:c r="F11" s="549" t="str">
        <x:v>Estimated Sales</x:v>
      </x:c>
      <x:c r="G11" s="549" t="str">
        <x:v>Jackpot Winners</x:v>
      </x:c>
      <x:c r="H11" s="549" t="str">
        <x:v>Source URL</x:v>
      </x:c>
      <x:c r="I11" s="550" t="str">
        <x:v>Verification</x:v>
      </x:c>
    </x:row>
    <x:row r="12">
      <x:c r="A12" s="582" t="n">
        <x:v>46231</x:v>
      </x:c>
      <x:c r="B12" s="314"/>
      <x:c r="C12" s="314"/>
      <x:c r="D12" s="296"/>
      <x:c r="E12" s="296"/>
      <x:c r="F12" s="314" t="str">
        <x:f>IF(E12="","",E12*$B$4)</x:f>
      </x:c>
      <x:c r="G12" s="296"/>
      <x:c r="H12" s="330"/>
      <x:c r="I12" s="527" t="str">
        <x:v>Missing</x:v>
      </x:c>
    </x:row>
    <x:row r="13">
      <x:c r="A13" s="582" t="n">
        <x:v>46234</x:v>
      </x:c>
      <x:c r="B13" s="314"/>
      <x:c r="C13" s="314"/>
      <x:c r="D13" s="296"/>
      <x:c r="E13" s="296"/>
      <x:c r="F13" s="314" t="str">
        <x:f>IF(E13="","",E13*$B$4)</x:f>
      </x:c>
      <x:c r="G13" s="296"/>
      <x:c r="H13" s="330"/>
      <x:c r="I13" s="527" t="str">
        <x:v>Missing</x:v>
      </x:c>
    </x:row>
    <x:row r="14">
      <x:c r="A14" s="582" t="n">
        <x:v>46238</x:v>
      </x:c>
      <x:c r="B14" s="314"/>
      <x:c r="C14" s="314"/>
      <x:c r="D14" s="296"/>
      <x:c r="E14" s="296"/>
      <x:c r="F14" s="314" t="str">
        <x:f>IF(E14="","",E14*$B$4)</x:f>
      </x:c>
      <x:c r="G14" s="296"/>
      <x:c r="H14" s="330"/>
      <x:c r="I14" s="527" t="str">
        <x:v>Missing</x:v>
      </x:c>
    </x:row>
    <x:row r="15">
      <x:c r="A15" s="582" t="n">
        <x:v>46241</x:v>
      </x:c>
      <x:c r="B15" s="314"/>
      <x:c r="C15" s="314"/>
      <x:c r="D15" s="296"/>
      <x:c r="E15" s="296"/>
      <x:c r="F15" s="314" t="str">
        <x:f>IF(E15="","",E15*$B$4)</x:f>
      </x:c>
      <x:c r="G15" s="296"/>
      <x:c r="H15" s="330"/>
      <x:c r="I15" s="527" t="str">
        <x:v>Missing</x:v>
      </x:c>
    </x:row>
    <x:row r="16">
      <x:c r="A16" s="582" t="n">
        <x:v>46245</x:v>
      </x:c>
      <x:c r="B16" s="314"/>
      <x:c r="C16" s="314"/>
      <x:c r="D16" s="296"/>
      <x:c r="E16" s="296"/>
      <x:c r="F16" s="314" t="str">
        <x:f>IF(E16="","",E16*$B$4)</x:f>
      </x:c>
      <x:c r="G16" s="296"/>
      <x:c r="H16" s="330"/>
      <x:c r="I16" s="527" t="str">
        <x:v>Missing</x:v>
      </x:c>
    </x:row>
    <x:row r="17">
      <x:c r="A17" s="582" t="n">
        <x:v>46248</x:v>
      </x:c>
      <x:c r="B17" s="314"/>
      <x:c r="C17" s="314"/>
      <x:c r="D17" s="296"/>
      <x:c r="E17" s="296"/>
      <x:c r="F17" s="314" t="str">
        <x:f>IF(E17="","",E17*$B$4)</x:f>
      </x:c>
      <x:c r="G17" s="296"/>
      <x:c r="H17" s="330"/>
      <x:c r="I17" s="527" t="str">
        <x:v>Missing</x:v>
      </x:c>
    </x:row>
    <x:row r="18">
      <x:c r="A18" s="582" t="n">
        <x:v>46252</x:v>
      </x:c>
      <x:c r="B18" s="314"/>
      <x:c r="C18" s="314"/>
      <x:c r="D18" s="296"/>
      <x:c r="E18" s="296"/>
      <x:c r="F18" s="314" t="str">
        <x:f>IF(E18="","",E18*$B$4)</x:f>
      </x:c>
      <x:c r="G18" s="296"/>
      <x:c r="H18" s="330"/>
      <x:c r="I18" s="527" t="str">
        <x:v>Missing</x:v>
      </x:c>
    </x:row>
    <x:row r="19">
      <x:c r="A19" s="582" t="n">
        <x:v>46255</x:v>
      </x:c>
      <x:c r="B19" s="314"/>
      <x:c r="C19" s="314"/>
      <x:c r="D19" s="296"/>
      <x:c r="E19" s="296"/>
      <x:c r="F19" s="314" t="str">
        <x:f>IF(E19="","",E19*$B$4)</x:f>
      </x:c>
      <x:c r="G19" s="296"/>
      <x:c r="H19" s="330"/>
      <x:c r="I19" s="527" t="str">
        <x:v>Missing</x:v>
      </x:c>
    </x:row>
    <x:row r="20">
      <x:c r="A20" s="582" t="n">
        <x:v>46259</x:v>
      </x:c>
      <x:c r="B20" s="314"/>
      <x:c r="C20" s="314"/>
      <x:c r="D20" s="296"/>
      <x:c r="E20" s="296"/>
      <x:c r="F20" s="314" t="str">
        <x:f>IF(E20="","",E20*$B$4)</x:f>
      </x:c>
      <x:c r="G20" s="296"/>
      <x:c r="H20" s="330"/>
      <x:c r="I20" s="527" t="str">
        <x:v>Missing</x:v>
      </x:c>
    </x:row>
    <x:row r="21">
      <x:c r="A21" s="583" t="n">
        <x:v>46262</x:v>
      </x:c>
      <x:c r="B21" s="584"/>
      <x:c r="C21" s="584"/>
      <x:c r="D21" s="535"/>
      <x:c r="E21" s="535"/>
      <x:c r="F21" s="584" t="str">
        <x:f>IF(E21="","",E21*$B$4)</x:f>
      </x:c>
      <x:c r="G21" s="535"/>
      <x:c r="H21" s="551"/>
      <x:c r="I21" s="552" t="str">
        <x:v>Missing</x:v>
      </x:c>
    </x:row>
  </x:sheetData>
  <x:mergeCells>
    <x:mergeCell ref="A1:N1"/>
    <x:mergeCell ref="A10:N10"/>
  </x:mergeCells>
  <x:conditionalFormatting sqref="I12:I21">
    <x:cfRule type="expression" dxfId="34" priority="1">
      <x:formula>I12="Verified"</x:formula>
    </x:cfRule>
  </x:conditionalFormatting>
  <x:dataValidations count="1">
    <x:dataValidation type="list" sqref="I12:I21">
      <x:formula1>"Missing,Unverified,Cross-checked,Verified"</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21" hidden="0" customWidth="1"/>
    <x:col min="2" max="2" width="22" hidden="0" customWidth="1"/>
    <x:col min="3" max="3" width="18" hidden="0" customWidth="1"/>
    <x:col min="4" max="4" width="58" hidden="0" customWidth="1"/>
    <x:col min="5" max="5" width="13" hidden="0" customWidth="1"/>
    <x:col min="6" max="6" width="13" hidden="0" customWidth="1"/>
    <x:col min="7" max="7" width="13" hidden="0" customWidth="1"/>
    <x:col min="8" max="8" width="13" hidden="0" customWidth="1"/>
    <x:col min="9" max="9" width="25" hidden="0" customWidth="1"/>
    <x:col min="10" max="10" width="25" hidden="0" customWidth="1"/>
  </x:cols>
  <x:sheetData>
    <x:row r="1" ht="30" customHeight="1">
      <x:c r="A1" s="615" t="str">
        <x:v>Cross-Lottery Null-Control Laboratory</x:v>
      </x:c>
      <x:c r="B1" s="615"/>
      <x:c r="C1" s="615"/>
      <x:c r="D1" s="615"/>
      <x:c r="E1" s="615"/>
      <x:c r="F1" s="615"/>
      <x:c r="G1" s="615"/>
      <x:c r="H1" s="615"/>
      <x:c r="I1" s="615"/>
      <x:c r="J1" s="615"/>
      <x:c r="K1" s="615"/>
      <x:c r="L1" s="615"/>
      <x:c r="M1" s="615"/>
      <x:c r="N1" s="615"/>
      <x:c r="O1" s="260"/>
      <x:c r="P1" s="260"/>
      <x:c r="Q1" s="260"/>
      <x:c r="R1" s="260"/>
      <x:c r="S1" s="260"/>
      <x:c r="T1" s="260"/>
      <x:c r="U1" s="260"/>
      <x:c r="V1" s="260"/>
      <x:c r="W1" s="260"/>
      <x:c r="X1" s="260"/>
      <x:c r="Y1" s="260"/>
      <x:c r="Z1" s="260"/>
    </x:row>
    <x:row r="3">
      <x:c r="A3" s="548" t="str">
        <x:v>Feature</x:v>
      </x:c>
      <x:c r="B3" s="549" t="str">
        <x:v>EuroJackpot Mean</x:v>
      </x:c>
      <x:c r="C3" s="549" t="str">
        <x:v>Control Mean</x:v>
      </x:c>
      <x:c r="D3" s="549" t="str">
        <x:v>Difference</x:v>
      </x:c>
      <x:c r="E3" s="549" t="str">
        <x:v>Absolute Difference</x:v>
      </x:c>
      <x:c r="F3" s="550" t="str">
        <x:v>Current Control</x:v>
      </x:c>
    </x:row>
    <x:row r="4">
      <x:c r="A4" s="533" t="str">
        <x:v>normalised_sum</x:v>
      </x:c>
      <x:c r="B4" s="435" t="n">
        <x:v>0.5056164102564106</x:v>
      </x:c>
      <x:c r="C4" s="435" t="n">
        <x:v>0.5135191378669652</x:v>
      </x:c>
      <x:c r="D4" s="435" t="n">
        <x:v>-0.00790272761055466</x:v>
      </x:c>
      <x:c r="E4" s="435" t="n">
        <x:v>0.00790272761055466</x:v>
      </x:c>
      <x:c r="F4" s="519" t="str">
        <x:v>synthetic-control</x:v>
      </x:c>
    </x:row>
    <x:row r="5">
      <x:c r="A5" s="533" t="str">
        <x:v>odd_ratio</x:v>
      </x:c>
      <x:c r="B5" s="435" t="n">
        <x:v>0.5087179487179495</x:v>
      </x:c>
      <x:c r="C5" s="435" t="n">
        <x:v>0.5027692307692309</x:v>
      </x:c>
      <x:c r="D5" s="435" t="n">
        <x:v>0.0059487179487186514</x:v>
      </x:c>
      <x:c r="E5" s="435" t="n">
        <x:v>0.0059487179487186514</x:v>
      </x:c>
      <x:c r="F5" s="519" t="str">
        <x:v>synthetic-control</x:v>
      </x:c>
    </x:row>
    <x:row r="6">
      <x:c r="A6" s="533" t="str">
        <x:v>low_ratio</x:v>
      </x:c>
      <x:c r="B6" s="435" t="n">
        <x:v>0.5109743589743589</x:v>
      </x:c>
      <x:c r="C6" s="435" t="n">
        <x:v>0.48328205128205054</x:v>
      </x:c>
      <x:c r="D6" s="435" t="n">
        <x:v>0.027692307692308404</x:v>
      </x:c>
      <x:c r="E6" s="435" t="n">
        <x:v>0.027692307692308404</x:v>
      </x:c>
      <x:c r="F6" s="519" t="str">
        <x:v>synthetic-control</x:v>
      </x:c>
    </x:row>
    <x:row r="7">
      <x:c r="A7" s="533" t="str">
        <x:v>normalised_range</x:v>
      </x:c>
      <x:c r="B7" s="435" t="n">
        <x:v>0.6913657770800647</x:v>
      </x:c>
      <x:c r="C7" s="435" t="n">
        <x:v>0.677285067873304</x:v>
      </x:c>
      <x:c r="D7" s="435" t="n">
        <x:v>0.014080709206760744</x:v>
      </x:c>
      <x:c r="E7" s="435" t="n">
        <x:v>0.014080709206760744</x:v>
      </x:c>
      <x:c r="F7" s="519" t="str">
        <x:v>synthetic-control</x:v>
      </x:c>
    </x:row>
    <x:row r="8">
      <x:c r="A8" s="533" t="str">
        <x:v>consecutive_ratio</x:v>
      </x:c>
      <x:c r="B8" s="435" t="n">
        <x:v>0.09666666666666666</x:v>
      </x:c>
      <x:c r="C8" s="435" t="n">
        <x:v>0.07564102564102564</x:v>
      </x:c>
      <x:c r="D8" s="435" t="n">
        <x:v>0.02102564102564103</x:v>
      </x:c>
      <x:c r="E8" s="435" t="n">
        <x:v>0.02102564102564103</x:v>
      </x:c>
      <x:c r="F8" s="519" t="str">
        <x:v>synthetic-control</x:v>
      </x:c>
    </x:row>
    <x:row r="9">
      <x:c r="A9" s="534"/>
      <x:c r="B9" s="562"/>
      <x:c r="C9" s="562"/>
      <x:c r="D9" s="562"/>
      <x:c r="E9" s="562"/>
      <x:c r="F9" s="521"/>
    </x:row>
    <x:row r="11" ht="22" customHeight="1">
      <x:c r="A11" s="512" t="str">
        <x:v>Registered Control Lotteries</x:v>
      </x:c>
      <x:c r="B11" s="512"/>
      <x:c r="C11" s="512"/>
      <x:c r="D11" s="512"/>
      <x:c r="E11" s="512"/>
      <x:c r="F11" s="512"/>
      <x:c r="G11" s="512"/>
      <x:c r="H11" s="512"/>
      <x:c r="I11" s="512"/>
      <x:c r="J11" s="512"/>
      <x:c r="K11" s="512"/>
      <x:c r="L11" s="512"/>
      <x:c r="M11" s="512"/>
      <x:c r="N11" s="512"/>
    </x:row>
    <x:row r="12">
      <x:c r="A12" s="548" t="str">
        <x:v>Lottery ID</x:v>
      </x:c>
      <x:c r="B12" s="549" t="str">
        <x:v>Name</x:v>
      </x:c>
      <x:c r="C12" s="549" t="str">
        <x:v>Jurisdiction</x:v>
      </x:c>
      <x:c r="D12" s="549" t="str">
        <x:v>Official URL</x:v>
      </x:c>
      <x:c r="E12" s="549" t="str">
        <x:v>Main Pool</x:v>
      </x:c>
      <x:c r="F12" s="549" t="str">
        <x:v>Main Pick</x:v>
      </x:c>
      <x:c r="G12" s="549" t="str">
        <x:v>Bonus Pool</x:v>
      </x:c>
      <x:c r="H12" s="549" t="str">
        <x:v>Bonus Pick</x:v>
      </x:c>
      <x:c r="I12" s="549" t="str">
        <x:v>Status</x:v>
      </x:c>
      <x:c r="J12" s="550" t="str">
        <x:v>Local History</x:v>
      </x:c>
    </x:row>
    <x:row r="13">
      <x:c r="A13" s="533" t="str">
        <x:v>eurojackpot</x:v>
      </x:c>
      <x:c r="B13" s="296" t="str">
        <x:v>EuroJackpot</x:v>
      </x:c>
      <x:c r="C13" s="296" t="str">
        <x:v>Europe</x:v>
      </x:c>
      <x:c r="D13" s="330" t="str">
        <x:v>https://www.eurojackpot.com/</x:v>
      </x:c>
      <x:c r="E13" s="296" t="n">
        <x:v>50</x:v>
      </x:c>
      <x:c r="F13" s="296" t="n">
        <x:v>5</x:v>
      </x:c>
      <x:c r="G13" s="296" t="n">
        <x:v>12</x:v>
      </x:c>
      <x:c r="H13" s="296" t="n">
        <x:v>2</x:v>
      </x:c>
      <x:c r="I13" s="330" t="str">
        <x:v>canonical-local</x:v>
      </x:c>
      <x:c r="J13" s="527"/>
    </x:row>
    <x:row r="14">
      <x:c r="A14" s="533" t="str">
        <x:v>euromillions</x:v>
      </x:c>
      <x:c r="B14" s="296" t="str">
        <x:v>EuroMillions</x:v>
      </x:c>
      <x:c r="C14" s="296" t="str">
        <x:v>Europe</x:v>
      </x:c>
      <x:c r="D14" s="330" t="str">
        <x:v>https://www.euro-millions.com/results</x:v>
      </x:c>
      <x:c r="E14" s="296" t="n">
        <x:v>50</x:v>
      </x:c>
      <x:c r="F14" s="296" t="n">
        <x:v>5</x:v>
      </x:c>
      <x:c r="G14" s="296" t="n">
        <x:v>12</x:v>
      </x:c>
      <x:c r="H14" s="296" t="n">
        <x:v>2</x:v>
      </x:c>
      <x:c r="I14" s="330" t="str">
        <x:v>adapter-ready</x:v>
      </x:c>
      <x:c r="J14" s="527"/>
    </x:row>
    <x:row r="15">
      <x:c r="A15" s="533" t="str">
        <x:v>joker-gr</x:v>
      </x:c>
      <x:c r="B15" s="296" t="str">
        <x:v>Joker</x:v>
      </x:c>
      <x:c r="C15" s="296" t="str">
        <x:v>Greece</x:v>
      </x:c>
      <x:c r="D15" s="330" t="str">
        <x:v>https://corporate.opap.gr/</x:v>
      </x:c>
      <x:c r="E15" s="296" t="n">
        <x:v>45</x:v>
      </x:c>
      <x:c r="F15" s="296" t="n">
        <x:v>5</x:v>
      </x:c>
      <x:c r="G15" s="296" t="n">
        <x:v>20</x:v>
      </x:c>
      <x:c r="H15" s="296" t="n">
        <x:v>1</x:v>
      </x:c>
      <x:c r="I15" s="330" t="str">
        <x:v>adapter-ready</x:v>
      </x:c>
      <x:c r="J15" s="527"/>
    </x:row>
    <x:row r="16">
      <x:c r="A16" s="533" t="str">
        <x:v>megamillions</x:v>
      </x:c>
      <x:c r="B16" s="296" t="str">
        <x:v>Mega Millions</x:v>
      </x:c>
      <x:c r="C16" s="296" t="str">
        <x:v>United States</x:v>
      </x:c>
      <x:c r="D16" s="330" t="str">
        <x:v>https://www.megamillions.com/Winning-Numbers.aspx</x:v>
      </x:c>
      <x:c r="E16" s="296"/>
      <x:c r="F16" s="296" t="n">
        <x:v>5</x:v>
      </x:c>
      <x:c r="G16" s="296"/>
      <x:c r="H16" s="296" t="n">
        <x:v>1</x:v>
      </x:c>
      <x:c r="I16" s="330" t="str">
        <x:v>rule-version-import-required</x:v>
      </x:c>
      <x:c r="J16" s="527"/>
    </x:row>
    <x:row r="17">
      <x:c r="A17" s="534" t="str">
        <x:v>powerball</x:v>
      </x:c>
      <x:c r="B17" s="535" t="str">
        <x:v>Powerball</x:v>
      </x:c>
      <x:c r="C17" s="535" t="str">
        <x:v>United States</x:v>
      </x:c>
      <x:c r="D17" s="551" t="str">
        <x:v>https://www.powerball.com/previous-results?game=pb</x:v>
      </x:c>
      <x:c r="E17" s="535" t="n">
        <x:v>69</x:v>
      </x:c>
      <x:c r="F17" s="535" t="n">
        <x:v>5</x:v>
      </x:c>
      <x:c r="G17" s="535" t="n">
        <x:v>26</x:v>
      </x:c>
      <x:c r="H17" s="535" t="n">
        <x:v>1</x:v>
      </x:c>
      <x:c r="I17" s="551" t="str">
        <x:v>adapter-ready</x:v>
      </x:c>
      <x:c r="J17" s="552"/>
    </x:row>
    <x:row r="19">
      <x:c r="A19" s="559" t="str">
        <x:v>Cross-lottery histories are controls, not EuroJackpot training data. Number identities are never transferred between games. Each history must be segmented by its own rule versions and converted to scale-free features before comparison. The present self-test uses a synthetic fair control until verified local histories are imported.</x:v>
      </x:c>
      <x:c r="B19" s="559"/>
      <x:c r="C19" s="559"/>
      <x:c r="D19" s="559"/>
      <x:c r="E19" s="559"/>
      <x:c r="F19" s="559"/>
      <x:c r="G19" s="559"/>
      <x:c r="H19" s="559"/>
      <x:c r="I19" s="559"/>
      <x:c r="J19" s="559"/>
      <x:c r="K19" s="559"/>
      <x:c r="L19" s="559"/>
      <x:c r="M19" s="559"/>
      <x:c r="N19" s="559"/>
    </x:row>
    <x:row r="20">
      <x:c r="A20" s="559"/>
      <x:c r="B20" s="559"/>
      <x:c r="C20" s="559"/>
      <x:c r="D20" s="559"/>
      <x:c r="E20" s="559"/>
      <x:c r="F20" s="559"/>
      <x:c r="G20" s="559"/>
      <x:c r="H20" s="559"/>
      <x:c r="I20" s="559"/>
      <x:c r="J20" s="559"/>
      <x:c r="K20" s="559"/>
      <x:c r="L20" s="559"/>
      <x:c r="M20" s="559"/>
      <x:c r="N20" s="559"/>
    </x:row>
    <x:row r="21">
      <x:c r="A21" s="559"/>
      <x:c r="B21" s="559"/>
      <x:c r="C21" s="559"/>
      <x:c r="D21" s="559"/>
      <x:c r="E21" s="559"/>
      <x:c r="F21" s="559"/>
      <x:c r="G21" s="559"/>
      <x:c r="H21" s="559"/>
      <x:c r="I21" s="559"/>
      <x:c r="J21" s="559"/>
      <x:c r="K21" s="559"/>
      <x:c r="L21" s="559"/>
      <x:c r="M21" s="559"/>
      <x:c r="N21" s="559"/>
    </x:row>
    <x:row r="22">
      <x:c r="A22" s="559"/>
      <x:c r="B22" s="559"/>
      <x:c r="C22" s="559"/>
      <x:c r="D22" s="559"/>
      <x:c r="E22" s="559"/>
      <x:c r="F22" s="559"/>
      <x:c r="G22" s="559"/>
      <x:c r="H22" s="559"/>
      <x:c r="I22" s="559"/>
      <x:c r="J22" s="559"/>
      <x:c r="K22" s="559"/>
      <x:c r="L22" s="559"/>
      <x:c r="M22" s="559"/>
      <x:c r="N22" s="559"/>
    </x:row>
    <x:row r="23">
      <x:c r="A23" s="559"/>
      <x:c r="B23" s="559"/>
      <x:c r="C23" s="559"/>
      <x:c r="D23" s="559"/>
      <x:c r="E23" s="559"/>
      <x:c r="F23" s="559"/>
      <x:c r="G23" s="559"/>
      <x:c r="H23" s="559"/>
      <x:c r="I23" s="559"/>
      <x:c r="J23" s="559"/>
      <x:c r="K23" s="559"/>
      <x:c r="L23" s="559"/>
      <x:c r="M23" s="559"/>
      <x:c r="N23" s="559"/>
    </x:row>
  </x:sheetData>
  <x:mergeCells>
    <x:mergeCell ref="A1:N1"/>
    <x:mergeCell ref="A11:N11"/>
    <x:mergeCell ref="A19:N23"/>
  </x:mergeCells>
  <x:conditionalFormatting sqref="E4:E9">
    <x:cfRule type="dataBar" priority="1">
      <x:dataBar>
        <x:cfvo type="min"/>
        <x:cfvo type="max"/>
        <x:color rgb="FF6B4F8A"/>
      </x:dataBar>
      <x:extLst>
        <x:ext xmlns:x14="http://schemas.microsoft.com/office/spreadsheetml/2009/9/main" uri="{B025F937-C7B1-47D3-B67F-A62EFF666E3E}">
          <x14:id>{FAA48F28-A8D2-4E15-6BC1-780C08ED642C}</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FAA48F28-A8D2-4E15-6BC1-780C08ED642C}">
            <x14:dataBar gradient="1">
              <x14:cfvo type="min"/>
              <x14:cfvo type="max"/>
              <x14:fillColor rgb="FF6B4F8A"/>
            </x14:dataBar>
          </x14:cfRule>
          <xm:sqref>E4:E9</xm:sqref>
        </x14:conditionalFormatting>
      </x14:conditionalFormattings>
    </x:ext>
  </x:extLst>
</x:worksheet>
</file>

<file path=xl/worksheets/sheet41.xml><?xml version="1.0" encoding="utf-8"?>
<x:worksheet xmlns:x="http://schemas.openxmlformats.org/spreadsheetml/2006/main">
  <x:sheetFormatPr defaultRowHeight="15"/>
  <x:cols>
    <x:col min="1" max="1" width="27" hidden="0" customWidth="1"/>
    <x:col min="2" max="2" width="12" hidden="0" customWidth="1"/>
    <x:col min="3" max="3" width="16" hidden="0" customWidth="1"/>
    <x:col min="4" max="4" width="23" hidden="0" customWidth="1"/>
    <x:col min="5" max="5" width="19" hidden="0" customWidth="1"/>
    <x:col min="6" max="6" width="58" hidden="0" customWidth="1"/>
    <x:col min="7" max="7" width="28" hidden="0" customWidth="1"/>
    <x:col min="9" max="9" width="26" hidden="0" customWidth="1"/>
    <x:col min="10" max="10" width="16" hidden="0" customWidth="1"/>
    <x:col min="11" max="11" width="16" hidden="0" customWidth="1"/>
  </x:cols>
  <x:sheetData>
    <x:row r="1" ht="30" customHeight="1">
      <x:c r="A1" s="615" t="str">
        <x:v>Budget and Coverage Efficient Frontier</x:v>
      </x:c>
      <x:c r="B1" s="615"/>
      <x:c r="C1" s="615"/>
      <x:c r="D1" s="615"/>
      <x:c r="E1" s="615"/>
      <x:c r="F1" s="615"/>
      <x:c r="G1" s="615"/>
      <x:c r="H1" s="615"/>
      <x:c r="I1" s="615"/>
      <x:c r="J1" s="615"/>
      <x:c r="K1" s="615"/>
      <x:c r="L1" s="615"/>
      <x:c r="M1" s="615"/>
      <x:c r="N1" s="260"/>
      <x:c r="O1" s="260"/>
      <x:c r="P1" s="260"/>
      <x:c r="Q1" s="260"/>
      <x:c r="R1" s="260"/>
      <x:c r="S1" s="260"/>
      <x:c r="T1" s="260"/>
      <x:c r="U1" s="260"/>
      <x:c r="V1" s="260"/>
      <x:c r="W1" s="260"/>
      <x:c r="X1" s="260"/>
      <x:c r="Y1" s="260"/>
      <x:c r="Z1" s="260"/>
    </x:row>
    <x:row r="3">
      <x:c r="A3" s="548" t="str">
        <x:v>Tier</x:v>
      </x:c>
      <x:c r="B3" s="549" t="str">
        <x:v>Lines</x:v>
      </x:c>
      <x:c r="C3" s="549" t="str">
        <x:v>Cost</x:v>
      </x:c>
      <x:c r="D3" s="549" t="str">
        <x:v>Jackpot Probability</x:v>
      </x:c>
      <x:c r="E3" s="549" t="str">
        <x:v>Coverage Multiple</x:v>
      </x:c>
      <x:c r="F3" s="549" t="str">
        <x:v>Strategy</x:v>
      </x:c>
      <x:c r="G3" s="550" t="str">
        <x:v>Guarantee</x:v>
      </x:c>
      <x:c r="I3" t="str">
        <x:v>Tier</x:v>
      </x:c>
      <x:c r="J3" t="str">
        <x:v>Cost</x:v>
      </x:c>
      <x:c r="K3" t="str">
        <x:v>Coverage</x:v>
      </x:c>
    </x:row>
    <x:row r="4">
      <x:c r="A4" s="533" t="str">
        <x:v>Frozen original</x:v>
      </x:c>
      <x:c r="B4" s="296" t="n">
        <x:v>5</x:v>
      </x:c>
      <x:c r="C4" s="314" t="n">
        <x:v>12.5</x:v>
      </x:c>
      <x:c r="D4" s="336" t="n">
        <x:v>3.575561921009258e-8</x:v>
      </x:c>
      <x:c r="E4" s="296" t="n">
        <x:v>5</x:v>
      </x:c>
      <x:c r="F4" s="330" t="str">
        <x:v>Five frozen lines</x:v>
      </x:c>
      <x:c r="G4" s="527" t="str">
        <x:v>None</x:v>
      </x:c>
      <x:c r="I4" t="str">
        <x:v>Frozen original</x:v>
      </x:c>
      <x:c r="J4" t="n">
        <x:v>12.5</x:v>
      </x:c>
      <x:c r="K4" t="n">
        <x:v>5</x:v>
      </x:c>
    </x:row>
    <x:row r="5">
      <x:c r="A5" s="533" t="str">
        <x:v>Diversified 10</x:v>
      </x:c>
      <x:c r="B5" s="296" t="n">
        <x:v>10</x:v>
      </x:c>
      <x:c r="C5" s="314" t="n">
        <x:v>25</x:v>
      </x:c>
      <x:c r="D5" s="336" t="n">
        <x:v>7.151123842018516e-8</x:v>
      </x:c>
      <x:c r="E5" s="296" t="n">
        <x:v>10</x:v>
      </x:c>
      <x:c r="F5" s="330" t="str">
        <x:v>Low-overlap experimental portfolio</x:v>
      </x:c>
      <x:c r="G5" s="527" t="str">
        <x:v>None</x:v>
      </x:c>
      <x:c r="I5" t="str">
        <x:v>Diversified 10</x:v>
      </x:c>
      <x:c r="J5" t="n">
        <x:v>25</x:v>
      </x:c>
      <x:c r="K5" t="n">
        <x:v>10</x:v>
      </x:c>
    </x:row>
    <x:row r="6">
      <x:c r="A6" s="533" t="str">
        <x:v>Diversified 20</x:v>
      </x:c>
      <x:c r="B6" s="296" t="n">
        <x:v>20</x:v>
      </x:c>
      <x:c r="C6" s="314" t="n">
        <x:v>50</x:v>
      </x:c>
      <x:c r="D6" s="336" t="n">
        <x:v>1.4302247684037032e-7</x:v>
      </x:c>
      <x:c r="E6" s="296" t="n">
        <x:v>20</x:v>
      </x:c>
      <x:c r="F6" s="330" t="str">
        <x:v>Expanded low-overlap portfolio</x:v>
      </x:c>
      <x:c r="G6" s="527" t="str">
        <x:v>None</x:v>
      </x:c>
      <x:c r="I6" t="str">
        <x:v>Diversified 20</x:v>
      </x:c>
      <x:c r="J6" t="n">
        <x:v>50</x:v>
      </x:c>
      <x:c r="K6" t="n">
        <x:v>20</x:v>
      </x:c>
    </x:row>
    <x:row r="7">
      <x:c r="A7" s="533" t="str">
        <x:v>Compact pair wheel</x:v>
      </x:c>
      <x:c r="B7" s="296" t="n">
        <x:v>54</x:v>
      </x:c>
      <x:c r="C7" s="314" t="n">
        <x:v>135</x:v>
      </x:c>
      <x:c r="D7" s="336" t="n">
        <x:v>3.861606874689999e-7</x:v>
      </x:c>
      <x:c r="E7" s="296" t="n">
        <x:v>54</x:v>
      </x:c>
      <x:c r="F7" s="330" t="str">
        <x:v>All selected-pool main pairs × 4-number Euro pairs</x:v>
      </x:c>
      <x:c r="G7" s="527" t="str">
        <x:v>Conditional ≥2+2</x:v>
      </x:c>
      <x:c r="I7" t="str">
        <x:v>Compact pair wheel</x:v>
      </x:c>
      <x:c r="J7" t="n">
        <x:v>135</x:v>
      </x:c>
      <x:c r="K7" t="n">
        <x:v>54</x:v>
      </x:c>
    </x:row>
    <x:row r="8">
      <x:c r="A8" s="533" t="str">
        <x:v>Extended pair wheel</x:v>
      </x:c>
      <x:c r="B8" s="296" t="n">
        <x:v>135</x:v>
      </x:c>
      <x:c r="C8" s="314" t="n">
        <x:v>337.5</x:v>
      </x:c>
      <x:c r="D8" s="336" t="n">
        <x:v>9.654017186724997e-7</x:v>
      </x:c>
      <x:c r="E8" s="296" t="n">
        <x:v>135</x:v>
      </x:c>
      <x:c r="F8" s="330" t="str">
        <x:v>All selected-pool main pairs × 6-number Euro pairs</x:v>
      </x:c>
      <x:c r="G8" s="527" t="str">
        <x:v>Conditional ≥2+2</x:v>
      </x:c>
      <x:c r="I8" t="str">
        <x:v>Extended pair wheel</x:v>
      </x:c>
      <x:c r="J8" t="n">
        <x:v>337.5</x:v>
      </x:c>
      <x:c r="K8" t="n">
        <x:v>135</x:v>
      </x:c>
    </x:row>
    <x:row r="9">
      <x:c r="A9" s="533" t="str">
        <x:v>Compact triple wheel</x:v>
      </x:c>
      <x:c r="B9" s="296" t="n">
        <x:v>198</x:v>
      </x:c>
      <x:c r="C9" s="314" t="n">
        <x:v>495</x:v>
      </x:c>
      <x:c r="D9" s="336" t="n">
        <x:v>0.0000014159225207196663</x:v>
      </x:c>
      <x:c r="E9" s="296" t="n">
        <x:v>198</x:v>
      </x:c>
      <x:c r="F9" s="330" t="str">
        <x:v>All selected-pool main triples × 4-number Euro pairs</x:v>
      </x:c>
      <x:c r="G9" s="527" t="str">
        <x:v>Conditional ≥3+2</x:v>
      </x:c>
      <x:c r="I9" t="str">
        <x:v>Compact triple wheel</x:v>
      </x:c>
      <x:c r="J9" t="n">
        <x:v>495</x:v>
      </x:c>
      <x:c r="K9" t="n">
        <x:v>198</x:v>
      </x:c>
    </x:row>
    <x:row r="10">
      <x:c r="A10" s="533" t="str">
        <x:v>Extended triple wheel</x:v>
      </x:c>
      <x:c r="B10" s="296" t="n">
        <x:v>495</x:v>
      </x:c>
      <x:c r="C10" s="314" t="n">
        <x:v>1237.5</x:v>
      </x:c>
      <x:c r="D10" s="336" t="n">
        <x:v>0.0000035398063017991657</x:v>
      </x:c>
      <x:c r="E10" s="296" t="n">
        <x:v>495</x:v>
      </x:c>
      <x:c r="F10" s="330" t="str">
        <x:v>All selected-pool main triples × 6-number Euro pairs</x:v>
      </x:c>
      <x:c r="G10" s="527" t="str">
        <x:v>Conditional ≥3+2</x:v>
      </x:c>
      <x:c r="I10" t="str">
        <x:v>Extended triple wheel</x:v>
      </x:c>
      <x:c r="J10" t="n">
        <x:v>1237.5</x:v>
      </x:c>
      <x:c r="K10" t="n">
        <x:v>495</x:v>
      </x:c>
    </x:row>
    <x:row r="11">
      <x:c r="A11" s="534" t="str">
        <x:v>Full selected-pool wheel</x:v>
      </x:c>
      <x:c r="B11" s="535" t="n">
        <x:v>11880</x:v>
      </x:c>
      <x:c r="C11" s="584" t="n">
        <x:v>29700</x:v>
      </x:c>
      <x:c r="D11" s="585" t="n">
        <x:v>0.00008495535124317997</x:v>
      </x:c>
      <x:c r="E11" s="535" t="n">
        <x:v>11880</x:v>
      </x:c>
      <x:c r="F11" s="551" t="str">
        <x:v>All 5-subsets of 12 × all 2-subsets of 6</x:v>
      </x:c>
      <x:c r="G11" s="552" t="str">
        <x:v>Conditional exact 5+2</x:v>
      </x:c>
      <x:c r="I11" t="str">
        <x:v>Full selected-pool wheel</x:v>
      </x:c>
      <x:c r="J11" t="n">
        <x:v>29700</x:v>
      </x:c>
      <x:c r="K11" t="n">
        <x:v>11880</x:v>
      </x:c>
    </x:row>
    <x:row r="13">
      <x:c r="A13" s="559" t="str">
        <x:v>The frontier is descriptive, not a spending recommendation. Each additional unique line increases total jackpot coverage exactly, but expected loss normally also increases with expenditure. Conditional wheel guarantees apply only when winning numbers fall inside the selected pools.</x:v>
      </x:c>
      <x:c r="B13" s="559"/>
      <x:c r="C13" s="559"/>
      <x:c r="D13" s="559"/>
      <x:c r="E13" s="559"/>
      <x:c r="F13" s="559"/>
      <x:c r="G13" s="559"/>
    </x:row>
    <x:row r="14">
      <x:c r="A14" s="559"/>
      <x:c r="B14" s="559"/>
      <x:c r="C14" s="559"/>
      <x:c r="D14" s="559"/>
      <x:c r="E14" s="559"/>
      <x:c r="F14" s="559"/>
      <x:c r="G14" s="559"/>
    </x:row>
    <x:row r="15">
      <x:c r="A15" s="559"/>
      <x:c r="B15" s="559"/>
      <x:c r="C15" s="559"/>
      <x:c r="D15" s="559"/>
      <x:c r="E15" s="559"/>
      <x:c r="F15" s="559"/>
      <x:c r="G15" s="559"/>
    </x:row>
    <x:row r="16">
      <x:c r="A16" s="559"/>
      <x:c r="B16" s="559"/>
      <x:c r="C16" s="559"/>
      <x:c r="D16" s="559"/>
      <x:c r="E16" s="559"/>
      <x:c r="F16" s="559"/>
      <x:c r="G16" s="559"/>
    </x:row>
    <x:row r="17">
      <x:c r="A17" s="559"/>
      <x:c r="B17" s="559"/>
      <x:c r="C17" s="559"/>
      <x:c r="D17" s="559"/>
      <x:c r="E17" s="559"/>
      <x:c r="F17" s="559"/>
      <x:c r="G17" s="559"/>
    </x:row>
  </x:sheetData>
  <x:mergeCells>
    <x:mergeCell ref="A1:M1"/>
    <x:mergeCell ref="A13:G17"/>
  </x:mergeCells>
  <x:pageMargins left="0.7" right="0.7" top="0.75" bottom="0.75" header="0.3" footer="0.3"/>
  <x:drawing xmlns:r="http://schemas.openxmlformats.org/officeDocument/2006/relationships" r:id="R73b3804311234eb1"/>
</x:worksheet>
</file>

<file path=xl/worksheets/sheet42.xml><?xml version="1.0" encoding="utf-8"?>
<x:worksheet xmlns:x="http://schemas.openxmlformats.org/spreadsheetml/2006/main">
  <x:sheetFormatPr defaultRowHeight="15"/>
  <x:cols>
    <x:col min="1" max="1" width="18" hidden="0" customWidth="1"/>
    <x:col min="2" max="2" width="20" hidden="0" customWidth="1"/>
    <x:col min="3" max="3" width="35" hidden="0" customWidth="1"/>
    <x:col min="4" max="4" width="72" hidden="0" customWidth="1"/>
    <x:col min="5" max="5" width="15" hidden="0" customWidth="1"/>
    <x:col min="6" max="6" width="28" hidden="0" customWidth="1"/>
    <x:col min="7" max="7" width="24" hidden="0" customWidth="1"/>
    <x:col min="8" max="8" width="22" hidden="0" customWidth="1"/>
  </x:cols>
  <x:sheetData>
    <x:row r="1" ht="30" customHeight="1">
      <x:c r="A1" s="615" t="str">
        <x:v>Operational Source and Adapter Registry</x:v>
      </x:c>
      <x:c r="B1" s="615"/>
      <x:c r="C1" s="615"/>
      <x:c r="D1" s="615"/>
      <x:c r="E1" s="615"/>
      <x:c r="F1" s="615"/>
      <x:c r="G1" s="615"/>
      <x:c r="H1" s="615"/>
      <x:c r="I1" s="615"/>
      <x:c r="J1" s="615"/>
      <x:c r="K1" s="615"/>
      <x:c r="L1" s="615"/>
      <x:c r="M1" s="260"/>
      <x:c r="N1" s="260"/>
      <x:c r="O1" s="260"/>
      <x:c r="P1" s="260"/>
      <x:c r="Q1" s="260"/>
      <x:c r="R1" s="260"/>
      <x:c r="S1" s="260"/>
      <x:c r="T1" s="260"/>
      <x:c r="U1" s="260"/>
      <x:c r="V1" s="260"/>
      <x:c r="W1" s="260"/>
      <x:c r="X1" s="260"/>
      <x:c r="Y1" s="260"/>
      <x:c r="Z1" s="260"/>
    </x:row>
    <x:row r="3">
      <x:c r="A3" s="548" t="str">
        <x:v>Source ID</x:v>
      </x:c>
      <x:c r="B3" s="549" t="str">
        <x:v>Lottery</x:v>
      </x:c>
      <x:c r="C3" s="549" t="str">
        <x:v>Source Name</x:v>
      </x:c>
      <x:c r="D3" s="549" t="str">
        <x:v>Source URL</x:v>
      </x:c>
      <x:c r="E3" s="549" t="str">
        <x:v>Type</x:v>
      </x:c>
      <x:c r="F3" s="549" t="str">
        <x:v>Verification Role</x:v>
      </x:c>
      <x:c r="G3" s="549" t="str">
        <x:v>Adapter Status</x:v>
      </x:c>
      <x:c r="H3" s="550" t="str">
        <x:v>Last Checked UTC</x:v>
      </x:c>
    </x:row>
    <x:row r="4">
      <x:c r="A4" s="533" t="str">
        <x:v>ej-official</x:v>
      </x:c>
      <x:c r="B4" s="296" t="str">
        <x:v>EuroJackpot</x:v>
      </x:c>
      <x:c r="C4" s="296" t="str">
        <x:v>EuroJackpot official results</x:v>
      </x:c>
      <x:c r="D4" s="330" t="str">
        <x:v>https://www.eurojackpot.com/</x:v>
      </x:c>
      <x:c r="E4" s="330" t="str">
        <x:v>html</x:v>
      </x:c>
      <x:c r="F4" s="330" t="str">
        <x:v>primary-current</x:v>
      </x:c>
      <x:c r="G4" s="330" t="str">
        <x:v>manual/generic-adapter</x:v>
      </x:c>
      <x:c r="H4" s="527"/>
    </x:row>
    <x:row r="5">
      <x:c r="A5" s="533" t="str">
        <x:v>ej-opap</x:v>
      </x:c>
      <x:c r="B5" s="296" t="str">
        <x:v>EuroJackpot</x:v>
      </x:c>
      <x:c r="C5" s="296" t="str">
        <x:v>OPAP EuroJackpot</x:v>
      </x:c>
      <x:c r="D5" s="330" t="str">
        <x:v>https://www.opap.gr/en/how-to-play-eurojackpot</x:v>
      </x:c>
      <x:c r="E5" s="330" t="str">
        <x:v>html</x:v>
      </x:c>
      <x:c r="F5" s="330" t="str">
        <x:v>Greek rules/price</x:v>
      </x:c>
      <x:c r="G5" s="330" t="str">
        <x:v>manual/generic-adapter</x:v>
      </x:c>
      <x:c r="H5" s="527"/>
    </x:row>
    <x:row r="6">
      <x:c r="A6" s="533" t="str">
        <x:v>ej-sachsen</x:v>
      </x:c>
      <x:c r="B6" s="296" t="str">
        <x:v>EuroJackpot</x:v>
      </x:c>
      <x:c r="C6" s="296" t="str">
        <x:v>Sachsenlotto archive</x:v>
      </x:c>
      <x:c r="D6" s="330" t="str">
        <x:v>https://www.sachsenlotto.de/portal/zahlen-quoten/gewinnzahlen/download-archiv/gewinnzahlen_download.jsp</x:v>
      </x:c>
      <x:c r="E6" s="330" t="str">
        <x:v>archive</x:v>
      </x:c>
      <x:c r="F6" s="330" t="str">
        <x:v>historical-cross-check</x:v>
      </x:c>
      <x:c r="G6" s="330" t="str">
        <x:v>manual/download</x:v>
      </x:c>
      <x:c r="H6" s="527"/>
    </x:row>
    <x:row r="7">
      <x:c r="A7" s="533" t="str">
        <x:v>euromillions</x:v>
      </x:c>
      <x:c r="B7" s="296" t="str">
        <x:v>EuroMillions</x:v>
      </x:c>
      <x:c r="C7" s="296" t="str">
        <x:v>EuroMillions official results</x:v>
      </x:c>
      <x:c r="D7" s="330" t="str">
        <x:v>https://www.euro-millions.com/results</x:v>
      </x:c>
      <x:c r="E7" s="330" t="str">
        <x:v>html</x:v>
      </x:c>
      <x:c r="F7" s="330" t="str">
        <x:v>cross-lottery control</x:v>
      </x:c>
      <x:c r="G7" s="330" t="str">
        <x:v>generic-import</x:v>
      </x:c>
      <x:c r="H7" s="527"/>
    </x:row>
    <x:row r="8">
      <x:c r="A8" s="533" t="str">
        <x:v>joker-opap</x:v>
      </x:c>
      <x:c r="B8" s="296" t="str">
        <x:v>Joker Greece</x:v>
      </x:c>
      <x:c r="C8" s="296" t="str">
        <x:v>OPAP draw results</x:v>
      </x:c>
      <x:c r="D8" s="330" t="str">
        <x:v>https://corporate.opap.gr/</x:v>
      </x:c>
      <x:c r="E8" s="330" t="str">
        <x:v>html</x:v>
      </x:c>
      <x:c r="F8" s="330" t="str">
        <x:v>cross-lottery control</x:v>
      </x:c>
      <x:c r="G8" s="330" t="str">
        <x:v>generic-import</x:v>
      </x:c>
      <x:c r="H8" s="527"/>
    </x:row>
    <x:row r="9">
      <x:c r="A9" s="533" t="str">
        <x:v>megamillions</x:v>
      </x:c>
      <x:c r="B9" s="296" t="str">
        <x:v>Mega Millions</x:v>
      </x:c>
      <x:c r="C9" s="296" t="str">
        <x:v>Mega Millions winning numbers</x:v>
      </x:c>
      <x:c r="D9" s="330" t="str">
        <x:v>https://www.megamillions.com/Winning-Numbers.aspx</x:v>
      </x:c>
      <x:c r="E9" s="330" t="str">
        <x:v>html</x:v>
      </x:c>
      <x:c r="F9" s="330" t="str">
        <x:v>cross-lottery control</x:v>
      </x:c>
      <x:c r="G9" s="330" t="str">
        <x:v>generic-import</x:v>
      </x:c>
      <x:c r="H9" s="527"/>
    </x:row>
    <x:row r="10">
      <x:c r="A10" s="534" t="str">
        <x:v>powerball</x:v>
      </x:c>
      <x:c r="B10" s="535" t="str">
        <x:v>Powerball</x:v>
      </x:c>
      <x:c r="C10" s="535" t="str">
        <x:v>Powerball previous results</x:v>
      </x:c>
      <x:c r="D10" s="551" t="str">
        <x:v>https://www.powerball.com/previous-results?game=pb</x:v>
      </x:c>
      <x:c r="E10" s="551" t="str">
        <x:v>html</x:v>
      </x:c>
      <x:c r="F10" s="551" t="str">
        <x:v>cross-lottery control</x:v>
      </x:c>
      <x:c r="G10" s="551" t="str">
        <x:v>generic-import</x:v>
      </x:c>
      <x:c r="H10" s="552"/>
    </x:row>
  </x:sheetData>
  <x:mergeCells>
    <x:mergeCell ref="A1:L1"/>
  </x:mergeCells>
  <x:pageMargins left="0.7" right="0.7" top="0.75" bottom="0.75" header="0.3" footer="0.3"/>
</x:worksheet>
</file>

<file path=xl/worksheets/sheet43.xml><?xml version="1.0" encoding="utf-8"?>
<x:worksheet xmlns:x="http://schemas.openxmlformats.org/spreadsheetml/2006/main">
  <x:sheetFormatPr defaultRowHeight="15"/>
  <x:cols>
    <x:col min="1" max="1" width="22" hidden="0" customWidth="1"/>
    <x:col min="2" max="2" width="32" hidden="0" customWidth="1"/>
    <x:col min="3" max="3" width="38" hidden="0" customWidth="1"/>
    <x:col min="4" max="4" width="37" hidden="0" customWidth="1"/>
    <x:col min="5" max="5" width="32" hidden="0" customWidth="1"/>
  </x:cols>
  <x:sheetData>
    <x:row r="1" ht="30" customHeight="1">
      <x:c r="A1" s="615" t="str">
        <x:v>Prospective Operating Schedule</x:v>
      </x:c>
      <x:c r="B1" s="615"/>
      <x:c r="C1" s="615"/>
      <x:c r="D1" s="615"/>
      <x:c r="E1" s="615"/>
      <x:c r="F1" s="615"/>
      <x:c r="G1" s="615"/>
      <x:c r="H1" s="615"/>
      <x:c r="I1" s="615"/>
      <x:c r="J1" s="615"/>
      <x:c r="K1" s="615"/>
      <x:c r="L1" s="615"/>
      <x:c r="M1" s="260"/>
      <x:c r="N1" s="260"/>
      <x:c r="O1" s="260"/>
      <x:c r="P1" s="260"/>
      <x:c r="Q1" s="260"/>
      <x:c r="R1" s="260"/>
      <x:c r="S1" s="260"/>
      <x:c r="T1" s="260"/>
      <x:c r="U1" s="260"/>
      <x:c r="V1" s="260"/>
      <x:c r="W1" s="260"/>
      <x:c r="X1" s="260"/>
      <x:c r="Y1" s="260"/>
      <x:c r="Z1" s="260"/>
    </x:row>
    <x:row r="3">
      <x:c r="A3" s="548" t="str">
        <x:v>Run</x:v>
      </x:c>
      <x:c r="B3" s="549" t="str">
        <x:v>Days</x:v>
      </x:c>
      <x:c r="C3" s="549" t="str">
        <x:v>Local Time</x:v>
      </x:c>
      <x:c r="D3" s="549" t="str">
        <x:v>Timing Mode</x:v>
      </x:c>
      <x:c r="E3" s="549" t="str">
        <x:v>Command</x:v>
      </x:c>
      <x:c r="F3" s="550" t="str">
        <x:v>Required Result</x:v>
      </x:c>
    </x:row>
    <x:row r="4">
      <x:c r="A4" s="533" t="str">
        <x:v>Pre-draw</x:v>
      </x:c>
      <x:c r="B4" s="296" t="str">
        <x:v>Tuesday / Friday</x:v>
      </x:c>
      <x:c r="C4" s="296" t="str">
        <x:v>18:30 Europe/Athens</x:v>
      </x:c>
      <x:c r="D4" s="296" t="str">
        <x:v>Exact</x:v>
      </x:c>
      <x:c r="E4" s="330" t="str">
        <x:v>python run_eurojackpot_v3_4_selftest.py</x:v>
      </x:c>
      <x:c r="F4" s="527" t="str">
        <x:v>Frozen registry record</x:v>
      </x:c>
    </x:row>
    <x:row r="5">
      <x:c r="A5" s="533" t="str">
        <x:v>Post-draw</x:v>
      </x:c>
      <x:c r="B5" s="296" t="str">
        <x:v>Tuesday / Friday</x:v>
      </x:c>
      <x:c r="C5" s="296" t="str">
        <x:v>After result publication</x:v>
      </x:c>
      <x:c r="D5" s="296" t="str">
        <x:v>Conditional</x:v>
      </x:c>
      <x:c r="E5" s="330" t="str">
        <x:v>post-draw scoring command</x:v>
      </x:c>
      <x:c r="F5" s="527" t="str">
        <x:v>Verified result + scores</x:v>
      </x:c>
    </x:row>
    <x:row r="6">
      <x:c r="A6" s="533" t="str">
        <x:v>Backup</x:v>
      </x:c>
      <x:c r="B6" s="296" t="str">
        <x:v>After every successful run</x:v>
      </x:c>
      <x:c r="C6" s="296" t="str">
        <x:v>Automatic</x:v>
      </x:c>
      <x:c r="D6" s="296" t="str">
        <x:v>Exact</x:v>
      </x:c>
      <x:c r="E6" s="330" t="str">
        <x:v>Versioned ZIP / SQLite backup</x:v>
      </x:c>
      <x:c r="F6" s="527" t="str">
        <x:v>Reproducible release</x:v>
      </x:c>
    </x:row>
    <x:row r="7">
      <x:c r="A7" s="533" t="str">
        <x:v>Champion review</x:v>
      </x:c>
      <x:c r="B7" s="296" t="str">
        <x:v>After every scored draw</x:v>
      </x:c>
      <x:c r="C7" s="296" t="str">
        <x:v>Automatic</x:v>
      </x:c>
      <x:c r="D7" s="296" t="str">
        <x:v>Conditional</x:v>
      </x:c>
      <x:c r="E7" s="330" t="str">
        <x:v>Evaluate all gates</x:v>
      </x:c>
      <x:c r="F7" s="527" t="str">
        <x:v>Uniform retained unless all pass</x:v>
      </x:c>
    </x:row>
    <x:row r="8">
      <x:c r="A8" s="534" t="str">
        <x:v>Manual audit</x:v>
      </x:c>
      <x:c r="B8" s="535" t="str">
        <x:v>Monthly</x:v>
      </x:c>
      <x:c r="C8" s="535" t="str">
        <x:v>Flexible</x:v>
      </x:c>
      <x:c r="D8" s="535" t="str">
        <x:v>Review</x:v>
      </x:c>
      <x:c r="E8" s="551" t="str">
        <x:v>Independent verifier + source audit</x:v>
      </x:c>
      <x:c r="F8" s="552" t="str">
        <x:v>Signed audit report</x:v>
      </x:c>
    </x:row>
    <x:row r="10" ht="22" customHeight="1">
      <x:c r="A10" s="512" t="str">
        <x:v>Post-Draw State Machine</x:v>
      </x:c>
      <x:c r="B10" s="512"/>
      <x:c r="C10" s="512"/>
      <x:c r="D10" s="512"/>
      <x:c r="E10" s="512"/>
      <x:c r="F10" s="512"/>
      <x:c r="G10" s="512"/>
      <x:c r="H10" s="512"/>
      <x:c r="I10" s="512"/>
      <x:c r="J10" s="512"/>
      <x:c r="K10" s="512"/>
      <x:c r="L10" s="512"/>
    </x:row>
    <x:row r="12">
      <x:c r="A12" s="548" t="str">
        <x:v>State</x:v>
      </x:c>
      <x:c r="B12" s="549" t="str">
        <x:v>Input</x:v>
      </x:c>
      <x:c r="C12" s="549" t="str">
        <x:v>Validation</x:v>
      </x:c>
      <x:c r="D12" s="549" t="str">
        <x:v>Output</x:v>
      </x:c>
      <x:c r="E12" s="550" t="str">
        <x:v>Failure Action</x:v>
      </x:c>
    </x:row>
    <x:row r="13">
      <x:c r="A13" s="533" t="str">
        <x:v>WAIT_RESULT</x:v>
      </x:c>
      <x:c r="B13" s="330" t="str">
        <x:v>Target draw</x:v>
      </x:c>
      <x:c r="C13" s="330" t="str">
        <x:v>No action before publication</x:v>
      </x:c>
      <x:c r="D13" s="330" t="str">
        <x:v>Pending record</x:v>
      </x:c>
      <x:c r="E13" s="527" t="str">
        <x:v>Remain pending</x:v>
      </x:c>
    </x:row>
    <x:row r="14">
      <x:c r="A14" s="533" t="str">
        <x:v>FETCH_PRIMARY</x:v>
      </x:c>
      <x:c r="B14" s="330" t="str">
        <x:v>Primary source result</x:v>
      </x:c>
      <x:c r="C14" s="330" t="str">
        <x:v>Range and uniqueness</x:v>
      </x:c>
      <x:c r="D14" s="330" t="str">
        <x:v>Candidate result</x:v>
      </x:c>
      <x:c r="E14" s="527" t="str">
        <x:v>Reject invalid</x:v>
      </x:c>
    </x:row>
    <x:row r="15">
      <x:c r="A15" s="533" t="str">
        <x:v>FETCH_SECONDARY</x:v>
      </x:c>
      <x:c r="B15" s="330" t="str">
        <x:v>Independent source result</x:v>
      </x:c>
      <x:c r="C15" s="330" t="str">
        <x:v>Exact agreement</x:v>
      </x:c>
      <x:c r="D15" s="330" t="str">
        <x:v>Verified result</x:v>
      </x:c>
      <x:c r="E15" s="527" t="str">
        <x:v>Do not append</x:v>
      </x:c>
    </x:row>
    <x:row r="16">
      <x:c r="A16" s="533" t="str">
        <x:v>APPEND</x:v>
      </x:c>
      <x:c r="B16" s="330" t="str">
        <x:v>Verified result</x:v>
      </x:c>
      <x:c r="C16" s="330" t="str">
        <x:v>No duplicate date</x:v>
      </x:c>
      <x:c r="D16" s="330" t="str">
        <x:v>Canonical database update</x:v>
      </x:c>
      <x:c r="E16" s="527" t="str">
        <x:v>Rollback</x:v>
      </x:c>
    </x:row>
    <x:row r="17">
      <x:c r="A17" s="533" t="str">
        <x:v>SCORE</x:v>
      </x:c>
      <x:c r="B17" s="330" t="str">
        <x:v>Frozen records</x:v>
      </x:c>
      <x:c r="C17" s="330" t="str">
        <x:v>Hash unchanged</x:v>
      </x:c>
      <x:c r="D17" s="330" t="str">
        <x:v>Hits and probability scores</x:v>
      </x:c>
      <x:c r="E17" s="527" t="str">
        <x:v>Block release</x:v>
      </x:c>
    </x:row>
    <x:row r="18">
      <x:c r="A18" s="534" t="str">
        <x:v>REVIEW</x:v>
      </x:c>
      <x:c r="B18" s="551" t="str">
        <x:v>Updated evidence</x:v>
      </x:c>
      <x:c r="C18" s="551" t="str">
        <x:v>All promotion gates</x:v>
      </x:c>
      <x:c r="D18" s="551" t="str">
        <x:v>Champion decision</x:v>
      </x:c>
      <x:c r="E18" s="552" t="str">
        <x:v>Keep uniform</x:v>
      </x:c>
    </x:row>
    <x:row r="21" ht="22" customHeight="1">
      <x:c r="A21" s="627" t="str">
        <x:v>EuroJackpot Prize Watch Integration</x:v>
      </x:c>
      <x:c r="B21" s="627"/>
      <x:c r="C21" s="627"/>
      <x:c r="D21" s="627"/>
      <x:c r="E21" s="627"/>
      <x:c r="F21" s="627"/>
      <x:c r="G21" s="627"/>
      <x:c r="H21" s="627"/>
      <x:c r="I21" s="627"/>
      <x:c r="J21" s="627"/>
      <x:c r="K21" s="627"/>
      <x:c r="L21" s="627"/>
    </x:row>
    <x:row r="23">
      <x:c r="A23" s="665" t="str">
        <x:v>Step</x:v>
      </x:c>
      <x:c r="B23" s="666" t="str">
        <x:v>Schedule / Trigger</x:v>
      </x:c>
      <x:c r="C23" s="666" t="str">
        <x:v>Action</x:v>
      </x:c>
      <x:c r="D23" s="666" t="str">
        <x:v>Machine Output</x:v>
      </x:c>
      <x:c r="E23" s="666" t="str">
        <x:v>Engine Command</x:v>
      </x:c>
      <x:c r="F23" s="667" t="str">
        <x:v>Probability Effect</x:v>
      </x:c>
    </x:row>
    <x:row r="24">
      <x:c r="A24" s="650" t="str">
        <x:v>Prize watch</x:v>
      </x:c>
      <x:c r="B24" s="296" t="str">
        <x:v>Tuesday / Friday 23:30 Europe/Athens</x:v>
      </x:c>
      <x:c r="C24" s="330" t="str">
        <x:v>Check jackpot, rollovers, cap, win/reset and overflow</x:v>
      </x:c>
      <x:c r="D24" s="330" t="str">
        <x:v>ENGINE_STATE_JSON</x:v>
      </x:c>
      <x:c r="E24" s="330" t="str">
        <x:v>Save JSON</x:v>
      </x:c>
      <x:c r="F24" s="643" t="str">
        <x:v>None</x:v>
      </x:c>
    </x:row>
    <x:row r="25">
      <x:c r="A25" s="650" t="str">
        <x:v>Import</x:v>
      </x:c>
      <x:c r="B25" s="296" t="str">
        <x:v>When alert is received</x:v>
      </x:c>
      <x:c r="C25" s="330" t="str">
        <x:v>Validate and append state</x:v>
      </x:c>
      <x:c r="D25" s="330" t="str">
        <x:v>SQLite jackpot_state row</x:v>
      </x:c>
      <x:c r="E25" s="330" t="str">
        <x:v>python eurojackpot_jackpot_state_v3_5.py --db EuroJackpot_Operational_v3_5.sqlite --json jackpot_state.json</x:v>
      </x:c>
      <x:c r="F25" s="643" t="str">
        <x:v>None</x:v>
      </x:c>
    </x:row>
    <x:row r="26">
      <x:c r="A26" s="650" t="str">
        <x:v>Re-optimise</x:v>
      </x:c>
      <x:c r="B26" s="296" t="str">
        <x:v>After accepted import</x:v>
      </x:c>
      <x:c r="C26" s="330" t="str">
        <x:v>Recompute portfolio mode and weights</x:v>
      </x:c>
      <x:c r="D26" s="330" t="str">
        <x:v>Strategy history row</x:v>
      </x:c>
      <x:c r="E26" s="330" t="str">
        <x:v>Automatic in importer</x:v>
      </x:c>
      <x:c r="F26" s="643" t="str">
        <x:v>None</x:v>
      </x:c>
    </x:row>
    <x:row r="27">
      <x:c r="A27" s="651" t="str">
        <x:v>Display</x:v>
      </x:c>
      <x:c r="B27" s="652" t="str">
        <x:v>After import</x:v>
      </x:c>
      <x:c r="C27" s="688" t="str">
        <x:v>Refresh workbook/app</x:v>
      </x:c>
      <x:c r="D27" s="688" t="str">
        <x:v>Updated dashboard</x:v>
      </x:c>
      <x:c r="E27" s="688" t="str">
        <x:v>python eurojackpot_desktop_app_v3_5.py</x:v>
      </x:c>
      <x:c r="F27" s="647" t="str">
        <x:v>None</x:v>
      </x:c>
    </x:row>
  </x:sheetData>
  <x:mergeCells>
    <x:mergeCell ref="A1:L1"/>
    <x:mergeCell ref="A10:L10"/>
    <x:mergeCell ref="A21:L21"/>
  </x:mergeCells>
  <x:pageMargins left="0.7" right="0.7" top="0.75" bottom="0.75" header="0.3" footer="0.3"/>
</x:worksheet>
</file>

<file path=xl/worksheets/sheet44.xml><?xml version="1.0" encoding="utf-8"?>
<x:worksheet xmlns:x="http://schemas.openxmlformats.org/spreadsheetml/2006/main">
  <x:sheetFormatPr defaultRowHeight="15"/>
  <x:cols>
    <x:col min="1" max="1" width="42" hidden="0" customWidth="1"/>
    <x:col min="2" max="2" width="78" hidden="0" customWidth="1"/>
  </x:cols>
  <x:sheetData>
    <x:row r="1" ht="30" customHeight="1">
      <x:c r="A1" s="615" t="str">
        <x:v>Local Desktop Application v3.4</x:v>
      </x:c>
      <x:c r="B1" s="615"/>
      <x:c r="C1" s="615"/>
      <x:c r="D1" s="615"/>
      <x:c r="E1" s="615"/>
      <x:c r="F1" s="615"/>
      <x:c r="G1" s="615"/>
      <x:c r="H1" s="615"/>
      <x:c r="I1" s="615"/>
      <x:c r="J1" s="615"/>
      <x:c r="K1" s="615"/>
      <x:c r="L1" s="615"/>
      <x:c r="M1" s="260"/>
      <x:c r="N1" s="260"/>
      <x:c r="O1" s="260"/>
      <x:c r="P1" s="260"/>
      <x:c r="Q1" s="260"/>
      <x:c r="R1" s="260"/>
      <x:c r="S1" s="260"/>
      <x:c r="T1" s="260"/>
      <x:c r="U1" s="260"/>
      <x:c r="V1" s="260"/>
      <x:c r="W1" s="260"/>
      <x:c r="X1" s="260"/>
      <x:c r="Y1" s="260"/>
      <x:c r="Z1" s="260"/>
    </x:row>
    <x:row r="3">
      <x:c r="A3" s="548" t="str">
        <x:v>Component</x:v>
      </x:c>
      <x:c r="B3" s="550" t="str">
        <x:v>Details</x:v>
      </x:c>
    </x:row>
    <x:row r="4">
      <x:c r="A4" s="533" t="str">
        <x:v>Application file</x:v>
      </x:c>
      <x:c r="B4" s="527" t="str">
        <x:v>eurojackpot_desktop_app_v3_4.py</x:v>
      </x:c>
    </x:row>
    <x:row r="5">
      <x:c r="A5" s="533" t="str">
        <x:v>Framework</x:v>
      </x:c>
      <x:c r="B5" s="527" t="str">
        <x:v>Python Tkinter — local, no web service required</x:v>
      </x:c>
    </x:row>
    <x:row r="6">
      <x:c r="A6" s="533" t="str">
        <x:v>Database</x:v>
      </x:c>
      <x:c r="B6" s="527" t="str">
        <x:v>EuroJackpot_Operational_v3_4.sqlite</x:v>
      </x:c>
    </x:row>
    <x:row r="7">
      <x:c r="A7" s="533" t="str">
        <x:v>Dashboard</x:v>
      </x:c>
      <x:c r="B7" s="527" t="str">
        <x:v>Champion, promotion decision, test status and schedule</x:v>
      </x:c>
    </x:row>
    <x:row r="8">
      <x:c r="A8" s="533" t="str">
        <x:v>Champion / Challengers tab</x:v>
      </x:c>
      <x:c r="B8" s="527" t="str">
        <x:v>Model roles, versions and gate states</x:v>
      </x:c>
    </x:row>
    <x:row r="9">
      <x:c r="A9" s="533" t="str">
        <x:v>Prediction Registry tab</x:v>
      </x:c>
      <x:c r="B9" s="527" t="str">
        <x:v>Frozen targets, lines, confidence and hashes</x:v>
      </x:c>
    </x:row>
    <x:row r="10">
      <x:c r="A10" s="533" t="str">
        <x:v>Audit tab</x:v>
      </x:c>
      <x:c r="B10" s="527" t="str">
        <x:v>Negative-control, leakage and independent-verification logs</x:v>
      </x:c>
    </x:row>
    <x:row r="11">
      <x:c r="A11" s="533" t="str">
        <x:v>Launch</x:v>
      </x:c>
      <x:c r="B11" s="527" t="str">
        <x:v>python eurojackpot_desktop_app_v3_4.py</x:v>
      </x:c>
    </x:row>
    <x:row r="12">
      <x:c r="A12" s="533" t="str">
        <x:v>Data privacy</x:v>
      </x:c>
      <x:c r="B12" s="527" t="str">
        <x:v>Local files only</x:v>
      </x:c>
    </x:row>
    <x:row r="13">
      <x:c r="A13" s="534" t="str">
        <x:v>Current limitation</x:v>
      </x:c>
      <x:c r="B13" s="552" t="str">
        <x:v>Official-source adapters require site-specific import configuration</x:v>
      </x:c>
    </x:row>
    <x:row r="15" ht="22" customHeight="1">
      <x:c r="A15" s="512" t="str">
        <x:v>Release Files</x:v>
      </x:c>
      <x:c r="B15" s="512"/>
      <x:c r="C15" s="512"/>
      <x:c r="D15" s="512"/>
      <x:c r="E15" s="512"/>
      <x:c r="F15" s="512"/>
      <x:c r="G15" s="512"/>
      <x:c r="H15" s="512"/>
      <x:c r="I15" s="512"/>
      <x:c r="J15" s="512"/>
      <x:c r="K15" s="512"/>
      <x:c r="L15" s="512"/>
    </x:row>
    <x:row r="17">
      <x:c r="A17" s="548" t="str">
        <x:v>File</x:v>
      </x:c>
      <x:c r="B17" s="550" t="str">
        <x:v>Purpose</x:v>
      </x:c>
    </x:row>
    <x:row r="18">
      <x:c r="A18" s="533" t="str">
        <x:v>eurojackpot_operational_v3_4.py</x:v>
      </x:c>
      <x:c r="B18" s="527" t="str">
        <x:v>Operational database, registry, power analysis, controls and frontier</x:v>
      </x:c>
    </x:row>
    <x:row r="19">
      <x:c r="A19" s="533" t="str">
        <x:v>eurojackpot_independent_verifier_v3_4.py</x:v>
      </x:c>
      <x:c r="B19" s="527" t="str">
        <x:v>Separate mathematical and wheel verifier</x:v>
      </x:c>
    </x:row>
    <x:row r="20">
      <x:c r="A20" s="533" t="str">
        <x:v>run_eurojackpot_v3_4_selftest.py</x:v>
      </x:c>
      <x:c r="B20" s="527" t="str">
        <x:v>Creates and tests the operational database</x:v>
      </x:c>
    </x:row>
    <x:row r="21">
      <x:c r="A21" s="533" t="str">
        <x:v>EuroJackpot_Operational_v3_4.sqlite</x:v>
      </x:c>
      <x:c r="B21" s="527" t="str">
        <x:v>Persistent local operational database</x:v>
      </x:c>
    </x:row>
    <x:row r="22">
      <x:c r="A22" s="533" t="str">
        <x:v>EuroJackpot_Operational_SelfTest_v3_4.json</x:v>
      </x:c>
      <x:c r="B22" s="527" t="str">
        <x:v>Machine-readable self-test evidence</x:v>
      </x:c>
    </x:row>
    <x:row r="23">
      <x:c r="A23" s="534" t="str">
        <x:v>EuroJackpot_v3_4_SCHEDULING.md</x:v>
      </x:c>
      <x:c r="B23" s="552" t="str">
        <x:v>Operating and scheduler instructions</x:v>
      </x:c>
    </x:row>
    <x:row r="25" ht="22" customHeight="1">
      <x:c r="A25" s="627" t="str">
        <x:v>v3.5 Jackpot-State Tab</x:v>
      </x:c>
      <x:c r="B25" s="627"/>
      <x:c r="C25" s="627"/>
      <x:c r="D25" s="627"/>
      <x:c r="E25" s="627"/>
      <x:c r="F25" s="627"/>
      <x:c r="G25" s="627"/>
      <x:c r="H25" s="627"/>
      <x:c r="I25" s="627"/>
      <x:c r="J25" s="627"/>
      <x:c r="K25" s="627"/>
      <x:c r="L25" s="627"/>
    </x:row>
    <x:row r="27">
      <x:c r="A27" s="665" t="str">
        <x:v>Component</x:v>
      </x:c>
      <x:c r="B27" s="667" t="str">
        <x:v>Details</x:v>
      </x:c>
    </x:row>
    <x:row r="28">
      <x:c r="A28" s="650" t="str">
        <x:v>Application file</x:v>
      </x:c>
      <x:c r="B28" s="643" t="str">
        <x:v>eurojackpot_desktop_app_v3_5.py</x:v>
      </x:c>
    </x:row>
    <x:row r="29">
      <x:c r="A29" s="650" t="str">
        <x:v>Jackpot State tab</x:v>
      </x:c>
      <x:c r="B29" s="643" t="str">
        <x:v>Latest verified jackpot, rollover, cap, overflow and fixed probabilities</x:v>
      </x:c>
    </x:row>
    <x:row r="30">
      <x:c r="A30" s="650" t="str">
        <x:v>Portfolio Mode tab</x:v>
      </x:c>
      <x:c r="B30" s="643" t="str">
        <x:v>State history and payout/diversity weights</x:v>
      </x:c>
    </x:row>
    <x:row r="31">
      <x:c r="A31" s="650" t="str">
        <x:v>Prediction Registry</x:v>
      </x:c>
      <x:c r="B31" s="643" t="str">
        <x:v>Unchanged frozen predictions</x:v>
      </x:c>
    </x:row>
    <x:row r="32">
      <x:c r="A32" s="651" t="str">
        <x:v>Audit</x:v>
      </x:c>
      <x:c r="B32" s="647" t="str">
        <x:v>Accepted/rejected jackpot-state imports</x:v>
      </x:c>
    </x:row>
  </x:sheetData>
  <x:mergeCells>
    <x:mergeCell ref="A1:L1"/>
    <x:mergeCell ref="A15:L15"/>
    <x:mergeCell ref="A25:L25"/>
  </x:mergeCells>
  <x:pageMargins left="0.7" right="0.7" top="0.75" bottom="0.75" header="0.3" footer="0.3"/>
</x:worksheet>
</file>

<file path=xl/worksheets/sheet45.xml><?xml version="1.0" encoding="utf-8"?>
<x:worksheet xmlns:x="http://schemas.openxmlformats.org/spreadsheetml/2006/main">
  <x:sheetFormatPr defaultRowHeight="15"/>
  <x:cols>
    <x:col min="1" max="1" width="8" hidden="0" customWidth="1"/>
    <x:col min="2" max="2" width="23" hidden="0" customWidth="1"/>
    <x:col min="3" max="3" width="21" hidden="0" customWidth="1"/>
    <x:col min="4" max="4" width="13" hidden="0" customWidth="1"/>
    <x:col min="5" max="5" width="45" hidden="0" customWidth="1"/>
    <x:col min="6" max="6" width="90" hidden="0" customWidth="1"/>
  </x:cols>
  <x:sheetData>
    <x:row r="1" ht="30" customHeight="1">
      <x:c r="A1" s="615" t="str">
        <x:v>Operational Audit Log</x:v>
      </x:c>
      <x:c r="B1" s="615"/>
      <x:c r="C1" s="615"/>
      <x:c r="D1" s="615"/>
      <x:c r="E1" s="615"/>
      <x:c r="F1" s="615"/>
      <x:c r="G1" s="615"/>
      <x:c r="H1" s="615"/>
      <x:c r="I1" s="615"/>
      <x:c r="J1" s="615"/>
      <x:c r="K1" s="615"/>
      <x:c r="L1" s="615"/>
      <x:c r="M1" s="615"/>
      <x:c r="N1" s="260"/>
      <x:c r="O1" s="260"/>
      <x:c r="P1" s="260"/>
      <x:c r="Q1" s="260"/>
      <x:c r="R1" s="260"/>
      <x:c r="S1" s="260"/>
      <x:c r="T1" s="260"/>
      <x:c r="U1" s="260"/>
      <x:c r="V1" s="260"/>
      <x:c r="W1" s="260"/>
      <x:c r="X1" s="260"/>
      <x:c r="Y1" s="260"/>
      <x:c r="Z1" s="260"/>
    </x:row>
    <x:row r="3">
      <x:c r="A3" s="548" t="str">
        <x:v>ID</x:v>
      </x:c>
      <x:c r="B3" s="549" t="str">
        <x:v>Created UTC</x:v>
      </x:c>
      <x:c r="C3" s="549" t="str">
        <x:v>Category</x:v>
      </x:c>
      <x:c r="D3" s="549" t="str">
        <x:v>Status</x:v>
      </x:c>
      <x:c r="E3" s="549" t="str">
        <x:v>Message</x:v>
      </x:c>
      <x:c r="F3" s="550" t="str">
        <x:v>Details JSON</x:v>
      </x:c>
    </x:row>
    <x:row r="4">
      <x:c r="A4" s="533" t="n">
        <x:v>1</x:v>
      </x:c>
      <x:c r="B4" s="586" t="n">
        <x:v>46229.50117206018</x:v>
      </x:c>
      <x:c r="C4" s="296" t="str">
        <x:v>selftest</x:v>
      </x:c>
      <x:c r="D4" s="296" t="str">
        <x:v>PASS</x:v>
      </x:c>
      <x:c r="E4" s="296" t="str">
        <x:v>Independent verification completed</x:v>
      </x:c>
      <x:c r="F4" s="527" t="str">
        <x:v>{"all_passed": true, "combination_space_independent": 139838160, "combination_space_main_engine": 139838160, "combination_space_passed": true, "jackpot_probability": 7.1511238420185165e-09, "registry_check": {"computed_hash": "09815f2cfd38b0c37fdb3e5ad8996c7a3f24c8ce08698edba5a13f89a7e1167c", "passed": true, "supplied_hash": "09815f2cfd38b0c37fdb3e5ad8996c7a3f24c8ce08698edba5a13f89a7e1167c"}, "wheel_checks": {"135": {"covered_subsets": 66, "expected_lines": 135, "missing_subsets": 0, "passed": true, "path": "/mnt/data/EuroJackpot_Wheel_135_Pair_Extended.csv", "required_subsets": 66, "rows": 135, "unique_lines": 135}, "198": {"covered_subsets": 220, "expected_lines": 198, "missing_subsets": 0, "passed": true, "path": "/mnt/data/EuroJackpot_Wheel_198_Triple_Compact.csv", "required_subsets": 220, "rows": 198, "unique_lines": 198}, "495": {"covered_subsets": 220, "expected_lines": 495, "missing_subsets": 0, "passed": true, "path": "/mnt/data/EuroJackpot_Wheel_495_Triple_Extended.csv", "required_subsets": 220, "rows": 495, "unique_lines": 495}, "54": {"covered_subsets": 66, "expected_lines": 54, "missing_subsets": 0, "passed": true, "path": "/mnt/data/EuroJackpot_Wheel_54_Pair_Compact.csv", "required_subsets": 66, "rows": 54, "unique_lines": 54}}}</x:v>
      </x:c>
    </x:row>
    <x:row r="5">
      <x:c r="A5" s="533" t="n">
        <x:v>2</x:v>
      </x:c>
      <x:c r="B5" s="586" t="n">
        <x:v>46229.501172083335</x:v>
      </x:c>
      <x:c r="C5" s="296" t="str">
        <x:v>leakage</x:v>
      </x:c>
      <x:c r="D5" s="296" t="str">
        <x:v>PASS</x:v>
      </x:c>
      <x:c r="E5" s="296" t="str">
        <x:v>Leakage challenge suite</x:v>
      </x:c>
      <x:c r="F5" s="527" t="str">
        <x:v>{"leaked": {"future_timestamp_violation": true, "passed": false, "suspicious": [{"column": 5, "correlation": 1.0, "reason": "near-target correlation"}, {"column": null, "correlation": null, "reason": "feature timestamp is not before target"}]}, "safe": {"future_timestamp_violation": false, "passed": true, "suspicious": []}}</x:v>
      </x:c>
    </x:row>
    <x:row r="6">
      <x:c r="A6" s="534" t="n">
        <x:v>3</x:v>
      </x:c>
      <x:c r="B6" s="587" t="n">
        <x:v>46229.501172118056</x:v>
      </x:c>
      <x:c r="C6" s="535" t="str">
        <x:v>negative-control</x:v>
      </x:c>
      <x:c r="D6" s="535" t="str">
        <x:v>PASS</x:v>
      </x:c>
      <x:c r="E6" s="535" t="str">
        <x:v>Negative-control experiment</x:v>
      </x:c>
      <x:c r="F6" s="552" t="str">
        <x:v>{"passed": true, "random_noise": {"brier": 0.0900481950355102, "mean_probability": 0.10000088581961705}, "real_features": {"brier": 0.09001778483013446, "mean_probability": 0.09988740334983685}, "uniform": {"brier": 0.09001695309351908, "mean_probability": 0.0999929358575869}}</x:v>
      </x:c>
    </x:row>
  </x:sheetData>
  <x:mergeCells>
    <x:mergeCell ref="A1:M1"/>
  </x:mergeCells>
  <x:conditionalFormatting sqref="D4:D6">
    <x:cfRule type="expression" dxfId="35" priority="1">
      <x:formula>D4="PASS"</x:formula>
    </x:cfRule>
  </x:conditionalFormatting>
  <x:pageMargins left="0.7" right="0.7" top="0.75" bottom="0.75" header="0.3" footer="0.3"/>
</x:worksheet>
</file>

<file path=xl/worksheets/sheet46.xml><?xml version="1.0" encoding="utf-8"?>
<x:worksheet xmlns:x="http://schemas.openxmlformats.org/spreadsheetml/2006/main">
  <x:sheetFormatPr defaultRowHeight="15"/>
  <x:cols>
    <x:col min="1" max="1" width="31" hidden="0" customWidth="1"/>
    <x:col min="2" max="2" width="55" hidden="0" customWidth="1"/>
    <x:col min="3" max="3" width="28" hidden="0" customWidth="1"/>
    <x:col min="5" max="5" width="30" hidden="0" customWidth="1"/>
    <x:col min="6" max="6" width="55" hidden="0" customWidth="1"/>
    <x:col min="7" max="7" width="40" hidden="0" customWidth="1"/>
  </x:cols>
  <x:sheetData>
    <x:row r="1" ht="30" customHeight="1">
      <x:c r="A1" s="774" t="str">
        <x:v>Prize Watch ENGINE_STATE_JSON Import Staging</x:v>
      </x:c>
      <x:c r="B1" s="774"/>
      <x:c r="C1" s="774"/>
      <x:c r="D1" s="774"/>
      <x:c r="E1" s="774"/>
      <x:c r="F1" s="774"/>
      <x:c r="G1" s="774"/>
      <x:c r="H1" s="774"/>
      <x:c r="I1" s="774"/>
      <x:c r="J1" s="774"/>
      <x:c r="K1" s="774"/>
      <x:c r="L1" s="774"/>
      <x:c r="M1" s="774"/>
      <x:c r="N1" s="774"/>
      <x:c r="O1" s="260"/>
      <x:c r="P1" s="260"/>
      <x:c r="Q1" s="260"/>
      <x:c r="R1" s="260"/>
      <x:c r="S1" s="260"/>
      <x:c r="T1" s="260"/>
      <x:c r="U1" s="260"/>
      <x:c r="V1" s="260"/>
      <x:c r="W1" s="260"/>
      <x:c r="X1" s="260"/>
      <x:c r="Y1" s="260"/>
      <x:c r="Z1" s="260"/>
    </x:row>
    <x:row r="2">
      <x:c r="A2" s="678" t="str">
        <x:v>The scheduled alert returns these fields. A state marked VERIFIED is accepted only when at least two sources agree. Use the JSON importer for the operational database; this sheet is a visible staging and validation view.</x:v>
      </x:c>
      <x:c r="B2" s="678"/>
      <x:c r="C2" s="678"/>
      <x:c r="D2" s="678"/>
      <x:c r="E2" s="678"/>
      <x:c r="F2" s="678"/>
      <x:c r="G2" s="678"/>
      <x:c r="H2" s="678"/>
      <x:c r="I2" s="678"/>
      <x:c r="J2" s="678"/>
      <x:c r="K2" s="678"/>
      <x:c r="L2" s="678"/>
      <x:c r="M2" s="678"/>
      <x:c r="N2" s="678"/>
    </x:row>
    <x:row r="3">
      <x:c r="A3" s="678"/>
      <x:c r="B3" s="678"/>
      <x:c r="C3" s="678"/>
      <x:c r="D3" s="678"/>
      <x:c r="E3" s="678"/>
      <x:c r="F3" s="678"/>
      <x:c r="G3" s="678"/>
      <x:c r="H3" s="678"/>
      <x:c r="I3" s="678"/>
      <x:c r="J3" s="678"/>
      <x:c r="K3" s="678"/>
      <x:c r="L3" s="678"/>
      <x:c r="M3" s="678"/>
      <x:c r="N3" s="678"/>
    </x:row>
    <x:row r="4">
      <x:c r="A4" s="793" t="str">
        <x:v>Import Fields</x:v>
      </x:c>
      <x:c r="B4" s="793"/>
      <x:c r="C4" s="793"/>
      <x:c r="E4" s="793" t="str">
        <x:v>Validation</x:v>
      </x:c>
      <x:c r="F4" s="793"/>
      <x:c r="G4" s="793"/>
    </x:row>
    <x:row r="5" ht="22" customHeight="1">
      <x:c r="A5" s="800" t="str">
        <x:v>Field</x:v>
      </x:c>
      <x:c r="B5" s="801" t="str">
        <x:v>Value</x:v>
      </x:c>
      <x:c r="C5" s="802" t="str">
        <x:v>JSON Key</x:v>
      </x:c>
      <x:c r="D5" s="627"/>
      <x:c r="E5" s="665" t="str">
        <x:v>Rule</x:v>
      </x:c>
      <x:c r="F5" s="666" t="str">
        <x:v>Formula Result</x:v>
      </x:c>
      <x:c r="G5" s="667" t="str">
        <x:v>Requirement</x:v>
      </x:c>
      <x:c r="H5" s="627"/>
    </x:row>
    <x:row r="6">
      <x:c r="A6" s="633" t="str">
        <x:v>Draw date</x:v>
      </x:c>
      <x:c r="B6" s="686"/>
      <x:c r="C6" s="634" t="str">
        <x:v>draw_date</x:v>
      </x:c>
      <x:c r="E6" s="650" t="str">
        <x:v>Draw date supplied</x:v>
      </x:c>
      <x:c r="F6" s="296" t="str">
        <x:f>IF(B6="","FAIL","PASS")</x:f>
        <x:v>FAIL</x:v>
      </x:c>
      <x:c r="G6" s="634" t="str">
        <x:v>Required</x:v>
      </x:c>
    </x:row>
    <x:row r="7">
      <x:c r="A7" s="633" t="str">
        <x:v>Jackpot EUR</x:v>
      </x:c>
      <x:c r="B7" s="314"/>
      <x:c r="C7" s="634" t="str">
        <x:v>jackpot_eur</x:v>
      </x:c>
      <x:c r="E7" s="650" t="str">
        <x:v>Jackpot range</x:v>
      </x:c>
      <x:c r="F7" s="296" t="str">
        <x:f>IF(AND(B7&gt;=0,B7&lt;=B9),"PASS","FAIL")</x:f>
        <x:v>PASS</x:v>
      </x:c>
      <x:c r="G7" s="634" t="str">
        <x:v>0 ≤ jackpot ≤ cap</x:v>
      </x:c>
    </x:row>
    <x:row r="8">
      <x:c r="A8" s="633" t="str">
        <x:v>Rollover count</x:v>
      </x:c>
      <x:c r="B8" s="296" t="n">
        <x:v>0</x:v>
      </x:c>
      <x:c r="C8" s="634" t="str">
        <x:v>rollover_count</x:v>
      </x:c>
      <x:c r="E8" s="650" t="str">
        <x:v>Cap flag consistency</x:v>
      </x:c>
      <x:c r="F8" s="296" t="str">
        <x:f>IF(OR(AND(B10=TRUE,B7&gt;=B9-0.01),AND(B10=FALSE,B7&lt;B9-0.01)),"PASS","FAIL")</x:f>
        <x:v>PASS</x:v>
      </x:c>
      <x:c r="G8" s="634" t="str">
        <x:v>Cap reached agrees with jackpot amount</x:v>
      </x:c>
    </x:row>
    <x:row r="9">
      <x:c r="A9" s="633" t="str">
        <x:v>Cap EUR</x:v>
      </x:c>
      <x:c r="B9" s="314" t="n">
        <x:v>120000000</x:v>
      </x:c>
      <x:c r="C9" s="634" t="str">
        <x:v>cap_eur</x:v>
      </x:c>
      <x:c r="E9" s="650" t="str">
        <x:v>Overflow consistency</x:v>
      </x:c>
      <x:c r="F9" s="296" t="str">
        <x:f>IF(OR(B14=0,AND(B10=TRUE,B13&lt;&gt;"")),"PASS","FAIL")</x:f>
        <x:v>PASS</x:v>
      </x:c>
      <x:c r="G9" s="634" t="str">
        <x:v>Overflow requires cap and class</x:v>
      </x:c>
    </x:row>
    <x:row r="10">
      <x:c r="A10" s="633" t="str">
        <x:v>Cap reached</x:v>
      </x:c>
      <x:c r="B10" s="681" t="b">
        <x:v>0</x:v>
      </x:c>
      <x:c r="C10" s="634" t="str">
        <x:v>cap_reached</x:v>
      </x:c>
      <x:c r="E10" s="650" t="str">
        <x:v>Verified sources</x:v>
      </x:c>
      <x:c r="F10" s="296" t="str">
        <x:f>IF(B17&lt;&gt;"VERIFIED","PASS",IF(AND(B18&gt;=2,B19&lt;&gt;"",B20&lt;&gt;""),"PASS","FAIL"))</x:f>
        <x:v>PASS</x:v>
      </x:c>
      <x:c r="G10" s="634" t="str">
        <x:v>VERIFIED requires two URLs and source_count ≥2</x:v>
      </x:c>
    </x:row>
    <x:row r="11">
      <x:c r="A11" s="633" t="str">
        <x:v>Jackpot won</x:v>
      </x:c>
      <x:c r="B11" s="681" t="b">
        <x:v>0</x:v>
      </x:c>
      <x:c r="C11" s="634" t="str">
        <x:v>jackpot_won</x:v>
      </x:c>
      <x:c r="E11" s="650" t="str">
        <x:v>Checked timestamp</x:v>
      </x:c>
      <x:c r="F11" s="296" t="str">
        <x:f>IF(B21="","FAIL","PASS")</x:f>
        <x:v>FAIL</x:v>
      </x:c>
      <x:c r="G11" s="634" t="str">
        <x:v>Required</x:v>
      </x:c>
    </x:row>
    <x:row r="12">
      <x:c r="A12" s="633" t="str">
        <x:v>Reset detected</x:v>
      </x:c>
      <x:c r="B12" s="681" t="b">
        <x:v>0</x:v>
      </x:c>
      <x:c r="C12" s="634" t="str">
        <x:v>reset_detected</x:v>
      </x:c>
      <x:c r="E12" s="651" t="str">
        <x:v>Overall import state</x:v>
      </x:c>
      <x:c r="F12" s="652" t="str">
        <x:f>IF(COUNTIF(F6:F11,"FAIL")=0,"PASS","FAIL")</x:f>
        <x:v>FAIL</x:v>
      </x:c>
      <x:c r="G12" s="636" t="str">
        <x:v>All checks PASS</x:v>
      </x:c>
    </x:row>
    <x:row r="13">
      <x:c r="A13" s="633" t="str">
        <x:v>Overflow class</x:v>
      </x:c>
      <x:c r="B13" s="296"/>
      <x:c r="C13" s="634" t="str">
        <x:v>overflow_class</x:v>
      </x:c>
    </x:row>
    <x:row r="14" ht="22" customHeight="1">
      <x:c r="A14" s="713" t="str">
        <x:v>Overflow EUR</x:v>
      </x:c>
      <x:c r="B14" s="785" t="n">
        <x:v>0</x:v>
      </x:c>
      <x:c r="C14" s="715" t="str">
        <x:v>overflow_eur</x:v>
      </x:c>
      <x:c r="D14" s="627"/>
      <x:c r="E14" s="793" t="str">
        <x:v>Derived Engine Mode</x:v>
      </x:c>
      <x:c r="F14" s="793"/>
      <x:c r="G14" s="793"/>
      <x:c r="H14" s="627"/>
      <x:c r="I14" s="627"/>
      <x:c r="J14" s="627"/>
      <x:c r="K14" s="627"/>
      <x:c r="L14" s="627"/>
      <x:c r="M14" s="627"/>
      <x:c r="N14" s="627"/>
    </x:row>
    <x:row r="15">
      <x:c r="A15" s="633" t="str">
        <x:v>Prize class 2 pool EUR</x:v>
      </x:c>
      <x:c r="B15" s="314"/>
      <x:c r="C15" s="634" t="str">
        <x:v>prize_class_2_pool_eur</x:v>
      </x:c>
    </x:row>
    <x:row r="16">
      <x:c r="A16" s="633" t="str">
        <x:v>Total columns</x:v>
      </x:c>
      <x:c r="B16" s="296"/>
      <x:c r="C16" s="634" t="str">
        <x:v>total_columns</x:v>
      </x:c>
      <x:c r="E16" s="665" t="str">
        <x:v>Output</x:v>
      </x:c>
      <x:c r="F16" s="667" t="str">
        <x:v>Derived Value</x:v>
      </x:c>
    </x:row>
    <x:row r="17">
      <x:c r="A17" s="633" t="str">
        <x:v>Verification status</x:v>
      </x:c>
      <x:c r="B17" s="296" t="str">
        <x:v>UNVERIFIED</x:v>
      </x:c>
      <x:c r="C17" s="634" t="str">
        <x:v>verification_status</x:v>
      </x:c>
      <x:c r="E17" s="650" t="str">
        <x:v>Mode</x:v>
      </x:c>
      <x:c r="F17" s="634" t="str">
        <x:f>IF(B12=TRUE,"RESET",IF(AND(B10=TRUE,OR(B14&gt;0,B15&gt;0)),"MAX_CAP_OVERFLOW",IF(B10=TRUE,"MAX_CAP",IF(B7&gt;=80000000,"HIGH_JACKPOT",IF(B8&gt;0,"ROLLOVER","NORMAL")))))</x:f>
        <x:v>NORMAL</x:v>
      </x:c>
    </x:row>
    <x:row r="18">
      <x:c r="A18" s="633" t="str">
        <x:v>Source count</x:v>
      </x:c>
      <x:c r="B18" s="296" t="n">
        <x:v>0</x:v>
      </x:c>
      <x:c r="C18" s="634" t="str">
        <x:v>source_count</x:v>
      </x:c>
      <x:c r="E18" s="650" t="str">
        <x:v>Main probability</x:v>
      </x:c>
      <x:c r="F18" s="718" t="n">
        <x:v>0.1</x:v>
      </x:c>
    </x:row>
    <x:row r="19">
      <x:c r="A19" s="633" t="str">
        <x:v>Primary source URL</x:v>
      </x:c>
      <x:c r="B19" s="330"/>
      <x:c r="C19" s="634" t="str">
        <x:v>primary_source_url</x:v>
      </x:c>
      <x:c r="E19" s="650" t="str">
        <x:v>Euro probability</x:v>
      </x:c>
      <x:c r="F19" s="718" t="n">
        <x:v>0.16666666666666666</x:v>
      </x:c>
    </x:row>
    <x:row r="20">
      <x:c r="A20" s="633" t="str">
        <x:v>Secondary source URL</x:v>
      </x:c>
      <x:c r="B20" s="687"/>
      <x:c r="C20" s="634" t="str">
        <x:v>secondary_source_url</x:v>
      </x:c>
      <x:c r="E20" s="650" t="str">
        <x:v>Jackpot weight</x:v>
      </x:c>
      <x:c r="F20" s="716" t="n">
        <x:f>IF(F17="NORMAL",0.35,IF(F17="ROLLOVER",0.45,IF(F17="HIGH_JACKPOT",0.55,IF(F17="MAX_CAP",0.55,IF(F17="MAX_CAP_OVERFLOW",0.45,0.30)))))</x:f>
        <x:v>0.35</x:v>
      </x:c>
    </x:row>
    <x:row r="21">
      <x:c r="A21" s="633" t="str">
        <x:v>Checked at UTC</x:v>
      </x:c>
      <x:c r="B21" s="330"/>
      <x:c r="C21" s="634" t="str">
        <x:v>checked_at_utc</x:v>
      </x:c>
      <x:c r="E21" s="650" t="str">
        <x:v>Class-2 weight</x:v>
      </x:c>
      <x:c r="F21" s="716" t="n">
        <x:f>IF(F17="NORMAL",0.15,IF(F17="ROLLOVER",0.18,IF(F17="HIGH_JACKPOT",0.20,IF(F17="MAX_CAP",0.30,IF(F17="MAX_CAP_OVERFLOW",0.40,0.12)))))</x:f>
        <x:v>0.15</x:v>
      </x:c>
    </x:row>
    <x:row r="22">
      <x:c r="A22" s="635" t="str">
        <x:v>Notes</x:v>
      </x:c>
      <x:c r="B22" s="688"/>
      <x:c r="C22" s="636" t="str">
        <x:v>notes</x:v>
      </x:c>
      <x:c r="E22" s="650" t="str">
        <x:v>Anti-crowd weight</x:v>
      </x:c>
      <x:c r="F22" s="716" t="n">
        <x:f>IF(F17="NORMAL",0.35,IF(F17="ROLLOVER",0.42,IF(F17="HIGH_JACKPOT",0.55,IF(F17="MAX_CAP",0.65,IF(F17="MAX_CAP_OVERFLOW",0.75,0.30)))))</x:f>
        <x:v>0.35</x:v>
      </x:c>
    </x:row>
    <x:row r="23">
      <x:c r="E23" s="650" t="str">
        <x:v>Main diversity weight</x:v>
      </x:c>
      <x:c r="F23" s="716" t="n">
        <x:f>IF(F17="NORMAL",0.50,IF(F17="ROLLOVER",0.60,IF(F17="HIGH_JACKPOT",0.72,IF(F17="MAX_CAP",0.85,IF(F17="MAX_CAP_OVERFLOW",0.95,0.45)))))</x:f>
        <x:v>0.5</x:v>
      </x:c>
    </x:row>
    <x:row r="24">
      <x:c r="E24" s="650" t="str">
        <x:v>Euro diversity weight</x:v>
      </x:c>
      <x:c r="F24" s="716" t="n">
        <x:f>IF(F17="NORMAL",0.50,IF(F17="ROLLOVER",0.55,IF(F17="HIGH_JACKPOT",0.65,IF(F17="MAX_CAP",0.75,IF(F17="MAX_CAP_OVERFLOW",0.90,0.45)))))</x:f>
        <x:v>0.5</x:v>
      </x:c>
    </x:row>
    <x:row r="25">
      <x:c r="E25" s="651" t="str">
        <x:v>Recommended portfolio</x:v>
      </x:c>
      <x:c r="F25" s="647" t="str">
        <x:f>IF(F17="NORMAL","Frozen set or diversified low-budget portfolio",IF(F17="ROLLOVER","Diversified lines with moderate overlap limits",IF(F17="HIGH_JACKPOT","Coverage-focused portfolio within fixed budget",IF(F17="MAX_CAP","Maximum-cap portfolio with stronger 5+1 weighting",IF(F17="MAX_CAP_OVERFLOW","Distinct-main coverage plus wide Euro-pair diversification","Return to low-cost diversified or frozen portfolio")))))</x:f>
        <x:v>Frozen set or diversified low-budget portfolio</x:v>
      </x:c>
    </x:row>
    <x:row r="27" ht="22" customHeight="1">
      <x:c r="A27" s="627" t="str">
        <x:v>Importer Command</x:v>
      </x:c>
      <x:c r="B27" s="627"/>
      <x:c r="C27" s="627"/>
      <x:c r="D27" s="627"/>
      <x:c r="E27" s="627"/>
      <x:c r="F27" s="627"/>
      <x:c r="G27" s="627"/>
      <x:c r="H27" s="627"/>
      <x:c r="I27" s="627"/>
      <x:c r="J27" s="627"/>
      <x:c r="K27" s="627"/>
      <x:c r="L27" s="627"/>
      <x:c r="M27" s="627"/>
      <x:c r="N27" s="627"/>
    </x:row>
    <x:row r="29">
      <x:c r="A29" s="721" t="str">
        <x:v>Save the ENGINE_STATE_JSON block to jackpot_state.json, then run:
python eurojackpot_jackpot_state_v3_5.py --db EuroJackpot_Operational_v3_5.sqlite --json jackpot_state.json</x:v>
      </x:c>
      <x:c r="B29" s="721"/>
      <x:c r="C29" s="721"/>
      <x:c r="D29" s="721"/>
      <x:c r="E29" s="721"/>
      <x:c r="F29" s="721"/>
      <x:c r="G29" s="721"/>
      <x:c r="H29" s="721"/>
      <x:c r="I29" s="721"/>
      <x:c r="J29" s="721"/>
      <x:c r="K29" s="721"/>
      <x:c r="L29" s="721"/>
      <x:c r="M29" s="721"/>
      <x:c r="N29" s="721"/>
    </x:row>
    <x:row r="30">
      <x:c r="A30" s="721"/>
      <x:c r="B30" s="721"/>
      <x:c r="C30" s="721"/>
      <x:c r="D30" s="721"/>
      <x:c r="E30" s="721"/>
      <x:c r="F30" s="721"/>
      <x:c r="G30" s="721"/>
      <x:c r="H30" s="721"/>
      <x:c r="I30" s="721"/>
      <x:c r="J30" s="721"/>
      <x:c r="K30" s="721"/>
      <x:c r="L30" s="721"/>
      <x:c r="M30" s="721"/>
      <x:c r="N30" s="721"/>
    </x:row>
    <x:row r="31">
      <x:c r="A31" s="721"/>
      <x:c r="B31" s="721"/>
      <x:c r="C31" s="721"/>
      <x:c r="D31" s="721"/>
      <x:c r="E31" s="721"/>
      <x:c r="F31" s="721"/>
      <x:c r="G31" s="721"/>
      <x:c r="H31" s="721"/>
      <x:c r="I31" s="721"/>
      <x:c r="J31" s="721"/>
      <x:c r="K31" s="721"/>
      <x:c r="L31" s="721"/>
      <x:c r="M31" s="721"/>
      <x:c r="N31" s="721"/>
    </x:row>
    <x:row r="32">
      <x:c r="A32" s="721"/>
      <x:c r="B32" s="721"/>
      <x:c r="C32" s="721"/>
      <x:c r="D32" s="721"/>
      <x:c r="E32" s="721"/>
      <x:c r="F32" s="721"/>
      <x:c r="G32" s="721"/>
      <x:c r="H32" s="721"/>
      <x:c r="I32" s="721"/>
      <x:c r="J32" s="721"/>
      <x:c r="K32" s="721"/>
      <x:c r="L32" s="721"/>
      <x:c r="M32" s="721"/>
      <x:c r="N32" s="721"/>
    </x:row>
    <x:row r="33">
      <x:c r="A33" s="721"/>
      <x:c r="B33" s="721"/>
      <x:c r="C33" s="721"/>
      <x:c r="D33" s="721"/>
      <x:c r="E33" s="721"/>
      <x:c r="F33" s="721"/>
      <x:c r="G33" s="721"/>
      <x:c r="H33" s="721"/>
      <x:c r="I33" s="721"/>
      <x:c r="J33" s="721"/>
      <x:c r="K33" s="721"/>
      <x:c r="L33" s="721"/>
      <x:c r="M33" s="721"/>
      <x:c r="N33" s="721"/>
    </x:row>
  </x:sheetData>
  <x:mergeCells>
    <x:mergeCell ref="A1:N1"/>
    <x:mergeCell ref="A2:N3"/>
    <x:mergeCell ref="A27:N27"/>
    <x:mergeCell ref="A29:N33"/>
    <x:mergeCell ref="A4:C4"/>
    <x:mergeCell ref="E4:G4"/>
    <x:mergeCell ref="E14:G14"/>
  </x:mergeCells>
  <x:conditionalFormatting sqref="F6:F12">
    <x:cfRule type="expression" dxfId="36" priority="1">
      <x:formula>F6="PASS"</x:formula>
    </x:cfRule>
    <x:cfRule type="expression" dxfId="37" priority="2">
      <x:formula>F6="FAIL"</x:formula>
    </x:cfRule>
  </x:conditionalFormatting>
  <x:dataValidations count="2">
    <x:dataValidation type="list" sqref="B17">
      <x:formula1>"UNVERIFIED,CROSS-CHECKED,VERIFIED"</x:formula1>
    </x:dataValidation>
    <x:dataValidation type="list" sqref="B10:B12">
      <x:formula1>"true,false"</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35" hidden="0" customWidth="1"/>
    <x:col min="2" max="2" width="55" hidden="0" customWidth="1"/>
    <x:col min="3" max="3" width="18" hidden="0" customWidth="1"/>
    <x:col min="4" max="4" width="17" hidden="0" customWidth="1"/>
    <x:col min="10" max="10" width="24" hidden="0" customWidth="1"/>
    <x:col min="11" max="11" width="16" hidden="0" customWidth="1"/>
    <x:col min="12" max="12" width="17" hidden="0" customWidth="1"/>
    <x:col min="13" max="13" width="14" hidden="0" customWidth="1"/>
  </x:cols>
  <x:sheetData>
    <x:row r="1" ht="30" customHeight="1">
      <x:c r="A1" s="774" t="str">
        <x:v>Jackpot-State Dashboard v3.5</x:v>
      </x:c>
      <x:c r="B1" s="774"/>
      <x:c r="C1" s="774"/>
      <x:c r="D1" s="774"/>
      <x:c r="E1" s="774"/>
      <x:c r="F1" s="774"/>
      <x:c r="G1" s="774"/>
      <x:c r="H1" s="774"/>
      <x:c r="I1" s="774"/>
      <x:c r="J1" s="774"/>
      <x:c r="K1" s="774"/>
      <x:c r="L1" s="774"/>
      <x:c r="M1" s="774"/>
      <x:c r="N1" s="774"/>
      <x:c r="O1" s="774"/>
      <x:c r="P1" s="774"/>
      <x:c r="Q1" s="260"/>
      <x:c r="R1" s="260"/>
      <x:c r="S1" s="260"/>
      <x:c r="T1" s="260"/>
      <x:c r="U1" s="260"/>
      <x:c r="V1" s="260"/>
      <x:c r="W1" s="260"/>
      <x:c r="X1" s="260"/>
      <x:c r="Y1" s="260"/>
      <x:c r="Z1" s="260"/>
    </x:row>
    <x:row r="2">
      <x:c r="A2" s="723" t="str">
        <x:v>The dashboard references the Prize Watch Import staging sheet. Until a verified live state is imported, the operational database remains empty and the prediction model stays in Uniform mode.</x:v>
      </x:c>
      <x:c r="B2" s="723"/>
      <x:c r="C2" s="723"/>
      <x:c r="D2" s="723"/>
      <x:c r="E2" s="723"/>
      <x:c r="F2" s="723"/>
      <x:c r="G2" s="723"/>
      <x:c r="H2" s="723"/>
      <x:c r="I2" s="723"/>
      <x:c r="J2" s="723"/>
      <x:c r="K2" s="723"/>
      <x:c r="L2" s="723"/>
      <x:c r="M2" s="723"/>
      <x:c r="N2" s="723"/>
      <x:c r="O2" s="723"/>
      <x:c r="P2" s="723"/>
    </x:row>
    <x:row r="3">
      <x:c r="A3" s="723"/>
      <x:c r="B3" s="723"/>
      <x:c r="C3" s="723"/>
      <x:c r="D3" s="723"/>
      <x:c r="E3" s="723"/>
      <x:c r="F3" s="723"/>
      <x:c r="G3" s="723"/>
      <x:c r="H3" s="723"/>
      <x:c r="I3" s="723"/>
      <x:c r="J3" s="723"/>
      <x:c r="K3" s="723"/>
      <x:c r="L3" s="723"/>
      <x:c r="M3" s="723"/>
      <x:c r="N3" s="723"/>
      <x:c r="O3" s="723"/>
      <x:c r="P3" s="723"/>
    </x:row>
    <x:row r="5" ht="22" customHeight="1">
      <x:c r="A5" s="793" t="str">
        <x:v>Current Staged State</x:v>
      </x:c>
      <x:c r="B5" s="793"/>
      <x:c r="C5" s="793"/>
      <x:c r="D5" s="793"/>
      <x:c r="E5" s="793"/>
      <x:c r="F5" s="793"/>
      <x:c r="G5" s="793"/>
      <x:c r="H5" s="793"/>
      <x:c r="I5" s="627"/>
      <x:c r="J5" s="793" t="str">
        <x:v>Portfolio Weights</x:v>
      </x:c>
      <x:c r="K5" s="793"/>
      <x:c r="L5" s="793"/>
      <x:c r="M5" s="793"/>
      <x:c r="N5" s="793"/>
      <x:c r="O5" s="793"/>
      <x:c r="P5" s="793"/>
    </x:row>
    <x:row r="6">
      <x:c r="A6" s="665" t="str">
        <x:v>Metric</x:v>
      </x:c>
      <x:c r="B6" s="667" t="str">
        <x:v>Value</x:v>
      </x:c>
      <x:c r="J6" s="665" t="str">
        <x:v>Weight</x:v>
      </x:c>
      <x:c r="K6" s="666" t="str">
        <x:v>Current</x:v>
      </x:c>
      <x:c r="L6" s="666" t="str">
        <x:v>Normal Baseline</x:v>
      </x:c>
      <x:c r="M6" s="667" t="str">
        <x:v>Delta</x:v>
      </x:c>
    </x:row>
    <x:row r="7">
      <x:c r="A7" s="650" t="str">
        <x:v>Draw date</x:v>
      </x:c>
      <x:c r="B7" s="724" t="n">
        <x:f>'Prize Watch Import'!B6</x:f>
        <x:v>0</x:v>
      </x:c>
      <x:c r="J7" s="650" t="str">
        <x:v>Jackpot tier</x:v>
      </x:c>
      <x:c r="K7" s="668" t="n">
        <x:f>'Prize Watch Import'!F20</x:f>
        <x:v>0.35</x:v>
      </x:c>
      <x:c r="L7" s="668" t="n">
        <x:v>0.35</x:v>
      </x:c>
      <x:c r="M7" s="716" t="n">
        <x:f>K7-L7</x:f>
        <x:v>0</x:v>
      </x:c>
    </x:row>
    <x:row r="8">
      <x:c r="A8" s="650" t="str">
        <x:v>Jackpot</x:v>
      </x:c>
      <x:c r="B8" s="725" t="n">
        <x:f>'Prize Watch Import'!B7</x:f>
        <x:v>0</x:v>
      </x:c>
      <x:c r="J8" s="650" t="str">
        <x:v>Prize class 2</x:v>
      </x:c>
      <x:c r="K8" s="668" t="n">
        <x:f>'Prize Watch Import'!F21</x:f>
        <x:v>0.15</x:v>
      </x:c>
      <x:c r="L8" s="668" t="n">
        <x:v>0.15</x:v>
      </x:c>
      <x:c r="M8" s="716" t="n">
        <x:f>K8-L8</x:f>
        <x:v>0</x:v>
      </x:c>
    </x:row>
    <x:row r="9">
      <x:c r="A9" s="650" t="str">
        <x:v>Rollover count</x:v>
      </x:c>
      <x:c r="B9" s="634" t="n">
        <x:f>'Prize Watch Import'!B8</x:f>
        <x:v>0</x:v>
      </x:c>
      <x:c r="J9" s="650" t="str">
        <x:v>Anti-crowd</x:v>
      </x:c>
      <x:c r="K9" s="668" t="n">
        <x:f>'Prize Watch Import'!F22</x:f>
        <x:v>0.35</x:v>
      </x:c>
      <x:c r="L9" s="668" t="n">
        <x:v>0.35</x:v>
      </x:c>
      <x:c r="M9" s="716" t="n">
        <x:f>K9-L9</x:f>
        <x:v>0</x:v>
      </x:c>
    </x:row>
    <x:row r="10">
      <x:c r="A10" s="650" t="str">
        <x:v>Cap reached</x:v>
      </x:c>
      <x:c r="B10" s="634" t="b">
        <x:f>'Prize Watch Import'!B10</x:f>
        <x:v>0</x:v>
      </x:c>
      <x:c r="J10" s="650" t="str">
        <x:v>Main diversity</x:v>
      </x:c>
      <x:c r="K10" s="668" t="n">
        <x:f>'Prize Watch Import'!F23</x:f>
        <x:v>0.5</x:v>
      </x:c>
      <x:c r="L10" s="668" t="n">
        <x:v>0.5</x:v>
      </x:c>
      <x:c r="M10" s="716" t="n">
        <x:f>K10-L10</x:f>
        <x:v>0</x:v>
      </x:c>
    </x:row>
    <x:row r="11">
      <x:c r="A11" s="650" t="str">
        <x:v>Overflow class</x:v>
      </x:c>
      <x:c r="B11" s="634" t="n">
        <x:f>'Prize Watch Import'!B13</x:f>
        <x:v>0</x:v>
      </x:c>
      <x:c r="J11" s="650" t="str">
        <x:v>Euro diversity</x:v>
      </x:c>
      <x:c r="K11" s="668" t="n">
        <x:f>'Prize Watch Import'!F24</x:f>
        <x:v>0.5</x:v>
      </x:c>
      <x:c r="L11" s="668" t="n">
        <x:v>0.5</x:v>
      </x:c>
      <x:c r="M11" s="716" t="n">
        <x:f>K11-L11</x:f>
        <x:v>0</x:v>
      </x:c>
    </x:row>
    <x:row r="12">
      <x:c r="A12" s="650" t="str">
        <x:v>Overflow amount</x:v>
      </x:c>
      <x:c r="B12" s="725" t="n">
        <x:f>'Prize Watch Import'!B14</x:f>
        <x:v>0</x:v>
      </x:c>
      <x:c r="J12" s="651" t="str">
        <x:v>Lower-tier balance</x:v>
      </x:c>
      <x:c r="K12" s="669" t="n">
        <x:f>1-K7-K8</x:f>
        <x:v>0.5</x:v>
      </x:c>
      <x:c r="L12" s="669" t="n">
        <x:v>0.5</x:v>
      </x:c>
      <x:c r="M12" s="727" t="n">
        <x:f>K12-L12</x:f>
        <x:v>0</x:v>
      </x:c>
    </x:row>
    <x:row r="13">
      <x:c r="A13" s="650" t="str">
        <x:v>Verification</x:v>
      </x:c>
      <x:c r="B13" s="643" t="str">
        <x:f>'Prize Watch Import'!B17</x:f>
        <x:v>UNVERIFIED</x:v>
      </x:c>
    </x:row>
    <x:row r="14">
      <x:c r="A14" s="650" t="str">
        <x:v>Derived mode</x:v>
      </x:c>
      <x:c r="B14" s="643" t="str">
        <x:f>'Prize Watch Import'!F17</x:f>
        <x:v>NORMAL</x:v>
      </x:c>
    </x:row>
    <x:row r="15">
      <x:c r="A15" s="651" t="str">
        <x:v>Recommended portfolio</x:v>
      </x:c>
      <x:c r="B15" s="647" t="str">
        <x:f>'Prize Watch Import'!F25</x:f>
        <x:v>Frozen set or diversified low-budget portfolio</x:v>
      </x:c>
    </x:row>
    <x:row r="17" ht="22" customHeight="1">
      <x:c r="A17" s="627" t="str">
        <x:v>Probability Invariance</x:v>
      </x:c>
      <x:c r="B17" s="627"/>
      <x:c r="C17" s="627"/>
      <x:c r="D17" s="627"/>
      <x:c r="E17" s="627"/>
      <x:c r="F17" s="627"/>
      <x:c r="G17" s="627"/>
      <x:c r="H17" s="627"/>
    </x:row>
    <x:row r="18">
      <x:c r="A18" s="665" t="str">
        <x:v>Quantity</x:v>
      </x:c>
      <x:c r="B18" s="666" t="str">
        <x:v>Before Jackpot State</x:v>
      </x:c>
      <x:c r="C18" s="666" t="str">
        <x:v>After Jackpot State</x:v>
      </x:c>
      <x:c r="D18" s="667" t="str">
        <x:v>Result</x:v>
      </x:c>
    </x:row>
    <x:row r="19">
      <x:c r="A19" s="650" t="str">
        <x:v>Main-number inclusion probability</x:v>
      </x:c>
      <x:c r="B19" s="460" t="n">
        <x:v>0.1</x:v>
      </x:c>
      <x:c r="C19" s="460" t="n">
        <x:f>'Prize Watch Import'!F18</x:f>
        <x:v>0.1</x:v>
      </x:c>
      <x:c r="D19" s="642" t="str">
        <x:v>UNCHANGED</x:v>
      </x:c>
    </x:row>
    <x:row r="20">
      <x:c r="A20" s="650" t="str">
        <x:v>Euro-number inclusion probability</x:v>
      </x:c>
      <x:c r="B20" s="460" t="n">
        <x:v>0.16666666666666666</x:v>
      </x:c>
      <x:c r="C20" s="460" t="n">
        <x:f>'Prize Watch Import'!F19</x:f>
        <x:v>0.16666666666666666</x:v>
      </x:c>
      <x:c r="D20" s="642" t="str">
        <x:v>UNCHANGED</x:v>
      </x:c>
    </x:row>
    <x:row r="21">
      <x:c r="A21" s="650" t="str">
        <x:v>Expected main hits per line</x:v>
      </x:c>
      <x:c r="B21" s="460" t="n">
        <x:v>0.5</x:v>
      </x:c>
      <x:c r="C21" s="460" t="n">
        <x:f>5*C19</x:f>
        <x:v>0.5</x:v>
      </x:c>
      <x:c r="D21" s="642" t="str">
        <x:v>UNCHANGED</x:v>
      </x:c>
    </x:row>
    <x:row r="22">
      <x:c r="A22" s="651" t="str">
        <x:v>Expected Euro hits per line</x:v>
      </x:c>
      <x:c r="B22" s="726" t="n">
        <x:v>0.3333333333333333</x:v>
      </x:c>
      <x:c r="C22" s="726" t="n">
        <x:f>2*C20</x:f>
        <x:v>0.3333333333333333</x:v>
      </x:c>
      <x:c r="D22" s="671" t="str">
        <x:v>UNCHANGED</x:v>
      </x:c>
    </x:row>
  </x:sheetData>
  <x:mergeCells>
    <x:mergeCell ref="A1:P1"/>
    <x:mergeCell ref="A2:P3"/>
    <x:mergeCell ref="A17:H17"/>
    <x:mergeCell ref="A5:H5"/>
    <x:mergeCell ref="J5:P5"/>
  </x:mergeCells>
  <x:conditionalFormatting sqref="M7:M12">
    <x:cfRule type="colorScale" priority="1">
      <x:colorScale>
        <x:cfvo type="min"/>
        <x:cfvo type="percentile" val="50"/>
        <x:cfvo type="max"/>
        <x:color rgb="FFFDECEC"/>
        <x:color rgb="FFFFFFFF"/>
        <x:color rgb="FFEAF5EA"/>
      </x:colorScale>
    </x:cfRule>
  </x:conditionalFormatting>
  <x:pageMargins left="0.7" right="0.7" top="0.75" bottom="0.75" header="0.3" footer="0.3"/>
  <x:drawing xmlns:r="http://schemas.openxmlformats.org/officeDocument/2006/relationships" r:id="R5fa95f8e93194c5d"/>
</x:worksheet>
</file>

<file path=xl/worksheets/sheet48.xml><?xml version="1.0" encoding="utf-8"?>
<x:worksheet xmlns:x="http://schemas.openxmlformats.org/spreadsheetml/2006/main">
  <x:sheetFormatPr defaultRowHeight="15"/>
  <x:cols>
    <x:col min="1" max="1" width="23" hidden="0" customWidth="1"/>
    <x:col min="2" max="2" width="42" hidden="0" customWidth="1"/>
    <x:col min="3" max="3" width="16" hidden="0" customWidth="1"/>
    <x:col min="4" max="4" width="16" hidden="0" customWidth="1"/>
    <x:col min="5" max="5" width="18" hidden="0" customWidth="1"/>
    <x:col min="6" max="6" width="15" hidden="0" customWidth="1"/>
    <x:col min="7" max="7" width="16" hidden="0" customWidth="1"/>
    <x:col min="8" max="8" width="16" hidden="0" customWidth="1"/>
    <x:col min="9" max="9" width="57" hidden="0" customWidth="1"/>
    <x:col min="10" max="10" width="20" hidden="0" customWidth="1"/>
  </x:cols>
  <x:sheetData>
    <x:row r="1" ht="30" customHeight="1">
      <x:c r="A1" s="774" t="str">
        <x:v>Jackpot-State Portfolio State Machine</x:v>
      </x:c>
      <x:c r="B1" s="774"/>
      <x:c r="C1" s="774"/>
      <x:c r="D1" s="774"/>
      <x:c r="E1" s="774"/>
      <x:c r="F1" s="774"/>
      <x:c r="G1" s="774"/>
      <x:c r="H1" s="774"/>
      <x:c r="I1" s="774"/>
      <x:c r="J1" s="774"/>
      <x:c r="K1" s="774"/>
      <x:c r="L1" s="774"/>
      <x:c r="M1" s="260"/>
      <x:c r="N1" s="260"/>
      <x:c r="O1" s="260"/>
      <x:c r="P1" s="260"/>
      <x:c r="Q1" s="260"/>
      <x:c r="R1" s="260"/>
      <x:c r="S1" s="260"/>
      <x:c r="T1" s="260"/>
      <x:c r="U1" s="260"/>
      <x:c r="V1" s="260"/>
      <x:c r="W1" s="260"/>
      <x:c r="X1" s="260"/>
      <x:c r="Y1" s="260"/>
      <x:c r="Z1" s="260"/>
    </x:row>
    <x:row r="3">
      <x:c r="A3" s="665" t="str">
        <x:v>Mode</x:v>
      </x:c>
      <x:c r="B3" s="666" t="str">
        <x:v>Trigger</x:v>
      </x:c>
      <x:c r="C3" s="666" t="str">
        <x:v>Jackpot Weight</x:v>
      </x:c>
      <x:c r="D3" s="666" t="str">
        <x:v>Class-2 Weight</x:v>
      </x:c>
      <x:c r="E3" s="666" t="str">
        <x:v>Lower-Tier Weight</x:v>
      </x:c>
      <x:c r="F3" s="666" t="str">
        <x:v>Anti-Crowd</x:v>
      </x:c>
      <x:c r="G3" s="666" t="str">
        <x:v>Main Diversity</x:v>
      </x:c>
      <x:c r="H3" s="666" t="str">
        <x:v>Euro Diversity</x:v>
      </x:c>
      <x:c r="I3" s="666" t="str">
        <x:v>Recommended Portfolio</x:v>
      </x:c>
      <x:c r="J3" s="667" t="str">
        <x:v>Number Probability Effect</x:v>
      </x:c>
    </x:row>
    <x:row r="4">
      <x:c r="A4" s="650" t="str">
        <x:v>NORMAL</x:v>
      </x:c>
      <x:c r="B4" s="296" t="str">
        <x:v>No rollover; jackpot below €80m</x:v>
      </x:c>
      <x:c r="C4" s="668" t="n">
        <x:v>0.35</x:v>
      </x:c>
      <x:c r="D4" s="668" t="n">
        <x:v>0.15</x:v>
      </x:c>
      <x:c r="E4" s="668" t="n">
        <x:v>0.5</x:v>
      </x:c>
      <x:c r="F4" s="668" t="n">
        <x:v>0.35</x:v>
      </x:c>
      <x:c r="G4" s="668" t="n">
        <x:v>0.5</x:v>
      </x:c>
      <x:c r="H4" s="668" t="n">
        <x:v>0.5</x:v>
      </x:c>
      <x:c r="I4" s="330" t="str">
        <x:v>Frozen set or diversified low-budget portfolio</x:v>
      </x:c>
      <x:c r="J4" s="642" t="str">
        <x:v>NONE</x:v>
      </x:c>
    </x:row>
    <x:row r="5">
      <x:c r="A5" s="650" t="str">
        <x:v>ROLLOVER</x:v>
      </x:c>
      <x:c r="B5" s="296" t="str">
        <x:v>Rollover count &gt; 0 and jackpot below €80m</x:v>
      </x:c>
      <x:c r="C5" s="668" t="n">
        <x:v>0.45</x:v>
      </x:c>
      <x:c r="D5" s="668" t="n">
        <x:v>0.18</x:v>
      </x:c>
      <x:c r="E5" s="668" t="n">
        <x:v>0.37</x:v>
      </x:c>
      <x:c r="F5" s="668" t="n">
        <x:v>0.42</x:v>
      </x:c>
      <x:c r="G5" s="668" t="n">
        <x:v>0.6</x:v>
      </x:c>
      <x:c r="H5" s="668" t="n">
        <x:v>0.55</x:v>
      </x:c>
      <x:c r="I5" s="330" t="str">
        <x:v>Diversified lines with moderate overlap limits</x:v>
      </x:c>
      <x:c r="J5" s="642" t="str">
        <x:v>NONE</x:v>
      </x:c>
    </x:row>
    <x:row r="6">
      <x:c r="A6" s="650" t="str">
        <x:v>HIGH_JACKPOT</x:v>
      </x:c>
      <x:c r="B6" s="296" t="str">
        <x:v>Jackpot ≥ €80m but below cap</x:v>
      </x:c>
      <x:c r="C6" s="668" t="n">
        <x:v>0.55</x:v>
      </x:c>
      <x:c r="D6" s="668" t="n">
        <x:v>0.2</x:v>
      </x:c>
      <x:c r="E6" s="668" t="n">
        <x:v>0.25</x:v>
      </x:c>
      <x:c r="F6" s="668" t="n">
        <x:v>0.55</x:v>
      </x:c>
      <x:c r="G6" s="668" t="n">
        <x:v>0.72</x:v>
      </x:c>
      <x:c r="H6" s="668" t="n">
        <x:v>0.65</x:v>
      </x:c>
      <x:c r="I6" s="330" t="str">
        <x:v>Coverage-focused diversified portfolio within fixed budget</x:v>
      </x:c>
      <x:c r="J6" s="642" t="str">
        <x:v>NONE</x:v>
      </x:c>
    </x:row>
    <x:row r="7">
      <x:c r="A7" s="650" t="str">
        <x:v>MAX_CAP</x:v>
      </x:c>
      <x:c r="B7" s="296" t="str">
        <x:v>Jackpot at €120m; no verified overflow</x:v>
      </x:c>
      <x:c r="C7" s="668" t="n">
        <x:v>0.55</x:v>
      </x:c>
      <x:c r="D7" s="668" t="n">
        <x:v>0.3</x:v>
      </x:c>
      <x:c r="E7" s="668" t="n">
        <x:v>0.15</x:v>
      </x:c>
      <x:c r="F7" s="668" t="n">
        <x:v>0.65</x:v>
      </x:c>
      <x:c r="G7" s="668" t="n">
        <x:v>0.85</x:v>
      </x:c>
      <x:c r="H7" s="668" t="n">
        <x:v>0.75</x:v>
      </x:c>
      <x:c r="I7" s="330" t="str">
        <x:v>Maximum-cap portfolio with stronger 5+1 and anti-crowd weighting</x:v>
      </x:c>
      <x:c r="J7" s="642" t="str">
        <x:v>NONE</x:v>
      </x:c>
    </x:row>
    <x:row r="8">
      <x:c r="A8" s="650" t="str">
        <x:v>MAX_CAP_OVERFLOW</x:v>
      </x:c>
      <x:c r="B8" s="296" t="str">
        <x:v>Jackpot at cap with verified class-2 overflow/pool</x:v>
      </x:c>
      <x:c r="C8" s="668" t="n">
        <x:v>0.45</x:v>
      </x:c>
      <x:c r="D8" s="668" t="n">
        <x:v>0.4</x:v>
      </x:c>
      <x:c r="E8" s="668" t="n">
        <x:v>0.15</x:v>
      </x:c>
      <x:c r="F8" s="668" t="n">
        <x:v>0.75</x:v>
      </x:c>
      <x:c r="G8" s="668" t="n">
        <x:v>0.95</x:v>
      </x:c>
      <x:c r="H8" s="668" t="n">
        <x:v>0.9</x:v>
      </x:c>
      <x:c r="I8" s="330" t="str">
        <x:v>Distinct-main coverage plus wide Euro-pair diversification</x:v>
      </x:c>
      <x:c r="J8" s="642" t="str">
        <x:v>NONE</x:v>
      </x:c>
    </x:row>
    <x:row r="9">
      <x:c r="A9" s="651" t="str">
        <x:v>RESET</x:v>
      </x:c>
      <x:c r="B9" s="652" t="str">
        <x:v>Jackpot won or reset to low level</x:v>
      </x:c>
      <x:c r="C9" s="669" t="n">
        <x:v>0.3</x:v>
      </x:c>
      <x:c r="D9" s="669" t="n">
        <x:v>0.12</x:v>
      </x:c>
      <x:c r="E9" s="669" t="n">
        <x:v>0.58</x:v>
      </x:c>
      <x:c r="F9" s="669" t="n">
        <x:v>0.3</x:v>
      </x:c>
      <x:c r="G9" s="669" t="n">
        <x:v>0.45</x:v>
      </x:c>
      <x:c r="H9" s="669" t="n">
        <x:v>0.45</x:v>
      </x:c>
      <x:c r="I9" s="688" t="str">
        <x:v>Return to low-cost diversified or frozen portfolio</x:v>
      </x:c>
      <x:c r="J9" s="671" t="str">
        <x:v>NONE</x:v>
      </x:c>
    </x:row>
  </x:sheetData>
  <x:mergeCells>
    <x:mergeCell ref="A1:L1"/>
  </x:mergeCells>
  <x:pageMargins left="0.7" right="0.7" top="0.75" bottom="0.75" header="0.3" footer="0.3"/>
  <x:drawing xmlns:r="http://schemas.openxmlformats.org/officeDocument/2006/relationships" r:id="R4ef3c051f6b14448"/>
</x:worksheet>
</file>

<file path=xl/worksheets/sheet49.xml><?xml version="1.0" encoding="utf-8"?>
<x:worksheet xmlns:x="http://schemas.openxmlformats.org/spreadsheetml/2006/main">
  <x:sheetFormatPr defaultRowHeight="15"/>
  <x:cols>
    <x:col min="1" max="1" width="23" hidden="0" customWidth="1"/>
    <x:col min="2" max="2" width="18" hidden="0" customWidth="1"/>
    <x:col min="3" max="3" width="23" hidden="0" customWidth="1"/>
    <x:col min="4" max="4" width="16" hidden="0" customWidth="1"/>
    <x:col min="5" max="5" width="16" hidden="0" customWidth="1"/>
    <x:col min="6" max="6" width="22" hidden="0" customWidth="1"/>
    <x:col min="7" max="7" width="22" hidden="0" customWidth="1"/>
    <x:col min="8" max="8" width="17" hidden="0" customWidth="1"/>
    <x:col min="9" max="9" width="13" hidden="0" customWidth="1"/>
    <x:col min="10" max="10" width="17" hidden="0" customWidth="1"/>
  </x:cols>
  <x:sheetData>
    <x:row r="1" ht="30" customHeight="1">
      <x:c r="A1" s="774" t="str">
        <x:v>Jackpot and Prize-Class Exposure Scenarios</x:v>
      </x:c>
      <x:c r="B1" s="774"/>
      <x:c r="C1" s="774"/>
      <x:c r="D1" s="774"/>
      <x:c r="E1" s="774"/>
      <x:c r="F1" s="774"/>
      <x:c r="G1" s="774"/>
      <x:c r="H1" s="774"/>
      <x:c r="I1" s="774"/>
      <x:c r="J1" s="774"/>
      <x:c r="K1" s="774"/>
      <x:c r="L1" s="774"/>
      <x:c r="M1" s="774"/>
      <x:c r="N1" s="774"/>
      <x:c r="O1" s="260"/>
      <x:c r="P1" s="260"/>
      <x:c r="Q1" s="260"/>
      <x:c r="R1" s="260"/>
      <x:c r="S1" s="260"/>
      <x:c r="T1" s="260"/>
      <x:c r="U1" s="260"/>
      <x:c r="V1" s="260"/>
      <x:c r="W1" s="260"/>
      <x:c r="X1" s="260"/>
      <x:c r="Y1" s="260"/>
      <x:c r="Z1" s="260"/>
    </x:row>
    <x:row r="2">
      <x:c r="A2" s="678" t="str">
        <x:v>These are illustrative single-winner gross exposure proxies, not guaranteed or complete expected values. Actual payouts depend on prize allocation, ticket sales and co-winners. The exact draw probabilities remain fixed.</x:v>
      </x:c>
      <x:c r="B2" s="678"/>
      <x:c r="C2" s="678"/>
      <x:c r="D2" s="678"/>
      <x:c r="E2" s="678"/>
      <x:c r="F2" s="678"/>
      <x:c r="G2" s="678"/>
      <x:c r="H2" s="678"/>
      <x:c r="I2" s="678"/>
      <x:c r="J2" s="678"/>
      <x:c r="K2" s="678"/>
      <x:c r="L2" s="678"/>
      <x:c r="M2" s="678"/>
      <x:c r="N2" s="678"/>
    </x:row>
    <x:row r="3">
      <x:c r="A3" s="678"/>
      <x:c r="B3" s="678"/>
      <x:c r="C3" s="678"/>
      <x:c r="D3" s="678"/>
      <x:c r="E3" s="678"/>
      <x:c r="F3" s="678"/>
      <x:c r="G3" s="678"/>
      <x:c r="H3" s="678"/>
      <x:c r="I3" s="678"/>
      <x:c r="J3" s="678"/>
      <x:c r="K3" s="678"/>
      <x:c r="L3" s="678"/>
      <x:c r="M3" s="678"/>
      <x:c r="N3" s="678"/>
    </x:row>
    <x:row r="5">
      <x:c r="A5" s="665" t="str">
        <x:v>Mode</x:v>
      </x:c>
      <x:c r="B5" s="666" t="str">
        <x:v>Jackpot EUR</x:v>
      </x:c>
      <x:c r="C5" s="666" t="str">
        <x:v>Class-2 Overflow/Pool</x:v>
      </x:c>
      <x:c r="D5" s="666" t="str">
        <x:v>P(5+2)</x:v>
      </x:c>
      <x:c r="E5" s="666" t="str">
        <x:v>P(5+1)</x:v>
      </x:c>
      <x:c r="F5" s="666" t="str">
        <x:v>Jackpot Exposure Proxy</x:v>
      </x:c>
      <x:c r="G5" s="666" t="str">
        <x:v>Class-2 Exposure Proxy</x:v>
      </x:c>
      <x:c r="H5" s="666" t="str">
        <x:v>Total Proxy</x:v>
      </x:c>
      <x:c r="I5" s="666" t="str">
        <x:v>Line Cost</x:v>
      </x:c>
      <x:c r="J5" s="667" t="str">
        <x:v>Net Proxy</x:v>
      </x:c>
    </x:row>
    <x:row r="6">
      <x:c r="A6" s="650" t="str">
        <x:v>NORMAL</x:v>
      </x:c>
      <x:c r="B6" s="314" t="n">
        <x:v>10000000</x:v>
      </x:c>
      <x:c r="C6" s="314" t="n">
        <x:v>0</x:v>
      </x:c>
      <x:c r="D6" s="336" t="n">
        <x:f>1/139838160</x:f>
        <x:v>7.1511238420185165e-9</x:v>
      </x:c>
      <x:c r="E6" s="336" t="n">
        <x:f>20/139838160</x:f>
        <x:v>1.4302247684037032e-7</x:v>
      </x:c>
      <x:c r="F6" s="730" t="n">
        <x:f>B6*D6</x:f>
        <x:v>0.07151123842018517</x:v>
      </x:c>
      <x:c r="G6" s="730" t="n">
        <x:f>C6*E6</x:f>
        <x:v>0</x:v>
      </x:c>
      <x:c r="H6" s="730" t="n">
        <x:f>F6+G6</x:f>
        <x:v>0.07151123842018517</x:v>
      </x:c>
      <x:c r="I6" s="730" t="n">
        <x:v>2.5</x:v>
      </x:c>
      <x:c r="J6" s="731" t="n">
        <x:f>H6-I6</x:f>
        <x:v>-2.428488761579815</x:v>
      </x:c>
    </x:row>
    <x:row r="7">
      <x:c r="A7" s="650" t="str">
        <x:v>ROLLOVER</x:v>
      </x:c>
      <x:c r="B7" s="314" t="n">
        <x:v>35000000</x:v>
      </x:c>
      <x:c r="C7" s="314" t="n">
        <x:v>0</x:v>
      </x:c>
      <x:c r="D7" s="336" t="n">
        <x:f>1/139838160</x:f>
        <x:v>7.1511238420185165e-9</x:v>
      </x:c>
      <x:c r="E7" s="336" t="n">
        <x:f>20/139838160</x:f>
        <x:v>1.4302247684037032e-7</x:v>
      </x:c>
      <x:c r="F7" s="730" t="n">
        <x:f>B7*D7</x:f>
        <x:v>0.25028933447064805</x:v>
      </x:c>
      <x:c r="G7" s="730" t="n">
        <x:f>C7*E7</x:f>
        <x:v>0</x:v>
      </x:c>
      <x:c r="H7" s="730" t="n">
        <x:f>F7+G7</x:f>
        <x:v>0.25028933447064805</x:v>
      </x:c>
      <x:c r="I7" s="730" t="n">
        <x:v>2.5</x:v>
      </x:c>
      <x:c r="J7" s="731" t="n">
        <x:f>H7-I7</x:f>
        <x:v>-2.249710665529352</x:v>
      </x:c>
    </x:row>
    <x:row r="8">
      <x:c r="A8" s="650" t="str">
        <x:v>HIGH_JACKPOT</x:v>
      </x:c>
      <x:c r="B8" s="314" t="n">
        <x:v>95000000</x:v>
      </x:c>
      <x:c r="C8" s="314" t="n">
        <x:v>0</x:v>
      </x:c>
      <x:c r="D8" s="336" t="n">
        <x:f>1/139838160</x:f>
        <x:v>7.1511238420185165e-9</x:v>
      </x:c>
      <x:c r="E8" s="336" t="n">
        <x:f>20/139838160</x:f>
        <x:v>1.4302247684037032e-7</x:v>
      </x:c>
      <x:c r="F8" s="730" t="n">
        <x:f>B8*D8</x:f>
        <x:v>0.6793567649917591</x:v>
      </x:c>
      <x:c r="G8" s="730" t="n">
        <x:f>C8*E8</x:f>
        <x:v>0</x:v>
      </x:c>
      <x:c r="H8" s="730" t="n">
        <x:f>F8+G8</x:f>
        <x:v>0.6793567649917591</x:v>
      </x:c>
      <x:c r="I8" s="730" t="n">
        <x:v>2.5</x:v>
      </x:c>
      <x:c r="J8" s="731" t="n">
        <x:f>H8-I8</x:f>
        <x:v>-1.8206432350082409</x:v>
      </x:c>
    </x:row>
    <x:row r="9">
      <x:c r="A9" s="650" t="str">
        <x:v>MAX_CAP</x:v>
      </x:c>
      <x:c r="B9" s="314" t="n">
        <x:v>120000000</x:v>
      </x:c>
      <x:c r="C9" s="314" t="n">
        <x:v>0</x:v>
      </x:c>
      <x:c r="D9" s="336" t="n">
        <x:f>1/139838160</x:f>
        <x:v>7.1511238420185165e-9</x:v>
      </x:c>
      <x:c r="E9" s="336" t="n">
        <x:f>20/139838160</x:f>
        <x:v>1.4302247684037032e-7</x:v>
      </x:c>
      <x:c r="F9" s="730" t="n">
        <x:f>B9*D9</x:f>
        <x:v>0.858134861042222</x:v>
      </x:c>
      <x:c r="G9" s="730" t="n">
        <x:f>C9*E9</x:f>
        <x:v>0</x:v>
      </x:c>
      <x:c r="H9" s="730" t="n">
        <x:f>F9+G9</x:f>
        <x:v>0.858134861042222</x:v>
      </x:c>
      <x:c r="I9" s="730" t="n">
        <x:v>2.5</x:v>
      </x:c>
      <x:c r="J9" s="731" t="n">
        <x:f>H9-I9</x:f>
        <x:v>-1.6418651389577779</x:v>
      </x:c>
    </x:row>
    <x:row r="10">
      <x:c r="A10" s="650" t="str">
        <x:v>MAX_CAP_OVERFLOW</x:v>
      </x:c>
      <x:c r="B10" s="314" t="n">
        <x:v>120000000</x:v>
      </x:c>
      <x:c r="C10" s="314" t="n">
        <x:v>20000000</x:v>
      </x:c>
      <x:c r="D10" s="336" t="n">
        <x:f>1/139838160</x:f>
        <x:v>7.1511238420185165e-9</x:v>
      </x:c>
      <x:c r="E10" s="336" t="n">
        <x:f>20/139838160</x:f>
        <x:v>1.4302247684037032e-7</x:v>
      </x:c>
      <x:c r="F10" s="730" t="n">
        <x:f>B10*D10</x:f>
        <x:v>0.858134861042222</x:v>
      </x:c>
      <x:c r="G10" s="730" t="n">
        <x:f>C10*E10</x:f>
        <x:v>2.8604495368074065</x:v>
      </x:c>
      <x:c r="H10" s="730" t="n">
        <x:f>F10+G10</x:f>
        <x:v>3.7185843978496287</x:v>
      </x:c>
      <x:c r="I10" s="730" t="n">
        <x:v>2.5</x:v>
      </x:c>
      <x:c r="J10" s="731" t="n">
        <x:f>H10-I10</x:f>
        <x:v>1.2185843978496287</x:v>
      </x:c>
    </x:row>
    <x:row r="11">
      <x:c r="A11" s="651" t="str">
        <x:v>RESET</x:v>
      </x:c>
      <x:c r="B11" s="728" t="n">
        <x:v>10000000</x:v>
      </x:c>
      <x:c r="C11" s="728" t="n">
        <x:v>0</x:v>
      </x:c>
      <x:c r="D11" s="729" t="n">
        <x:f>1/139838160</x:f>
        <x:v>7.1511238420185165e-9</x:v>
      </x:c>
      <x:c r="E11" s="729" t="n">
        <x:f>20/139838160</x:f>
        <x:v>1.4302247684037032e-7</x:v>
      </x:c>
      <x:c r="F11" s="732" t="n">
        <x:f>B11*D11</x:f>
        <x:v>0.07151123842018517</x:v>
      </x:c>
      <x:c r="G11" s="732" t="n">
        <x:f>C11*E11</x:f>
        <x:v>0</x:v>
      </x:c>
      <x:c r="H11" s="732" t="n">
        <x:f>F11+G11</x:f>
        <x:v>0.07151123842018517</x:v>
      </x:c>
      <x:c r="I11" s="732" t="n">
        <x:v>2.5</x:v>
      </x:c>
      <x:c r="J11" s="733" t="n">
        <x:f>H11-I11</x:f>
        <x:v>-2.428488761579815</x:v>
      </x:c>
    </x:row>
    <x:row r="14">
      <x:c r="A14" s="723" t="str">
        <x:v>Interpretation: reaching the cap or creating prize-class-2 overflow can increase the payout exposure associated with 5+2 or 5+1. It does not make a particular number combination more likely. Real EV requires verified ticket sales, prize pools and expected co-winner counts.</x:v>
      </x:c>
      <x:c r="B14" s="723"/>
      <x:c r="C14" s="723"/>
      <x:c r="D14" s="723"/>
      <x:c r="E14" s="723"/>
      <x:c r="F14" s="723"/>
      <x:c r="G14" s="723"/>
      <x:c r="H14" s="723"/>
      <x:c r="I14" s="723"/>
      <x:c r="J14" s="723"/>
      <x:c r="K14" s="723"/>
      <x:c r="L14" s="723"/>
      <x:c r="M14" s="723"/>
      <x:c r="N14" s="723"/>
    </x:row>
    <x:row r="15">
      <x:c r="A15" s="723"/>
      <x:c r="B15" s="723"/>
      <x:c r="C15" s="723"/>
      <x:c r="D15" s="723"/>
      <x:c r="E15" s="723"/>
      <x:c r="F15" s="723"/>
      <x:c r="G15" s="723"/>
      <x:c r="H15" s="723"/>
      <x:c r="I15" s="723"/>
      <x:c r="J15" s="723"/>
      <x:c r="K15" s="723"/>
      <x:c r="L15" s="723"/>
      <x:c r="M15" s="723"/>
      <x:c r="N15" s="723"/>
    </x:row>
    <x:row r="16">
      <x:c r="A16" s="723"/>
      <x:c r="B16" s="723"/>
      <x:c r="C16" s="723"/>
      <x:c r="D16" s="723"/>
      <x:c r="E16" s="723"/>
      <x:c r="F16" s="723"/>
      <x:c r="G16" s="723"/>
      <x:c r="H16" s="723"/>
      <x:c r="I16" s="723"/>
      <x:c r="J16" s="723"/>
      <x:c r="K16" s="723"/>
      <x:c r="L16" s="723"/>
      <x:c r="M16" s="723"/>
      <x:c r="N16" s="723"/>
    </x:row>
    <x:row r="17">
      <x:c r="A17" s="723"/>
      <x:c r="B17" s="723"/>
      <x:c r="C17" s="723"/>
      <x:c r="D17" s="723"/>
      <x:c r="E17" s="723"/>
      <x:c r="F17" s="723"/>
      <x:c r="G17" s="723"/>
      <x:c r="H17" s="723"/>
      <x:c r="I17" s="723"/>
      <x:c r="J17" s="723"/>
      <x:c r="K17" s="723"/>
      <x:c r="L17" s="723"/>
      <x:c r="M17" s="723"/>
      <x:c r="N17" s="723"/>
    </x:row>
    <x:row r="18">
      <x:c r="A18" s="723"/>
      <x:c r="B18" s="723"/>
      <x:c r="C18" s="723"/>
      <x:c r="D18" s="723"/>
      <x:c r="E18" s="723"/>
      <x:c r="F18" s="723"/>
      <x:c r="G18" s="723"/>
      <x:c r="H18" s="723"/>
      <x:c r="I18" s="723"/>
      <x:c r="J18" s="723"/>
      <x:c r="K18" s="723"/>
      <x:c r="L18" s="723"/>
      <x:c r="M18" s="723"/>
      <x:c r="N18" s="723"/>
    </x:row>
    <x:row r="19">
      <x:c r="A19" s="723"/>
      <x:c r="B19" s="723"/>
      <x:c r="C19" s="723"/>
      <x:c r="D19" s="723"/>
      <x:c r="E19" s="723"/>
      <x:c r="F19" s="723"/>
      <x:c r="G19" s="723"/>
      <x:c r="H19" s="723"/>
      <x:c r="I19" s="723"/>
      <x:c r="J19" s="723"/>
      <x:c r="K19" s="723"/>
      <x:c r="L19" s="723"/>
      <x:c r="M19" s="723"/>
      <x:c r="N19" s="723"/>
    </x:row>
  </x:sheetData>
  <x:mergeCells>
    <x:mergeCell ref="A1:N1"/>
    <x:mergeCell ref="A2:N3"/>
    <x:mergeCell ref="A14:N19"/>
  </x:mergeCells>
  <x:conditionalFormatting sqref="J6:J11">
    <x:cfRule type="expression" dxfId="38" priority="1">
      <x:formula>J6&lt;0</x:formula>
    </x:cfRule>
  </x:conditionalFormatting>
  <x:pageMargins left="0.7" right="0.7" top="0.75" bottom="0.75" header="0.3" footer="0.3"/>
</x:worksheet>
</file>

<file path=xl/worksheets/sheet50.xml><?xml version="1.0" encoding="utf-8"?>
<x:worksheet xmlns:x="http://schemas.openxmlformats.org/spreadsheetml/2006/main">
  <x:sheetFormatPr defaultRowHeight="15"/>
  <x:cols>
    <x:col min="1" max="1" width="13" hidden="0" customWidth="1"/>
    <x:col min="2" max="2" width="13" hidden="0" customWidth="1"/>
    <x:col min="3" max="3" width="17" hidden="0" customWidth="1"/>
    <x:col min="4" max="4" width="12" hidden="0" customWidth="1"/>
    <x:col min="5" max="5" width="10" hidden="0" customWidth="1"/>
    <x:col min="6" max="6" width="10" hidden="0" customWidth="1"/>
    <x:col min="7" max="7" width="10" hidden="0" customWidth="1"/>
    <x:col min="8" max="8" width="15" hidden="0" customWidth="1"/>
    <x:col min="9" max="9" width="17" hidden="0" customWidth="1"/>
    <x:col min="10" max="10" width="16" hidden="0" customWidth="1"/>
    <x:col min="11" max="11" width="11" hidden="0" customWidth="1"/>
    <x:col min="12" max="12" width="22" hidden="0" customWidth="1"/>
    <x:col min="13" max="13" width="13" hidden="0" customWidth="1"/>
    <x:col min="14" max="14" width="13" hidden="0" customWidth="1"/>
    <x:col min="15" max="15" width="50" hidden="0" customWidth="1"/>
    <x:col min="16" max="16" width="30" hidden="0" customWidth="1"/>
  </x:cols>
  <x:sheetData>
    <x:row r="1" ht="30" customHeight="1">
      <x:c r="A1" s="774" t="str">
        <x:v>Jackpot-State History and Import Audit</x:v>
      </x:c>
      <x:c r="B1" s="774"/>
      <x:c r="C1" s="774"/>
      <x:c r="D1" s="774"/>
      <x:c r="E1" s="774"/>
      <x:c r="F1" s="774"/>
      <x:c r="G1" s="774"/>
      <x:c r="H1" s="774"/>
      <x:c r="I1" s="774"/>
      <x:c r="J1" s="774"/>
      <x:c r="K1" s="774"/>
      <x:c r="L1" s="774"/>
      <x:c r="M1" s="774"/>
      <x:c r="N1" s="774"/>
      <x:c r="O1" s="774"/>
      <x:c r="P1" s="774"/>
      <x:c r="Q1" s="260"/>
      <x:c r="R1" s="260"/>
      <x:c r="S1" s="260"/>
      <x:c r="T1" s="260"/>
      <x:c r="U1" s="260"/>
      <x:c r="V1" s="260"/>
      <x:c r="W1" s="260"/>
      <x:c r="X1" s="260"/>
      <x:c r="Y1" s="260"/>
      <x:c r="Z1" s="260"/>
    </x:row>
    <x:row r="3">
      <x:c r="A3" s="665" t="str">
        <x:v>State Type</x:v>
      </x:c>
      <x:c r="B3" s="666" t="str">
        <x:v>Draw Date</x:v>
      </x:c>
      <x:c r="C3" s="666" t="str">
        <x:v>Jackpot</x:v>
      </x:c>
      <x:c r="D3" s="666" t="str">
        <x:v>Rollovers</x:v>
      </x:c>
      <x:c r="E3" s="666" t="str">
        <x:v>Cap</x:v>
      </x:c>
      <x:c r="F3" s="666" t="str">
        <x:v>Won</x:v>
      </x:c>
      <x:c r="G3" s="666" t="str">
        <x:v>Reset</x:v>
      </x:c>
      <x:c r="H3" s="666" t="str">
        <x:v>Overflow Class</x:v>
      </x:c>
      <x:c r="I3" s="666" t="str">
        <x:v>Overflow</x:v>
      </x:c>
      <x:c r="J3" s="666" t="str">
        <x:v>Verification</x:v>
      </x:c>
      <x:c r="K3" s="666" t="str">
        <x:v>Sources</x:v>
      </x:c>
      <x:c r="L3" s="666" t="str">
        <x:v>Mode</x:v>
      </x:c>
      <x:c r="M3" s="666" t="str">
        <x:v>Main P</x:v>
      </x:c>
      <x:c r="N3" s="666" t="str">
        <x:v>Euro P</x:v>
      </x:c>
      <x:c r="O3" s="666" t="str">
        <x:v>Portfolio</x:v>
      </x:c>
      <x:c r="P3" s="667" t="str">
        <x:v>Notes</x:v>
      </x:c>
    </x:row>
    <x:row r="4">
      <x:c r="A4" s="741" t="str">
        <x:v>SELFTEST</x:v>
      </x:c>
      <x:c r="B4" s="686" t="n">
        <x:v>46238</x:v>
      </x:c>
      <x:c r="C4" s="736" t="n">
        <x:v>10000000</x:v>
      </x:c>
      <x:c r="D4" s="296" t="n">
        <x:v>0</x:v>
      </x:c>
      <x:c r="E4" s="681" t="b">
        <x:v>0</x:v>
      </x:c>
      <x:c r="F4" s="681" t="b">
        <x:v>0</x:v>
      </x:c>
      <x:c r="G4" s="681" t="b">
        <x:v>0</x:v>
      </x:c>
      <x:c r="H4" s="296"/>
      <x:c r="I4" s="736" t="n">
        <x:v>0</x:v>
      </x:c>
      <x:c r="J4" s="296" t="str">
        <x:v>VERIFIED</x:v>
      </x:c>
      <x:c r="K4" s="296" t="n">
        <x:v>2</x:v>
      </x:c>
      <x:c r="L4" s="296" t="str">
        <x:v>NORMAL</x:v>
      </x:c>
      <x:c r="M4" s="450" t="n">
        <x:v>0.1</x:v>
      </x:c>
      <x:c r="N4" s="450" t="n">
        <x:v>0.16666666666666666</x:v>
      </x:c>
      <x:c r="O4" s="330" t="str">
        <x:v>Frozen set or diversified low-budget portfolio</x:v>
      </x:c>
      <x:c r="P4" s="643" t="str">
        <x:v>Normal scenario</x:v>
      </x:c>
    </x:row>
    <x:row r="5">
      <x:c r="A5" s="741" t="str">
        <x:v>SELFTEST</x:v>
      </x:c>
      <x:c r="B5" s="686" t="n">
        <x:v>46241</x:v>
      </x:c>
      <x:c r="C5" s="736" t="n">
        <x:v>35000000</x:v>
      </x:c>
      <x:c r="D5" s="296" t="n">
        <x:v>2</x:v>
      </x:c>
      <x:c r="E5" s="681" t="b">
        <x:v>0</x:v>
      </x:c>
      <x:c r="F5" s="681" t="b">
        <x:v>0</x:v>
      </x:c>
      <x:c r="G5" s="681" t="b">
        <x:v>0</x:v>
      </x:c>
      <x:c r="H5" s="296"/>
      <x:c r="I5" s="736" t="n">
        <x:v>0</x:v>
      </x:c>
      <x:c r="J5" s="296" t="str">
        <x:v>VERIFIED</x:v>
      </x:c>
      <x:c r="K5" s="296" t="n">
        <x:v>2</x:v>
      </x:c>
      <x:c r="L5" s="296" t="str">
        <x:v>ROLLOVER</x:v>
      </x:c>
      <x:c r="M5" s="450" t="n">
        <x:v>0.1</x:v>
      </x:c>
      <x:c r="N5" s="450" t="n">
        <x:v>0.16666666666666666</x:v>
      </x:c>
      <x:c r="O5" s="330" t="str">
        <x:v>Diversified lines with moderate overlap limits</x:v>
      </x:c>
      <x:c r="P5" s="643" t="str">
        <x:v>Rollover scenario</x:v>
      </x:c>
    </x:row>
    <x:row r="6">
      <x:c r="A6" s="741" t="str">
        <x:v>SELFTEST</x:v>
      </x:c>
      <x:c r="B6" s="686" t="n">
        <x:v>46245</x:v>
      </x:c>
      <x:c r="C6" s="736" t="n">
        <x:v>95000000</x:v>
      </x:c>
      <x:c r="D6" s="296" t="n">
        <x:v>8</x:v>
      </x:c>
      <x:c r="E6" s="681" t="b">
        <x:v>0</x:v>
      </x:c>
      <x:c r="F6" s="681" t="b">
        <x:v>0</x:v>
      </x:c>
      <x:c r="G6" s="681" t="b">
        <x:v>0</x:v>
      </x:c>
      <x:c r="H6" s="296"/>
      <x:c r="I6" s="736" t="n">
        <x:v>0</x:v>
      </x:c>
      <x:c r="J6" s="296" t="str">
        <x:v>VERIFIED</x:v>
      </x:c>
      <x:c r="K6" s="296" t="n">
        <x:v>2</x:v>
      </x:c>
      <x:c r="L6" s="296" t="str">
        <x:v>HIGH_JACKPOT</x:v>
      </x:c>
      <x:c r="M6" s="450" t="n">
        <x:v>0.1</x:v>
      </x:c>
      <x:c r="N6" s="450" t="n">
        <x:v>0.16666666666666666</x:v>
      </x:c>
      <x:c r="O6" s="330" t="str">
        <x:v>Coverage-focused diversified portfolio within fixed budget</x:v>
      </x:c>
      <x:c r="P6" s="643" t="str">
        <x:v>High jackpot scenario</x:v>
      </x:c>
    </x:row>
    <x:row r="7">
      <x:c r="A7" s="741" t="str">
        <x:v>SELFTEST</x:v>
      </x:c>
      <x:c r="B7" s="686" t="n">
        <x:v>46248</x:v>
      </x:c>
      <x:c r="C7" s="736" t="n">
        <x:v>120000000</x:v>
      </x:c>
      <x:c r="D7" s="296" t="n">
        <x:v>10</x:v>
      </x:c>
      <x:c r="E7" s="681" t="b">
        <x:v>1</x:v>
      </x:c>
      <x:c r="F7" s="681" t="b">
        <x:v>0</x:v>
      </x:c>
      <x:c r="G7" s="681" t="b">
        <x:v>0</x:v>
      </x:c>
      <x:c r="H7" s="296"/>
      <x:c r="I7" s="736" t="n">
        <x:v>0</x:v>
      </x:c>
      <x:c r="J7" s="296" t="str">
        <x:v>VERIFIED</x:v>
      </x:c>
      <x:c r="K7" s="296" t="n">
        <x:v>2</x:v>
      </x:c>
      <x:c r="L7" s="296" t="str">
        <x:v>MAX_CAP</x:v>
      </x:c>
      <x:c r="M7" s="450" t="n">
        <x:v>0.1</x:v>
      </x:c>
      <x:c r="N7" s="450" t="n">
        <x:v>0.16666666666666666</x:v>
      </x:c>
      <x:c r="O7" s="330" t="str">
        <x:v>Maximum-cap portfolio with stronger 5+1 and anti-crowd weighting</x:v>
      </x:c>
      <x:c r="P7" s="643" t="str">
        <x:v>Cap scenario</x:v>
      </x:c>
    </x:row>
    <x:row r="8">
      <x:c r="A8" s="741" t="str">
        <x:v>SELFTEST</x:v>
      </x:c>
      <x:c r="B8" s="686" t="n">
        <x:v>46252</x:v>
      </x:c>
      <x:c r="C8" s="736" t="n">
        <x:v>120000000</x:v>
      </x:c>
      <x:c r="D8" s="296" t="n">
        <x:v>11</x:v>
      </x:c>
      <x:c r="E8" s="681" t="b">
        <x:v>1</x:v>
      </x:c>
      <x:c r="F8" s="681" t="b">
        <x:v>0</x:v>
      </x:c>
      <x:c r="G8" s="681" t="b">
        <x:v>0</x:v>
      </x:c>
      <x:c r="H8" s="296" t="n">
        <x:v>2</x:v>
      </x:c>
      <x:c r="I8" s="736" t="n">
        <x:v>20000000</x:v>
      </x:c>
      <x:c r="J8" s="296" t="str">
        <x:v>VERIFIED</x:v>
      </x:c>
      <x:c r="K8" s="296" t="n">
        <x:v>2</x:v>
      </x:c>
      <x:c r="L8" s="296" t="str">
        <x:v>MAX_CAP_OVERFLOW</x:v>
      </x:c>
      <x:c r="M8" s="450" t="n">
        <x:v>0.1</x:v>
      </x:c>
      <x:c r="N8" s="450" t="n">
        <x:v>0.16666666666666666</x:v>
      </x:c>
      <x:c r="O8" s="330" t="str">
        <x:v>Distinct-main coverage plus wide Euro-pair diversification</x:v>
      </x:c>
      <x:c r="P8" s="643" t="str">
        <x:v>Cap overflow scenario</x:v>
      </x:c>
    </x:row>
    <x:row r="9">
      <x:c r="A9" s="742" t="str">
        <x:v>SELFTEST</x:v>
      </x:c>
      <x:c r="B9" s="735" t="n">
        <x:v>46255</x:v>
      </x:c>
      <x:c r="C9" s="737" t="n">
        <x:v>10000000</x:v>
      </x:c>
      <x:c r="D9" s="652" t="n">
        <x:v>0</x:v>
      </x:c>
      <x:c r="E9" s="734" t="b">
        <x:v>0</x:v>
      </x:c>
      <x:c r="F9" s="734" t="b">
        <x:v>1</x:v>
      </x:c>
      <x:c r="G9" s="734" t="b">
        <x:v>1</x:v>
      </x:c>
      <x:c r="H9" s="652"/>
      <x:c r="I9" s="737" t="n">
        <x:v>0</x:v>
      </x:c>
      <x:c r="J9" s="652" t="str">
        <x:v>VERIFIED</x:v>
      </x:c>
      <x:c r="K9" s="652" t="n">
        <x:v>2</x:v>
      </x:c>
      <x:c r="L9" s="652" t="str">
        <x:v>RESET</x:v>
      </x:c>
      <x:c r="M9" s="738" t="n">
        <x:v>0.1</x:v>
      </x:c>
      <x:c r="N9" s="738" t="n">
        <x:v>0.16666666666666666</x:v>
      </x:c>
      <x:c r="O9" s="688" t="str">
        <x:v>Return to low-cost diversified or frozen portfolio</x:v>
      </x:c>
      <x:c r="P9" s="647" t="str">
        <x:v>Reset scenario</x:v>
      </x:c>
    </x:row>
    <x:row r="12">
      <x:c r="A12" s="678" t="str">
        <x:v>Rows marked SELFTEST are engineering scenarios, not real historical jackpot records. The live operational database starts empty and accepts only validated alert payloads.</x:v>
      </x:c>
      <x:c r="B12" s="678"/>
      <x:c r="C12" s="678"/>
      <x:c r="D12" s="678"/>
      <x:c r="E12" s="678"/>
      <x:c r="F12" s="678"/>
      <x:c r="G12" s="678"/>
      <x:c r="H12" s="678"/>
      <x:c r="I12" s="678"/>
      <x:c r="J12" s="678"/>
      <x:c r="K12" s="678"/>
      <x:c r="L12" s="678"/>
      <x:c r="M12" s="678"/>
      <x:c r="N12" s="678"/>
      <x:c r="O12" s="678"/>
      <x:c r="P12" s="678"/>
    </x:row>
    <x:row r="13">
      <x:c r="A13" s="678"/>
      <x:c r="B13" s="678"/>
      <x:c r="C13" s="678"/>
      <x:c r="D13" s="678"/>
      <x:c r="E13" s="678"/>
      <x:c r="F13" s="678"/>
      <x:c r="G13" s="678"/>
      <x:c r="H13" s="678"/>
      <x:c r="I13" s="678"/>
      <x:c r="J13" s="678"/>
      <x:c r="K13" s="678"/>
      <x:c r="L13" s="678"/>
      <x:c r="M13" s="678"/>
      <x:c r="N13" s="678"/>
      <x:c r="O13" s="678"/>
      <x:c r="P13" s="678"/>
    </x:row>
    <x:row r="14">
      <x:c r="A14" s="678"/>
      <x:c r="B14" s="678"/>
      <x:c r="C14" s="678"/>
      <x:c r="D14" s="678"/>
      <x:c r="E14" s="678"/>
      <x:c r="F14" s="678"/>
      <x:c r="G14" s="678"/>
      <x:c r="H14" s="678"/>
      <x:c r="I14" s="678"/>
      <x:c r="J14" s="678"/>
      <x:c r="K14" s="678"/>
      <x:c r="L14" s="678"/>
      <x:c r="M14" s="678"/>
      <x:c r="N14" s="678"/>
      <x:c r="O14" s="678"/>
      <x:c r="P14" s="678"/>
    </x:row>
    <x:row r="15">
      <x:c r="A15" s="678"/>
      <x:c r="B15" s="678"/>
      <x:c r="C15" s="678"/>
      <x:c r="D15" s="678"/>
      <x:c r="E15" s="678"/>
      <x:c r="F15" s="678"/>
      <x:c r="G15" s="678"/>
      <x:c r="H15" s="678"/>
      <x:c r="I15" s="678"/>
      <x:c r="J15" s="678"/>
      <x:c r="K15" s="678"/>
      <x:c r="L15" s="678"/>
      <x:c r="M15" s="678"/>
      <x:c r="N15" s="678"/>
      <x:c r="O15" s="678"/>
      <x:c r="P15" s="678"/>
    </x:row>
    <x:row r="16">
      <x:c r="A16" s="678"/>
      <x:c r="B16" s="678"/>
      <x:c r="C16" s="678"/>
      <x:c r="D16" s="678"/>
      <x:c r="E16" s="678"/>
      <x:c r="F16" s="678"/>
      <x:c r="G16" s="678"/>
      <x:c r="H16" s="678"/>
      <x:c r="I16" s="678"/>
      <x:c r="J16" s="678"/>
      <x:c r="K16" s="678"/>
      <x:c r="L16" s="678"/>
      <x:c r="M16" s="678"/>
      <x:c r="N16" s="678"/>
      <x:c r="O16" s="678"/>
      <x:c r="P16" s="678"/>
    </x:row>
  </x:sheetData>
  <x:mergeCells>
    <x:mergeCell ref="A1:P1"/>
    <x:mergeCell ref="A12:P16"/>
  </x:mergeCells>
  <x:pageMargins left="0.7" right="0.7" top="0.75" bottom="0.75" header="0.3" footer="0.3"/>
</x:worksheet>
</file>

<file path=xl/worksheets/sheet51.xml><?xml version="1.0" encoding="utf-8"?>
<x:worksheet xmlns:x="http://schemas.openxmlformats.org/spreadsheetml/2006/main">
  <x:sheetFormatPr defaultRowHeight="15"/>
  <x:cols>
    <x:col min="1" max="1" width="31" hidden="0" customWidth="1"/>
    <x:col min="2" max="2" width="38" hidden="0" customWidth="1"/>
    <x:col min="3" max="3" width="42" hidden="0" customWidth="1"/>
    <x:col min="4" max="4" width="40" hidden="0" customWidth="1"/>
    <x:col min="5" max="5" width="32" hidden="0" customWidth="1"/>
    <x:col min="6" max="6" width="27" hidden="0" customWidth="1"/>
  </x:cols>
  <x:sheetData>
    <x:row r="1" ht="30" customHeight="1">
      <x:c r="A1" s="774" t="str">
        <x:v>Prize Watch → Engine Integration Data Flow</x:v>
      </x:c>
      <x:c r="B1" s="774"/>
      <x:c r="C1" s="774"/>
      <x:c r="D1" s="774"/>
      <x:c r="E1" s="774"/>
      <x:c r="F1" s="774"/>
      <x:c r="G1" s="774"/>
      <x:c r="H1" s="774"/>
      <x:c r="I1" s="774"/>
      <x:c r="J1" s="774"/>
      <x:c r="K1" s="774"/>
      <x:c r="L1" s="774"/>
      <x:c r="M1" s="774"/>
      <x:c r="N1" s="260"/>
      <x:c r="O1" s="260"/>
      <x:c r="P1" s="260"/>
      <x:c r="Q1" s="260"/>
      <x:c r="R1" s="260"/>
      <x:c r="S1" s="260"/>
      <x:c r="T1" s="260"/>
      <x:c r="U1" s="260"/>
      <x:c r="V1" s="260"/>
      <x:c r="W1" s="260"/>
      <x:c r="X1" s="260"/>
      <x:c r="Y1" s="260"/>
      <x:c r="Z1" s="260"/>
    </x:row>
    <x:row r="3">
      <x:c r="A3" s="665" t="str">
        <x:v>Stage</x:v>
      </x:c>
      <x:c r="B3" s="666" t="str">
        <x:v>Input</x:v>
      </x:c>
      <x:c r="C3" s="666" t="str">
        <x:v>Validation</x:v>
      </x:c>
      <x:c r="D3" s="666" t="str">
        <x:v>Output</x:v>
      </x:c>
      <x:c r="E3" s="666" t="str">
        <x:v>Failure Action</x:v>
      </x:c>
      <x:c r="F3" s="667" t="str">
        <x:v>Prediction Probability Effect</x:v>
      </x:c>
    </x:row>
    <x:row r="4">
      <x:c r="A4" s="650" t="str">
        <x:v>1. Scheduled Prize Watch</x:v>
      </x:c>
      <x:c r="B4" s="330" t="str">
        <x:v>Official/current jackpot and result sources</x:v>
      </x:c>
      <x:c r="C4" s="330" t="str">
        <x:v>Check change condition</x:v>
      </x:c>
      <x:c r="D4" s="330" t="str">
        <x:v>Alert with ENGINE_STATE_JSON</x:v>
      </x:c>
      <x:c r="E4" s="330" t="str">
        <x:v>No alert if unchanged</x:v>
      </x:c>
      <x:c r="F4" s="646" t="str">
        <x:v>None</x:v>
      </x:c>
    </x:row>
    <x:row r="5">
      <x:c r="A5" s="650" t="str">
        <x:v>2. JSON importer</x:v>
      </x:c>
      <x:c r="B5" s="330" t="str">
        <x:v>ENGINE_STATE_JSON</x:v>
      </x:c>
      <x:c r="C5" s="330" t="str">
        <x:v>Ranges, cap consistency, source count, URLs</x:v>
      </x:c>
      <x:c r="D5" s="330" t="str">
        <x:v>Validated JackpotState</x:v>
      </x:c>
      <x:c r="E5" s="330" t="str">
        <x:v>Reject and audit</x:v>
      </x:c>
      <x:c r="F5" s="646" t="str">
        <x:v>None</x:v>
      </x:c>
    </x:row>
    <x:row r="6">
      <x:c r="A6" s="650" t="str">
        <x:v>3. SQLite storage</x:v>
      </x:c>
      <x:c r="B6" s="330" t="str">
        <x:v>Validated state</x:v>
      </x:c>
      <x:c r="C6" s="330" t="str">
        <x:v>Unique draw date and append audit</x:v>
      </x:c>
      <x:c r="D6" s="330" t="str">
        <x:v>jackpot_state row</x:v>
      </x:c>
      <x:c r="E6" s="330" t="str">
        <x:v>Rollback</x:v>
      </x:c>
      <x:c r="F6" s="646" t="str">
        <x:v>None</x:v>
      </x:c>
    </x:row>
    <x:row r="7">
      <x:c r="A7" s="650" t="str">
        <x:v>4. State machine</x:v>
      </x:c>
      <x:c r="B7" s="330" t="str">
        <x:v>Current and previous state</x:v>
      </x:c>
      <x:c r="C7" s="330" t="str">
        <x:v>Mode rules</x:v>
      </x:c>
      <x:c r="D7" s="330" t="str">
        <x:v>NORMAL / ROLLOVER / HIGH / CAP / OVERFLOW / RESET</x:v>
      </x:c>
      <x:c r="E7" s="330" t="str">
        <x:v>Fallback NORMAL</x:v>
      </x:c>
      <x:c r="F7" s="646" t="str">
        <x:v>None</x:v>
      </x:c>
    </x:row>
    <x:row r="8">
      <x:c r="A8" s="650" t="str">
        <x:v>5. Portfolio optimiser</x:v>
      </x:c>
      <x:c r="B8" s="330" t="str">
        <x:v>Mode profile</x:v>
      </x:c>
      <x:c r="C8" s="330" t="str">
        <x:v>Budget and coverage constraints</x:v>
      </x:c>
      <x:c r="D8" s="330" t="str">
        <x:v>Updated payout/diversity weights</x:v>
      </x:c>
      <x:c r="E8" s="330" t="str">
        <x:v>Preserve prior safe profile</x:v>
      </x:c>
      <x:c r="F8" s="646" t="str">
        <x:v>None</x:v>
      </x:c>
    </x:row>
    <x:row r="9">
      <x:c r="A9" s="650" t="str">
        <x:v>6. Prediction engine</x:v>
      </x:c>
      <x:c r="B9" s="330" t="str">
        <x:v>Historical draw data only</x:v>
      </x:c>
      <x:c r="C9" s="330" t="str">
        <x:v>Existing v3.4 gates</x:v>
      </x:c>
      <x:c r="D9" s="330" t="str">
        <x:v>Uniform or validated probabilities</x:v>
      </x:c>
      <x:c r="E9" s="330" t="str">
        <x:v>Uniform fallback</x:v>
      </x:c>
      <x:c r="F9" s="646" t="str">
        <x:v>Jackpot data excluded</x:v>
      </x:c>
    </x:row>
    <x:row r="10">
      <x:c r="A10" s="651" t="str">
        <x:v>7. Desktop/workbook</x:v>
      </x:c>
      <x:c r="B10" s="688" t="str">
        <x:v>Database state and strategy</x:v>
      </x:c>
      <x:c r="C10" s="688" t="str">
        <x:v>Display-only cross-check</x:v>
      </x:c>
      <x:c r="D10" s="688" t="str">
        <x:v>Dashboard and audit trail</x:v>
      </x:c>
      <x:c r="E10" s="688" t="str">
        <x:v>Show pending/error</x:v>
      </x:c>
      <x:c r="F10" s="745" t="str">
        <x:v>None</x:v>
      </x:c>
    </x:row>
    <x:row r="12" ht="22" customHeight="1">
      <x:c r="A12" s="627" t="str">
        <x:v>Machine-Readable Alert Contract</x:v>
      </x:c>
      <x:c r="B12" s="627"/>
      <x:c r="C12" s="627"/>
      <x:c r="D12" s="627"/>
      <x:c r="E12" s="627"/>
      <x:c r="F12" s="627"/>
      <x:c r="G12" s="627"/>
      <x:c r="H12" s="627"/>
      <x:c r="I12" s="627"/>
      <x:c r="J12" s="627"/>
      <x:c r="K12" s="627"/>
      <x:c r="L12" s="627"/>
      <x:c r="M12" s="627"/>
    </x:row>
    <x:row r="14">
      <x:c r="A14" s="747" t="str">
        <x:v>{
  "ENGINE_STATE_JSON": {
    "draw_date": "YYYY-MM-DD",
    "jackpot_eur": 0.0,
    "rollover_count": 0,
    "cap_eur": 120000000.0,
    "cap_reached": false,
    "jackpot_won": false,
    "reset_detected": false,
    "overflow_class": null,
    "overflow_eur": 0.0,
    "prize_class_2_pool_eur": null,
    "total_columns": null,
    "verification_status": "VERIFIED",
    "source_count": 2,
    "primary_source_url": "https://...",
    "secondary_source_url": "https://...",
    "checked_at_utc": "2026-07-26T12:28:53.023036+00:00",
    "notes": ""
  }
}</x:v>
      </x:c>
      <x:c r="B14" s="747"/>
      <x:c r="C14" s="747"/>
      <x:c r="D14" s="747"/>
      <x:c r="E14" s="747"/>
      <x:c r="F14" s="747"/>
      <x:c r="G14" s="747"/>
      <x:c r="H14" s="747"/>
      <x:c r="I14" s="747"/>
      <x:c r="J14" s="747"/>
      <x:c r="K14" s="747"/>
      <x:c r="L14" s="747"/>
      <x:c r="M14" s="747"/>
    </x:row>
    <x:row r="15">
      <x:c r="A15" s="747"/>
      <x:c r="B15" s="747"/>
      <x:c r="C15" s="747"/>
      <x:c r="D15" s="747"/>
      <x:c r="E15" s="747"/>
      <x:c r="F15" s="747"/>
      <x:c r="G15" s="747"/>
      <x:c r="H15" s="747"/>
      <x:c r="I15" s="747"/>
      <x:c r="J15" s="747"/>
      <x:c r="K15" s="747"/>
      <x:c r="L15" s="747"/>
      <x:c r="M15" s="747"/>
    </x:row>
    <x:row r="16">
      <x:c r="A16" s="747"/>
      <x:c r="B16" s="747"/>
      <x:c r="C16" s="747"/>
      <x:c r="D16" s="747"/>
      <x:c r="E16" s="747"/>
      <x:c r="F16" s="747"/>
      <x:c r="G16" s="747"/>
      <x:c r="H16" s="747"/>
      <x:c r="I16" s="747"/>
      <x:c r="J16" s="747"/>
      <x:c r="K16" s="747"/>
      <x:c r="L16" s="747"/>
      <x:c r="M16" s="747"/>
    </x:row>
    <x:row r="17">
      <x:c r="A17" s="747"/>
      <x:c r="B17" s="747"/>
      <x:c r="C17" s="747"/>
      <x:c r="D17" s="747"/>
      <x:c r="E17" s="747"/>
      <x:c r="F17" s="747"/>
      <x:c r="G17" s="747"/>
      <x:c r="H17" s="747"/>
      <x:c r="I17" s="747"/>
      <x:c r="J17" s="747"/>
      <x:c r="K17" s="747"/>
      <x:c r="L17" s="747"/>
      <x:c r="M17" s="747"/>
    </x:row>
    <x:row r="18">
      <x:c r="A18" s="747"/>
      <x:c r="B18" s="747"/>
      <x:c r="C18" s="747"/>
      <x:c r="D18" s="747"/>
      <x:c r="E18" s="747"/>
      <x:c r="F18" s="747"/>
      <x:c r="G18" s="747"/>
      <x:c r="H18" s="747"/>
      <x:c r="I18" s="747"/>
      <x:c r="J18" s="747"/>
      <x:c r="K18" s="747"/>
      <x:c r="L18" s="747"/>
      <x:c r="M18" s="747"/>
    </x:row>
    <x:row r="19">
      <x:c r="A19" s="747"/>
      <x:c r="B19" s="747"/>
      <x:c r="C19" s="747"/>
      <x:c r="D19" s="747"/>
      <x:c r="E19" s="747"/>
      <x:c r="F19" s="747"/>
      <x:c r="G19" s="747"/>
      <x:c r="H19" s="747"/>
      <x:c r="I19" s="747"/>
      <x:c r="J19" s="747"/>
      <x:c r="K19" s="747"/>
      <x:c r="L19" s="747"/>
      <x:c r="M19" s="747"/>
    </x:row>
    <x:row r="20">
      <x:c r="A20" s="747"/>
      <x:c r="B20" s="747"/>
      <x:c r="C20" s="747"/>
      <x:c r="D20" s="747"/>
      <x:c r="E20" s="747"/>
      <x:c r="F20" s="747"/>
      <x:c r="G20" s="747"/>
      <x:c r="H20" s="747"/>
      <x:c r="I20" s="747"/>
      <x:c r="J20" s="747"/>
      <x:c r="K20" s="747"/>
      <x:c r="L20" s="747"/>
      <x:c r="M20" s="747"/>
    </x:row>
    <x:row r="21">
      <x:c r="A21" s="747"/>
      <x:c r="B21" s="747"/>
      <x:c r="C21" s="747"/>
      <x:c r="D21" s="747"/>
      <x:c r="E21" s="747"/>
      <x:c r="F21" s="747"/>
      <x:c r="G21" s="747"/>
      <x:c r="H21" s="747"/>
      <x:c r="I21" s="747"/>
      <x:c r="J21" s="747"/>
      <x:c r="K21" s="747"/>
      <x:c r="L21" s="747"/>
      <x:c r="M21" s="747"/>
    </x:row>
    <x:row r="22">
      <x:c r="A22" s="747"/>
      <x:c r="B22" s="747"/>
      <x:c r="C22" s="747"/>
      <x:c r="D22" s="747"/>
      <x:c r="E22" s="747"/>
      <x:c r="F22" s="747"/>
      <x:c r="G22" s="747"/>
      <x:c r="H22" s="747"/>
      <x:c r="I22" s="747"/>
      <x:c r="J22" s="747"/>
      <x:c r="K22" s="747"/>
      <x:c r="L22" s="747"/>
      <x:c r="M22" s="747"/>
    </x:row>
    <x:row r="23">
      <x:c r="A23" s="747"/>
      <x:c r="B23" s="747"/>
      <x:c r="C23" s="747"/>
      <x:c r="D23" s="747"/>
      <x:c r="E23" s="747"/>
      <x:c r="F23" s="747"/>
      <x:c r="G23" s="747"/>
      <x:c r="H23" s="747"/>
      <x:c r="I23" s="747"/>
      <x:c r="J23" s="747"/>
      <x:c r="K23" s="747"/>
      <x:c r="L23" s="747"/>
      <x:c r="M23" s="747"/>
    </x:row>
    <x:row r="24">
      <x:c r="A24" s="747"/>
      <x:c r="B24" s="747"/>
      <x:c r="C24" s="747"/>
      <x:c r="D24" s="747"/>
      <x:c r="E24" s="747"/>
      <x:c r="F24" s="747"/>
      <x:c r="G24" s="747"/>
      <x:c r="H24" s="747"/>
      <x:c r="I24" s="747"/>
      <x:c r="J24" s="747"/>
      <x:c r="K24" s="747"/>
      <x:c r="L24" s="747"/>
      <x:c r="M24" s="747"/>
    </x:row>
    <x:row r="25">
      <x:c r="A25" s="747"/>
      <x:c r="B25" s="747"/>
      <x:c r="C25" s="747"/>
      <x:c r="D25" s="747"/>
      <x:c r="E25" s="747"/>
      <x:c r="F25" s="747"/>
      <x:c r="G25" s="747"/>
      <x:c r="H25" s="747"/>
      <x:c r="I25" s="747"/>
      <x:c r="J25" s="747"/>
      <x:c r="K25" s="747"/>
      <x:c r="L25" s="747"/>
      <x:c r="M25" s="747"/>
    </x:row>
    <x:row r="26">
      <x:c r="A26" s="747"/>
      <x:c r="B26" s="747"/>
      <x:c r="C26" s="747"/>
      <x:c r="D26" s="747"/>
      <x:c r="E26" s="747"/>
      <x:c r="F26" s="747"/>
      <x:c r="G26" s="747"/>
      <x:c r="H26" s="747"/>
      <x:c r="I26" s="747"/>
      <x:c r="J26" s="747"/>
      <x:c r="K26" s="747"/>
      <x:c r="L26" s="747"/>
      <x:c r="M26" s="747"/>
    </x:row>
    <x:row r="27">
      <x:c r="A27" s="747"/>
      <x:c r="B27" s="747"/>
      <x:c r="C27" s="747"/>
      <x:c r="D27" s="747"/>
      <x:c r="E27" s="747"/>
      <x:c r="F27" s="747"/>
      <x:c r="G27" s="747"/>
      <x:c r="H27" s="747"/>
      <x:c r="I27" s="747"/>
      <x:c r="J27" s="747"/>
      <x:c r="K27" s="747"/>
      <x:c r="L27" s="747"/>
      <x:c r="M27" s="747"/>
    </x:row>
    <x:row r="28">
      <x:c r="A28" s="747"/>
      <x:c r="B28" s="747"/>
      <x:c r="C28" s="747"/>
      <x:c r="D28" s="747"/>
      <x:c r="E28" s="747"/>
      <x:c r="F28" s="747"/>
      <x:c r="G28" s="747"/>
      <x:c r="H28" s="747"/>
      <x:c r="I28" s="747"/>
      <x:c r="J28" s="747"/>
      <x:c r="K28" s="747"/>
      <x:c r="L28" s="747"/>
      <x:c r="M28" s="747"/>
    </x:row>
    <x:row r="29">
      <x:c r="A29" s="747"/>
      <x:c r="B29" s="747"/>
      <x:c r="C29" s="747"/>
      <x:c r="D29" s="747"/>
      <x:c r="E29" s="747"/>
      <x:c r="F29" s="747"/>
      <x:c r="G29" s="747"/>
      <x:c r="H29" s="747"/>
      <x:c r="I29" s="747"/>
      <x:c r="J29" s="747"/>
      <x:c r="K29" s="747"/>
      <x:c r="L29" s="747"/>
      <x:c r="M29" s="747"/>
    </x:row>
  </x:sheetData>
  <x:mergeCells>
    <x:mergeCell ref="A1:M1"/>
    <x:mergeCell ref="A12:M12"/>
    <x:mergeCell ref="A14:M29"/>
  </x:mergeCells>
  <x:pageMargins left="0.7" right="0.7" top="0.75" bottom="0.75" header="0.3" footer="0.3"/>
</x:worksheet>
</file>

<file path=xl/worksheets/sheet52.xml><?xml version="1.0" encoding="utf-8"?>
<x:worksheet xmlns:x="http://schemas.openxmlformats.org/spreadsheetml/2006/main">
  <x:sheetFormatPr defaultRowHeight="15"/>
  <x:cols>
    <x:col min="1" max="1" width="32" hidden="0" customWidth="1"/>
    <x:col min="2" max="2" width="70" hidden="0" customWidth="1"/>
    <x:col min="3" max="3" width="34" hidden="0" customWidth="1"/>
    <x:col min="4" max="4" width="26" hidden="0" customWidth="1"/>
    <x:col min="5" max="5" width="16" hidden="0" customWidth="1"/>
    <x:col min="6" max="6" width="27" hidden="0" customWidth="1"/>
    <x:col min="7" max="7" width="42" hidden="0" customWidth="1"/>
  </x:cols>
  <x:sheetData>
    <x:row r="1" ht="30" customHeight="1">
      <x:c r="A1" s="774" t="str">
        <x:v>Jackpot, Cap and Overflow Source Registry</x:v>
      </x:c>
      <x:c r="B1" s="774"/>
      <x:c r="C1" s="774"/>
      <x:c r="D1" s="774"/>
      <x:c r="E1" s="774"/>
      <x:c r="F1" s="774"/>
      <x:c r="G1" s="774"/>
      <x:c r="H1" s="774"/>
      <x:c r="I1" s="774"/>
      <x:c r="J1" s="774"/>
      <x:c r="K1" s="774"/>
      <x:c r="L1" s="774"/>
      <x:c r="M1" s="260"/>
      <x:c r="N1" s="260"/>
      <x:c r="O1" s="260"/>
      <x:c r="P1" s="260"/>
      <x:c r="Q1" s="260"/>
      <x:c r="R1" s="260"/>
      <x:c r="S1" s="260"/>
      <x:c r="T1" s="260"/>
      <x:c r="U1" s="260"/>
      <x:c r="V1" s="260"/>
      <x:c r="W1" s="260"/>
      <x:c r="X1" s="260"/>
      <x:c r="Y1" s="260"/>
      <x:c r="Z1" s="260"/>
    </x:row>
    <x:row r="3">
      <x:c r="A3" s="665" t="str">
        <x:v>Source</x:v>
      </x:c>
      <x:c r="B3" s="666" t="str">
        <x:v>URL</x:v>
      </x:c>
      <x:c r="C3" s="666" t="str">
        <x:v>Role</x:v>
      </x:c>
      <x:c r="D3" s="666" t="str">
        <x:v>Minimum Use</x:v>
      </x:c>
      <x:c r="E3" s="666" t="str">
        <x:v>Status</x:v>
      </x:c>
      <x:c r="F3" s="666" t="str">
        <x:v>Engine Field</x:v>
      </x:c>
      <x:c r="G3" s="667" t="str">
        <x:v>Notes</x:v>
      </x:c>
    </x:row>
    <x:row r="4">
      <x:c r="A4" s="650" t="str">
        <x:v>LOTTO.de EuroJackpot rules</x:v>
      </x:c>
      <x:c r="B4" s="330" t="str">
        <x:v>https://www.lotto.de/eurojackpot/spielregeln</x:v>
      </x:c>
      <x:c r="C4" s="330" t="str">
        <x:v>Cap and overflow rules</x:v>
      </x:c>
      <x:c r="D4" s="330" t="str">
        <x:v>Rule configuration</x:v>
      </x:c>
      <x:c r="E4" s="330" t="str">
        <x:v>REGISTERED</x:v>
      </x:c>
      <x:c r="F4" s="330" t="str">
        <x:v>cap_eur / overflow_class</x:v>
      </x:c>
      <x:c r="G4" s="643" t="str">
        <x:v>Official German lottery portal</x:v>
      </x:c>
    </x:row>
    <x:row r="5">
      <x:c r="A5" s="650" t="str">
        <x:v>EuroJackpot rules</x:v>
      </x:c>
      <x:c r="B5" s="330" t="str">
        <x:v>https://www.eurojackpot.com/en/rules</x:v>
      </x:c>
      <x:c r="C5" s="330" t="str">
        <x:v>Prize classes and results</x:v>
      </x:c>
      <x:c r="D5" s="330" t="str">
        <x:v>Secondary cross-check</x:v>
      </x:c>
      <x:c r="E5" s="330" t="str">
        <x:v>REGISTERED</x:v>
      </x:c>
      <x:c r="F5" s="330" t="str">
        <x:v>result / prize classes</x:v>
      </x:c>
      <x:c r="G5" s="643" t="str">
        <x:v>EuroJackpot public site</x:v>
      </x:c>
    </x:row>
    <x:row r="6">
      <x:c r="A6" s="650" t="str">
        <x:v>LOTTO.de cap press releases</x:v>
      </x:c>
      <x:c r="B6" s="330" t="str">
        <x:v>https://www.lotto.de/ueber/neuigkeiten/eurojackpot/</x:v>
      </x:c>
      <x:c r="C6" s="330" t="str">
        <x:v>Document actual overflow cases</x:v>
      </x:c>
      <x:c r="D6" s="330" t="str">
        <x:v>Event cross-check</x:v>
      </x:c>
      <x:c r="E6" s="330" t="str">
        <x:v>REGISTERED</x:v>
      </x:c>
      <x:c r="F6" s="330" t="str">
        <x:v>overflow_eur</x:v>
      </x:c>
      <x:c r="G6" s="643" t="str">
        <x:v>Use specific dated article</x:v>
      </x:c>
    </x:row>
    <x:row r="7">
      <x:c r="A7" s="651" t="str">
        <x:v>OPAP EuroJackpot</x:v>
      </x:c>
      <x:c r="B7" s="688" t="str">
        <x:v>https://www.opap.gr/en/how-to-play-eurojackpot</x:v>
      </x:c>
      <x:c r="C7" s="688" t="str">
        <x:v>Greek line price and local rules</x:v>
      </x:c>
      <x:c r="D7" s="688" t="str">
        <x:v>Greek market context</x:v>
      </x:c>
      <x:c r="E7" s="688" t="str">
        <x:v>REGISTERED</x:v>
      </x:c>
      <x:c r="F7" s="688" t="str">
        <x:v>line_cost_eur</x:v>
      </x:c>
      <x:c r="G7" s="647" t="str">
        <x:v>May require page-format adapter</x:v>
      </x:c>
    </x:row>
  </x:sheetData>
  <x:mergeCells>
    <x:mergeCell ref="A1:L1"/>
  </x:mergeCells>
  <x:pageMargins left="0.7" right="0.7" top="0.75" bottom="0.75" header="0.3" footer="0.3"/>
</x:worksheet>
</file>

<file path=xl/worksheets/sheet53.xml><?xml version="1.0" encoding="utf-8"?>
<x:worksheet xmlns:x="http://schemas.openxmlformats.org/spreadsheetml/2006/main">
  <x:sheetFormatPr defaultRowHeight="15"/>
  <x:cols>
    <x:col min="1" max="1" width="34" hidden="0" customWidth="1"/>
    <x:col min="2" max="2" width="14" hidden="0" customWidth="1"/>
    <x:col min="3" max="3" width="72" hidden="0" customWidth="1"/>
    <x:col min="4" max="4" width="35" hidden="0" customWidth="1"/>
    <x:col min="5" max="5" width="18" hidden="0" customWidth="1"/>
    <x:col min="6" max="6" width="12" hidden="0" customWidth="1"/>
    <x:col min="7" max="7" width="12" hidden="0" customWidth="1"/>
    <x:col min="8" max="8" width="12" hidden="0" customWidth="1"/>
  </x:cols>
  <x:sheetData>
    <x:row r="1">
      <x:c r="A1" s="850" t="str">
        <x:v>EuroJackpot Reliability Engine v3.5 — Final Release Audit</x:v>
      </x:c>
      <x:c r="B1" s="850"/>
      <x:c r="C1" s="850"/>
      <x:c r="D1" s="850"/>
      <x:c r="E1" s="850"/>
      <x:c r="F1" s="850"/>
      <x:c r="G1" s="850"/>
      <x:c r="H1" s="850"/>
      <x:c r="I1" s="260"/>
      <x:c r="J1" s="260"/>
      <x:c r="K1" s="260"/>
      <x:c r="L1" s="260"/>
      <x:c r="M1" s="260"/>
      <x:c r="N1" s="260"/>
      <x:c r="O1" s="260"/>
      <x:c r="P1" s="260"/>
      <x:c r="Q1" s="260"/>
      <x:c r="R1" s="260"/>
      <x:c r="S1" s="260"/>
      <x:c r="T1" s="260"/>
      <x:c r="U1" s="260"/>
      <x:c r="V1" s="260"/>
      <x:c r="W1" s="260"/>
      <x:c r="X1" s="260"/>
      <x:c r="Y1" s="260"/>
      <x:c r="Z1" s="260"/>
    </x:row>
    <x:row r="2">
      <x:c r="A2" s="811" t="str">
        <x:v>Final clean-room release validation after portability and SQLite packaging repairs. All blocking checks passed. Jackpot-state information remains isolated from draw-number probabilities.</x:v>
      </x:c>
      <x:c r="B2" s="811"/>
      <x:c r="C2" s="811"/>
      <x:c r="D2" s="811"/>
      <x:c r="E2" s="811"/>
      <x:c r="F2" s="811"/>
      <x:c r="G2" s="811"/>
      <x:c r="H2" s="811"/>
    </x:row>
    <x:row r="3">
      <x:c r="A3" s="811"/>
      <x:c r="B3" s="811"/>
      <x:c r="C3" s="811"/>
      <x:c r="D3" s="811"/>
      <x:c r="E3" s="811"/>
      <x:c r="F3" s="811"/>
      <x:c r="G3" s="811"/>
      <x:c r="H3" s="811"/>
    </x:row>
    <x:row r="5">
      <x:c r="A5" s="815" t="str">
        <x:v>Blocking Release Checks</x:v>
      </x:c>
      <x:c r="B5" s="815"/>
      <x:c r="C5" s="815"/>
      <x:c r="D5" s="815"/>
      <x:c r="E5" s="815"/>
      <x:c r="F5" s="815"/>
      <x:c r="G5" s="815"/>
      <x:c r="H5" s="815"/>
    </x:row>
    <x:row r="6">
      <x:c r="A6" s="836" t="str">
        <x:v>Check</x:v>
      </x:c>
      <x:c r="B6" s="837" t="str">
        <x:v>Status</x:v>
      </x:c>
      <x:c r="C6" s="837" t="str">
        <x:v>Evidence</x:v>
      </x:c>
      <x:c r="D6" s="837" t="str">
        <x:v>Expected</x:v>
      </x:c>
      <x:c r="E6" s="838" t="str">
        <x:v>Release Impact</x:v>
      </x:c>
    </x:row>
    <x:row r="7">
      <x:c r="A7" s="819" t="str">
        <x:v>Canonical draw history</x:v>
      </x:c>
      <x:c r="B7" s="841" t="str">
        <x:v>PASS</x:v>
      </x:c>
      <x:c r="C7" s="330" t="str">
        <x:v>975 draws; 2012-03-23 to 2026-07-24</x:v>
      </x:c>
      <x:c r="D7" s="330" t="str">
        <x:v>975 complete dates</x:v>
      </x:c>
      <x:c r="E7" s="843" t="str">
        <x:v>Blocking</x:v>
      </x:c>
    </x:row>
    <x:row r="8">
      <x:c r="A8" s="819" t="str">
        <x:v>Calendar completeness</x:v>
      </x:c>
      <x:c r="B8" s="841" t="str">
        <x:v>PASS</x:v>
      </x:c>
      <x:c r="C8" s="330" t="str">
        <x:v>975/975; no missing or duplicates</x:v>
      </x:c>
      <x:c r="D8" s="330" t="str">
        <x:v>Exact schedule match</x:v>
      </x:c>
      <x:c r="E8" s="843" t="str">
        <x:v>Blocking</x:v>
      </x:c>
    </x:row>
    <x:row r="9">
      <x:c r="A9" s="819" t="str">
        <x:v>Historical feature construction</x:v>
      </x:c>
      <x:c r="B9" s="841" t="str">
        <x:v>PASS</x:v>
      </x:c>
      <x:c r="C9" s="330" t="str">
        <x:v>Main [8000, 32]; Euro [1334, 32]; 32 features</x:v>
      </x:c>
      <x:c r="D9" s="330" t="str">
        <x:v>Non-empty online panels</x:v>
      </x:c>
      <x:c r="E9" s="843" t="str">
        <x:v>Blocking</x:v>
      </x:c>
    </x:row>
    <x:row r="10">
      <x:c r="A10" s="819" t="str">
        <x:v>Weekday audit smoke</x:v>
      </x:c>
      <x:c r="B10" s="841" t="str">
        <x:v>PASS</x:v>
      </x:c>
      <x:c r="C10" s="330" t="str">
        <x:v>195 holdout draws; p=0.610</x:v>
      </x:c>
      <x:c r="D10" s="330" t="str">
        <x:v>Completes without leakage/error</x:v>
      </x:c>
      <x:c r="E10" s="843" t="str">
        <x:v>Blocking</x:v>
      </x:c>
    </x:row>
    <x:row r="11">
      <x:c r="A11" s="819" t="str">
        <x:v>Operational database integrity</x:v>
      </x:c>
      <x:c r="B11" s="841" t="str">
        <x:v>PASS</x:v>
      </x:c>
      <x:c r="C11" s="330" t="str">
        <x:v>PRAGMA integrity_check=ok; FK violations=0</x:v>
      </x:c>
      <x:c r="D11" s="330" t="str">
        <x:v>ok / zero violations</x:v>
      </x:c>
      <x:c r="E11" s="843" t="str">
        <x:v>Blocking</x:v>
      </x:c>
    </x:row>
    <x:row r="12">
      <x:c r="A12" s="819" t="str">
        <x:v>Operational records</x:v>
      </x:c>
      <x:c r="B12" s="841" t="str">
        <x:v>PASS</x:v>
      </x:c>
      <x:c r="C12" s="330" t="str">
        <x:v>975 draws, 8 models, 1 frozen prediction</x:v>
      </x:c>
      <x:c r="D12" s="330" t="str">
        <x:v>975 / 8 / ≥1</x:v>
      </x:c>
      <x:c r="E12" s="843" t="str">
        <x:v>Blocking</x:v>
      </x:c>
    </x:row>
    <x:row r="13">
      <x:c r="A13" s="819" t="str">
        <x:v>Verified cap-overflow import</x:v>
      </x:c>
      <x:c r="B13" s="841" t="str">
        <x:v>PASS</x:v>
      </x:c>
      <x:c r="C13" s="330" t="str">
        <x:v>MAX_CAP_OVERFLOW</x:v>
      </x:c>
      <x:c r="D13" s="330" t="str">
        <x:v>MAX_CAP_OVERFLOW</x:v>
      </x:c>
      <x:c r="E13" s="843" t="str">
        <x:v>Blocking</x:v>
      </x:c>
    </x:row>
    <x:row r="14">
      <x:c r="A14" s="819" t="str">
        <x:v>One-source rejection</x:v>
      </x:c>
      <x:c r="B14" s="841" t="str">
        <x:v>PASS</x:v>
      </x:c>
      <x:c r="C14" s="330" t="str">
        <x:v>VERIFIED state requires at least two sources; VERIFIED state requires primary and secondary source URLs</x:v>
      </x:c>
      <x:c r="D14" s="330" t="str">
        <x:v>Rejected</x:v>
      </x:c>
      <x:c r="E14" s="843" t="str">
        <x:v>Blocking</x:v>
      </x:c>
    </x:row>
    <x:row r="15">
      <x:c r="A15" s="819" t="str">
        <x:v>Inconsistent-cap rejection</x:v>
      </x:c>
      <x:c r="B15" s="841" t="str">
        <x:v>PASS</x:v>
      </x:c>
      <x:c r="C15" s="330" t="str">
        <x:v>cap_reached is inconsistent with jackpot_eur and cap_eur</x:v>
      </x:c>
      <x:c r="D15" s="330" t="str">
        <x:v>Rejected</x:v>
      </x:c>
      <x:c r="E15" s="843" t="str">
        <x:v>Blocking</x:v>
      </x:c>
    </x:row>
    <x:row r="16">
      <x:c r="A16" s="819" t="str">
        <x:v>Probability invariance</x:v>
      </x:c>
      <x:c r="B16" s="841" t="str">
        <x:v>PASS</x:v>
      </x:c>
      <x:c r="C16" s="330" t="str">
        <x:v>Main=10.0000%; Euro=16.6667%</x:v>
      </x:c>
      <x:c r="D16" s="330" t="str">
        <x:v>10% / 16.6667%</x:v>
      </x:c>
      <x:c r="E16" s="843" t="str">
        <x:v>Blocking</x:v>
      </x:c>
    </x:row>
    <x:row r="17">
      <x:c r="A17" s="819" t="str">
        <x:v>Frozen prediction preservation</x:v>
      </x:c>
      <x:c r="B17" s="841" t="str">
        <x:v>PASS</x:v>
      </x:c>
      <x:c r="C17" s="330" t="str">
        <x:v>[4, 21, 35, 37, 42] + [5, 7]</x:v>
      </x:c>
      <x:c r="D17" s="330" t="str">
        <x:v>Original line unchanged</x:v>
      </x:c>
      <x:c r="E17" s="843" t="str">
        <x:v>Blocking</x:v>
      </x:c>
    </x:row>
    <x:row r="18">
      <x:c r="A18" s="821" t="str">
        <x:v>Post-import database integrity</x:v>
      </x:c>
      <x:c r="B18" s="842" t="str">
        <x:v>PASS</x:v>
      </x:c>
      <x:c r="C18" s="844" t="str">
        <x:v>ok</x:v>
      </x:c>
      <x:c r="D18" s="844" t="str">
        <x:v>ok</x:v>
      </x:c>
      <x:c r="E18" s="845" t="str">
        <x:v>Blocking</x:v>
      </x:c>
    </x:row>
    <x:row r="20">
      <x:c r="A20" s="815" t="str">
        <x:v>Package and Code Validation</x:v>
      </x:c>
      <x:c r="B20" s="815"/>
      <x:c r="C20" s="815"/>
      <x:c r="D20" s="815"/>
      <x:c r="E20" s="815"/>
      <x:c r="F20" s="815"/>
      <x:c r="G20" s="815"/>
      <x:c r="H20" s="815"/>
    </x:row>
    <x:row r="21">
      <x:c r="A21" s="836" t="str">
        <x:v>Check</x:v>
      </x:c>
      <x:c r="B21" s="837" t="str">
        <x:v>Status</x:v>
      </x:c>
      <x:c r="C21" s="837" t="str">
        <x:v>Evidence</x:v>
      </x:c>
      <x:c r="D21" s="838" t="str">
        <x:v>Notes</x:v>
      </x:c>
    </x:row>
    <x:row r="22">
      <x:c r="A22" s="819" t="str">
        <x:v>ZIP CRC and duplicate scan</x:v>
      </x:c>
      <x:c r="B22" s="841" t="str">
        <x:v>PASS</x:v>
      </x:c>
      <x:c r="C22" s="330" t="str">
        <x:v>41 source files before final audit additions; no CRC failures or duplicate names</x:v>
      </x:c>
      <x:c r="D22" s="843" t="str">
        <x:v>Rechecked after rebuild</x:v>
      </x:c>
    </x:row>
    <x:row r="23">
      <x:c r="A23" s="819" t="str">
        <x:v>Python syntax compilation</x:v>
      </x:c>
      <x:c r="B23" s="841" t="str">
        <x:v>PASS</x:v>
      </x:c>
      <x:c r="C23" s="330" t="str">
        <x:v>12 Python modules/runners compiled</x:v>
      </x:c>
      <x:c r="D23" s="843" t="str">
        <x:v>No syntax errors</x:v>
      </x:c>
    </x:row>
    <x:row r="24">
      <x:c r="A24" s="819" t="str">
        <x:v>Clean-folder imports</x:v>
      </x:c>
      <x:c r="B24" s="841" t="str">
        <x:v>PASS</x:v>
      </x:c>
      <x:c r="C24" s="330" t="str">
        <x:v>Historical, advanced, operational, jackpot and desktop modules imported</x:v>
      </x:c>
      <x:c r="D24" s="843" t="str">
        <x:v>No /mnt/data dependency remains</x:v>
      </x:c>
    </x:row>
    <x:row r="25">
      <x:c r="A25" s="819" t="str">
        <x:v>Independent wheel verifier</x:v>
      </x:c>
      <x:c r="B25" s="841" t="str">
        <x:v>PASS</x:v>
      </x:c>
      <x:c r="C25" s="330" t="str">
        <x:v>54/135/198/495 wheels unique and complete</x:v>
      </x:c>
      <x:c r="D25" s="843" t="str">
        <x:v>66 pair and 220 triple subsets covered</x:v>
      </x:c>
    </x:row>
    <x:row r="26">
      <x:c r="A26" s="819" t="str">
        <x:v>Advanced v3.3 self-test</x:v>
      </x:c>
      <x:c r="B26" s="841" t="str">
        <x:v>PASS</x:v>
      </x:c>
      <x:c r="C26" s="330" t="str">
        <x:v>975 draws; exact cover solver optimal; MCS retained Uniform</x:v>
      </x:c>
      <x:c r="D26" s="843" t="str">
        <x:v>Convergence warnings are diagnostic, not failures</x:v>
      </x:c>
    </x:row>
    <x:row r="27">
      <x:c r="A27" s="819" t="str">
        <x:v>Operational v3.4 self-test</x:v>
      </x:c>
      <x:c r="B27" s="841" t="str">
        <x:v>PASS</x:v>
      </x:c>
      <x:c r="C27" s="330" t="str">
        <x:v>Negative controls, leakage challenge and independent verifier passed</x:v>
      </x:c>
      <x:c r="D27" s="843" t="str">
        <x:v>Uniform champion retained</x:v>
      </x:c>
    </x:row>
    <x:row r="28">
      <x:c r="A28" s="819" t="str">
        <x:v>Jackpot v3.5 six-mode self-test</x:v>
      </x:c>
      <x:c r="B28" s="841" t="str">
        <x:v>PASS</x:v>
      </x:c>
      <x:c r="C28" s="330" t="str">
        <x:v>NORMAL, ROLLOVER, HIGH_JACKPOT, MAX_CAP, MAX_CAP_OVERFLOW, RESET</x:v>
      </x:c>
      <x:c r="D28" s="843" t="str">
        <x:v>All probabilities unchanged</x:v>
      </x:c>
    </x:row>
    <x:row r="29">
      <x:c r="A29" s="819" t="str">
        <x:v>Portability repair</x:v>
      </x:c>
      <x:c r="B29" s="841" t="str">
        <x:v>PASS</x:v>
      </x:c>
      <x:c r="C29" s="330" t="str">
        <x:v>Runners resolve files relative to extracted folder</x:v>
      </x:c>
      <x:c r="D29" s="843" t="str">
        <x:v>Raw 975-draw text history added</x:v>
      </x:c>
    </x:row>
    <x:row r="30">
      <x:c r="A30" s="821" t="str">
        <x:v>SQLite standalone repair</x:v>
      </x:c>
      <x:c r="B30" s="842" t="str">
        <x:v>PASS</x:v>
      </x:c>
      <x:c r="C30" s="844" t="str">
        <x:v>Jackpot schema stored in main database file</x:v>
      </x:c>
      <x:c r="D30" s="845" t="str">
        <x:v>No WAL sidecar required</x:v>
      </x:c>
    </x:row>
    <x:row r="32">
      <x:c r="A32" s="815" t="str">
        <x:v>Final Decision</x:v>
      </x:c>
      <x:c r="B32" s="815"/>
      <x:c r="C32" s="815"/>
      <x:c r="D32" s="815"/>
      <x:c r="E32" s="815"/>
      <x:c r="F32" s="815"/>
      <x:c r="G32" s="815"/>
      <x:c r="H32" s="815"/>
    </x:row>
    <x:row r="34">
      <x:c r="A34" s="849" t="str">
        <x:v>RELEASE PASS. The v3.5 package is internally consistent and operational in a clean extracted directory. The deployed number model remains Uniform because no validated predictive edge exists. The full historical nested v3 research engine was not recomputed during this final packaging pass; its existing audited outputs were retained, while its code, data loading, feature generation and imports were smoke-tested.</x:v>
      </x:c>
      <x:c r="B34" s="849"/>
      <x:c r="C34" s="849"/>
      <x:c r="D34" s="849"/>
      <x:c r="E34" s="849"/>
      <x:c r="F34" s="849"/>
      <x:c r="G34" s="849"/>
      <x:c r="H34" s="849"/>
    </x:row>
    <x:row r="35">
      <x:c r="A35" s="849"/>
      <x:c r="B35" s="849"/>
      <x:c r="C35" s="849"/>
      <x:c r="D35" s="849"/>
      <x:c r="E35" s="849"/>
      <x:c r="F35" s="849"/>
      <x:c r="G35" s="849"/>
      <x:c r="H35" s="849"/>
    </x:row>
    <x:row r="36">
      <x:c r="A36" s="849"/>
      <x:c r="B36" s="849"/>
      <x:c r="C36" s="849"/>
      <x:c r="D36" s="849"/>
      <x:c r="E36" s="849"/>
      <x:c r="F36" s="849"/>
      <x:c r="G36" s="849"/>
      <x:c r="H36" s="849"/>
    </x:row>
    <x:row r="37">
      <x:c r="A37" s="849"/>
      <x:c r="B37" s="849"/>
      <x:c r="C37" s="849"/>
      <x:c r="D37" s="849"/>
      <x:c r="E37" s="849"/>
      <x:c r="F37" s="849"/>
      <x:c r="G37" s="849"/>
      <x:c r="H37" s="849"/>
    </x:row>
    <x:row r="38">
      <x:c r="A38" s="849"/>
      <x:c r="B38" s="849"/>
      <x:c r="C38" s="849"/>
      <x:c r="D38" s="849"/>
      <x:c r="E38" s="849"/>
      <x:c r="F38" s="849"/>
      <x:c r="G38" s="849"/>
      <x:c r="H38" s="849"/>
    </x:row>
  </x:sheetData>
  <x:mergeCells>
    <x:mergeCell ref="A1:H1"/>
    <x:mergeCell ref="A2:H3"/>
    <x:mergeCell ref="A5:H5"/>
    <x:mergeCell ref="A20:H20"/>
    <x:mergeCell ref="A32:H32"/>
    <x:mergeCell ref="A34:H38"/>
  </x:mergeCells>
  <x:pageMargins left="0.7" right="0.7" top="0.75" bottom="0.75" header="0.3" footer="0.3"/>
</x:worksheet>
</file>